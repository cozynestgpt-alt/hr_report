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1644" windowWidth="23256" windowHeight="12576" tabRatio="600" firstSheet="0" activeTab="1" autoFilterDateGrouping="1"/>
  </bookViews>
  <sheets>
    <sheet xmlns:r="http://schemas.openxmlformats.org/officeDocument/2006/relationships" name="인원비교보고서" sheetId="1" state="visible" r:id="rId1"/>
    <sheet xmlns:r="http://schemas.openxmlformats.org/officeDocument/2006/relationships" name="전년대비 인원증감현황" sheetId="2" state="visible" r:id="rId2"/>
    <sheet xmlns:r="http://schemas.openxmlformats.org/officeDocument/2006/relationships" name="사원현황" sheetId="3" state="visible" r:id="rId3"/>
    <sheet xmlns:r="http://schemas.openxmlformats.org/officeDocument/2006/relationships" name="Sheet1" sheetId="4" state="visible" r:id="rId4"/>
    <sheet xmlns:r="http://schemas.openxmlformats.org/officeDocument/2006/relationships" name="p기준월" sheetId="5" state="visible" r:id="rId5"/>
    <sheet xmlns:r="http://schemas.openxmlformats.org/officeDocument/2006/relationships" name="구분LIST" sheetId="6" state="visible" r:id="rId6"/>
  </sheets>
  <externalReferences>
    <externalReference xmlns:r="http://schemas.openxmlformats.org/officeDocument/2006/relationships" r:id="rId7"/>
    <externalReference xmlns:r="http://schemas.openxmlformats.org/officeDocument/2006/relationships" r:id="rId8"/>
  </externalReferences>
  <definedNames>
    <definedName name="___e33" hidden="1">{#N/A,#N/A,FALSE,"Aging Summary";#N/A,#N/A,FALSE,"Ratio Analysis";#N/A,#N/A,FALSE,"Test 120 Day Accts";#N/A,#N/A,FALSE,"Tickmarks"}</definedName>
    <definedName name="__123Graph_A" hidden="1">[1]시산표!#REF!</definedName>
    <definedName name="__123Graph_B" hidden="1">[1]시산표!#REF!</definedName>
    <definedName name="__123Graph_LBL_A" hidden="1">[1]시산표!#REF!</definedName>
    <definedName name="__123Graph_LBL_B" hidden="1">[1]시산표!#REF!</definedName>
    <definedName name="__123Graph_X" hidden="1">[1]시산표!#REF!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_spv2" hidden="1">{"'9월'!$F$38"}</definedName>
    <definedName name="_ss3" hidden="1">{"'9월'!$F$38"}</definedName>
    <definedName name="_ss4" hidden="1">{"'9월'!$F$38"}</definedName>
    <definedName name="aa" hidden="1">[1]시산표!#REF!</definedName>
    <definedName name="adsas" hidden="1">{#N/A,#N/A,FALSE,"Aging Summary";#N/A,#N/A,FALSE,"Ratio Analysis";#N/A,#N/A,FALSE,"Test 120 Day Accts";#N/A,#N/A,FALSE,"Tickmarks"}</definedName>
    <definedName name="AS2DocOpenMode" hidden="1">"AS2DocumentEdit"</definedName>
    <definedName name="asd" hidden="1">{#N/A,#N/A,FALSE,"Aging Summary";#N/A,#N/A,FALSE,"Ratio Analysis";#N/A,#N/A,FALSE,"Test 120 Day Accts";#N/A,#N/A,FALSE,"Tickmarks"}</definedName>
    <definedName name="C.TOTAL" hidden="1">{#N/A,#N/A,FALSE,"95FW"}</definedName>
    <definedName name="CHD" hidden="1">{#N/A,#N/A,FALSE,"재고현황";#N/A,#N/A,FALSE,"어음현황";#N/A,#N/A,FALSE,"생산계획";#N/A,#N/A,FALSE,"판매계획";#N/A,#N/A,FALSE,"수금계획서";#N/A,#N/A,FALSE,"요약손익"}</definedName>
    <definedName name="DASD1DDFA2D" hidden="1">[1]시산표!#REF!</definedName>
    <definedName name="DF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F.W" hidden="1">{"'9월'!$F$38"}</definedName>
    <definedName name="FD" hidden="1">{#N/A,#N/A,FALSE,"Aging Summary";#N/A,#N/A,FALSE,"Ratio Analysis";#N/A,#N/A,FALSE,"Test 120 Day Accts";#N/A,#N/A,FALSE,"Tickmarks"}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f" hidden="1">{#N/A,#N/A,FALSE,"Aging Summary";#N/A,#N/A,FALSE,"Ratio Analysis";#N/A,#N/A,FALSE,"Test 120 Day Accts";#N/A,#N/A,FALSE,"Tickmarks"}</definedName>
    <definedName name="FW주간" hidden="1">{"'9월'!$F$38"}</definedName>
    <definedName name="fyftyfy" hidden="1">{#N/A,#N/A,FALSE,"재고현황";#N/A,#N/A,FALSE,"어음현황";#N/A,#N/A,FALSE,"생산계획";#N/A,#N/A,FALSE,"판매계획";#N/A,#N/A,FALSE,"수금계획서";#N/A,#N/A,FALSE,"요약손익"}</definedName>
    <definedName name="h" hidden="1">[1]시산표!#REF!</definedName>
    <definedName name="HTML_CodePage" hidden="1">949</definedName>
    <definedName name="HTML_Control" hidden="1">{"'9월'!$F$38"}</definedName>
    <definedName name="HTML_Description" hidden="1">""</definedName>
    <definedName name="HTML_Email" hidden="1">""</definedName>
    <definedName name="HTML_Header" hidden="1">"9월"</definedName>
    <definedName name="HTML_LastUpdate" hidden="1">"99-08-19"</definedName>
    <definedName name="HTML_LineAfter" hidden="1">FALSE</definedName>
    <definedName name="HTML_LineBefore" hidden="1">FALSE</definedName>
    <definedName name="HTML_Name" hidden="1">"문정웅"</definedName>
    <definedName name="HTML_OBDlg2" hidden="1">TRUE</definedName>
    <definedName name="HTML_OBDlg4" hidden="1">TRUE</definedName>
    <definedName name="HTML_OS" hidden="1">0</definedName>
    <definedName name="HTML_PathFile" hidden="1">"\\TIJANG\冬扇房\MyHTML.htm"</definedName>
    <definedName name="HTML_Title" hidden="1">"지점집행계획1"</definedName>
    <definedName name="kk" hidden="1">{#N/A,#N/A,FALSE,"재고현황";#N/A,#N/A,FALSE,"어음현황";#N/A,#N/A,FALSE,"생산계획";#N/A,#N/A,FALSE,"판매계획";#N/A,#N/A,FALSE,"수금계획서";#N/A,#N/A,FALSE,"요약손익"}</definedName>
    <definedName name="ll" hidden="1">{#N/A,#N/A,FALSE,"재고현황";#N/A,#N/A,FALSE,"어음현황";#N/A,#N/A,FALSE,"생산계획";#N/A,#N/A,FALSE,"판매계획";#N/A,#N/A,FALSE,"수금계획서";#N/A,#N/A,FALSE,"요약손익"}</definedName>
    <definedName name="LPP" hidden="1">{#N/A,#N/A,FALSE,"재고현황";#N/A,#N/A,FALSE,"어음현황";#N/A,#N/A,FALSE,"생산계획";#N/A,#N/A,FALSE,"판매계획";#N/A,#N/A,FALSE,"수금계획서";#N/A,#N/A,FALSE,"요약손익"}</definedName>
    <definedName name="M" hidden="1">{#N/A,#N/A,FALSE,"95FW"}</definedName>
    <definedName name="SAPBEXrevision" hidden="1">5</definedName>
    <definedName name="SAPBEXsysID" hidden="1">"PBW"</definedName>
    <definedName name="SAPBEXwbID" hidden="1">"461MV176AFZ8EMO9X5CXOB1LL"</definedName>
    <definedName name="sk" hidden="1">{#N/A,#N/A,FALSE,"재고현황";#N/A,#N/A,FALSE,"어음현황";#N/A,#N/A,FALSE,"생산계획";#N/A,#N/A,FALSE,"판매계획";#N/A,#N/A,FALSE,"수금계획서";#N/A,#N/A,FALSE,"요약손익"}</definedName>
    <definedName name="spv" hidden="1">{"'9월'!$F$38"}</definedName>
    <definedName name="TextRefCopyRangeCount" hidden="1">1</definedName>
    <definedName name="TOTAL" hidden="1">{#N/A,#N/A,FALSE,"95FW"}</definedName>
    <definedName name="uyuy" hidden="1">{#N/A,#N/A,FALSE,"Aging Summary";#N/A,#N/A,FALSE,"Ratio Analysis";#N/A,#N/A,FALSE,"Test 120 Day Accts";#N/A,#N/A,FALSE,"Tickmarks"}</definedName>
    <definedName name="wrn.95._.fw._.진행현황." hidden="1">{#N/A,#N/A,FALSE,"95FW"}</definedName>
    <definedName name="wrn.Aging._.and._.Trend._.Analysis." hidden="1">{#N/A,#N/A,FALSE,"Aging Summary";#N/A,#N/A,FALSE,"Ratio Analysis";#N/A,#N/A,FALSE,"Test 120 Day Accts";#N/A,#N/A,FALSE,"Tickmarks"}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자금계획보고." hidden="1">{#N/A,#N/A,FALSE,"재고현황";#N/A,#N/A,FALSE,"어음현황";#N/A,#N/A,FALSE,"생산계획";#N/A,#N/A,FALSE,"판매계획";#N/A,#N/A,FALSE,"수금계획서";#N/A,#N/A,FALSE,"요약손익"}</definedName>
    <definedName name="공간" hidden="1">5</definedName>
    <definedName name="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김" hidden="1">[1]시산표!#REF!</definedName>
    <definedName name="ㄴ" hidden="1">{#N/A,#N/A,FALSE,"95FW"}</definedName>
    <definedName name="ㄴㄴ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ㄴㄹㅇㄹㅇㄴ" hidden="1">{#N/A,#N/A,FALSE,"Aging Summary";#N/A,#N/A,FALSE,"Ratio Analysis";#N/A,#N/A,FALSE,"Test 120 Day Accts";#N/A,#N/A,FALSE,"Tickmarks"}</definedName>
    <definedName name="ㄴㅇㄴㅇ" hidden="1">{#N/A,#N/A,FALSE,"재고현황";#N/A,#N/A,FALSE,"어음현황";#N/A,#N/A,FALSE,"생산계획";#N/A,#N/A,FALSE,"판매계획";#N/A,#N/A,FALSE,"수금계획서";#N/A,#N/A,FALSE,"요약손익"}</definedName>
    <definedName name="ㄴㅇㄴㅇㅇㅇ" hidden="1">{#N/A,#N/A,FALSE,"재고현황";#N/A,#N/A,FALSE,"어음현황";#N/A,#N/A,FALSE,"생산계획";#N/A,#N/A,FALSE,"판매계획";#N/A,#N/A,FALSE,"수금계획서";#N/A,#N/A,FALSE,"요약손익"}</definedName>
    <definedName name="뉴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ㄷㄷ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ㄷㄷㄷ" hidden="1">{#N/A,#N/A,FALSE,"Aging Summary";#N/A,#N/A,FALSE,"Ratio Analysis";#N/A,#N/A,FALSE,"Test 120 Day Accts";#N/A,#N/A,FALSE,"Tickmarks"}</definedName>
    <definedName name="대차대조표.." hidden="1">#REF!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ㄺ" hidden="1">{#N/A,#N/A,FALSE,"Aging Summary";#N/A,#N/A,FALSE,"Ratio Analysis";#N/A,#N/A,FALSE,"Test 120 Day Accts";#N/A,#N/A,FALSE,"Tickmarks"}</definedName>
    <definedName name="ㅁ" hidden="1">{#N/A,#N/A,FALSE,"95FW"}</definedName>
    <definedName name="ㅁㄴㅇㄻㄴㅇㄻㄴㅇㄹ" hidden="1">[1]시산표!#REF!</definedName>
    <definedName name="ㅁㄴㅇㅁㄴㅇ" hidden="1">{#N/A,#N/A,FALSE,"재고현황";#N/A,#N/A,FALSE,"어음현황";#N/A,#N/A,FALSE,"생산계획";#N/A,#N/A,FALSE,"판매계획";#N/A,#N/A,FALSE,"수금계획서";#N/A,#N/A,FALSE,"요약손익"}</definedName>
    <definedName name="ㅁㅇㄻㅇㄹ" hidden="1">{#N/A,#N/A,FALSE,"재고현황";#N/A,#N/A,FALSE,"어음현황";#N/A,#N/A,FALSE,"생산계획";#N/A,#N/A,FALSE,"판매계획";#N/A,#N/A,FALSE,"수금계획서";#N/A,#N/A,FALSE,"요약손익"}</definedName>
    <definedName name="매출계획" hidden="1">{#N/A,#N/A,FALSE,"Aging Summary";#N/A,#N/A,FALSE,"Ratio Analysis";#N/A,#N/A,FALSE,"Test 120 Day Accts";#N/A,#N/A,FALSE,"Tickmarks"}</definedName>
    <definedName name="무형자산" hidden="1">{#N/A,#N/A,FALSE,"Aging Summary";#N/A,#N/A,FALSE,"Ratio Analysis";#N/A,#N/A,FALSE,"Test 120 Day Accts";#N/A,#N/A,FALSE,"Tickmarks"}</definedName>
    <definedName name="물" hidden="1">{#N/A,#N/A,FALSE,"95FW"}</definedName>
    <definedName name="뭐야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ㅂ" hidden="1">{#N/A,#N/A,FALSE,"95FW"}</definedName>
    <definedName name="ㅂㅂㅂ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ㅂㅂㅂ2" hidden="1">{"'9월'!$F$38"}</definedName>
    <definedName name="부산영업소" hidden="1">{"'9월'!$F$38"}</definedName>
    <definedName name="ㅅ" hidden="1">{#N/A,#N/A,FALSE,"95FW"}</definedName>
    <definedName name="ㅅㄽㅀ" hidden="1">{#N/A,#N/A,FALSE,"Aging Summary";#N/A,#N/A,FALSE,"Ratio Analysis";#N/A,#N/A,FALSE,"Test 120 Day Accts";#N/A,#N/A,FALSE,"Tickmarks"}</definedName>
    <definedName name="사업" hidden="1">{#N/A,#N/A,FALSE,"Aging Summary";#N/A,#N/A,FALSE,"Ratio Analysis";#N/A,#N/A,FALSE,"Test 120 Day Accts";#N/A,#N/A,FALSE,"Tickmarks"}</definedName>
    <definedName name="숙제" hidden="1">#REF!</definedName>
    <definedName name="시즌별매출계획" hidden="1">{#N/A,#N/A,FALSE,"Aging Summary";#N/A,#N/A,FALSE,"Ratio Analysis";#N/A,#N/A,FALSE,"Test 120 Day Accts";#N/A,#N/A,FALSE,"Tickmarks"}</definedName>
    <definedName name="시즌판매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실제실적" hidden="1">#REF!</definedName>
    <definedName name="ㅇㄴㅅ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ㅁㄹㅇ" hidden="1">{#N/A,#N/A,FALSE,"재고현황";#N/A,#N/A,FALSE,"어음현황";#N/A,#N/A,FALSE,"생산계획";#N/A,#N/A,FALSE,"판매계획";#N/A,#N/A,FALSE,"수금계획서";#N/A,#N/A,FALSE,"요약손익"}</definedName>
    <definedName name="ㅇㅇㅇㅇㅇ" hidden="1">{"'9월'!$F$38"}</definedName>
    <definedName name="ㅇㅇㅇㅇㅇㅇㅇㅇㅇㅇㅇㅇㅇㅇㅇㅇ" hidden="1">#REF!</definedName>
    <definedName name="업무" hidden="1">{"'9월'!$F$38"}</definedName>
    <definedName name="영업개발" hidden="1">{#N/A,#N/A,FALSE,"재고현황";#N/A,#N/A,FALSE,"어음현황";#N/A,#N/A,FALSE,"생산계획";#N/A,#N/A,FALSE,"판매계획";#N/A,#N/A,FALSE,"수금계획서";#N/A,#N/A,FALSE,"요약손익"}</definedName>
    <definedName name="영업개발2" hidden="1">{#N/A,#N/A,FALSE,"재고현황";#N/A,#N/A,FALSE,"어음현황";#N/A,#N/A,FALSE,"생산계획";#N/A,#N/A,FALSE,"판매계획";#N/A,#N/A,FALSE,"수금계획서";#N/A,#N/A,FALSE,"요약손익"}</definedName>
    <definedName name="영업계획" hidden="1">{#N/A,#N/A,FALSE,"재고현황";#N/A,#N/A,FALSE,"어음현황";#N/A,#N/A,FALSE,"생산계획";#N/A,#N/A,FALSE,"판매계획";#N/A,#N/A,FALSE,"수금계획서";#N/A,#N/A,FALSE,"요약손익"}</definedName>
    <definedName name="예상마감" hidden="1">{"'9월'!$F$38"}</definedName>
    <definedName name="울" hidden="1">{"'9월'!$F$38"}</definedName>
    <definedName name="원본2" hidden="1">#REF!</definedName>
    <definedName name="월누계" hidden="1">{"'9월'!$F$38"}</definedName>
    <definedName name="월별판매율" hidden="1">#REF!</definedName>
    <definedName name="유가증권" hidden="1">{#N/A,#N/A,FALSE,"Aging Summary";#N/A,#N/A,FALSE,"Ratio Analysis";#N/A,#N/A,FALSE,"Test 120 Day Accts";#N/A,#N/A,FALSE,"Tickmarks"}</definedName>
    <definedName name="이" hidden="1">{"'9월'!$F$38"}</definedName>
    <definedName name="이승필" hidden="1">{"'9월'!$F$38"}</definedName>
    <definedName name="일므" hidden="1">{#N/A,#N/A,FALSE,"재고현황";#N/A,#N/A,FALSE,"어음현황";#N/A,#N/A,FALSE,"생산계획";#N/A,#N/A,FALSE,"판매계획";#N/A,#N/A,FALSE,"수금계획서";#N/A,#N/A,FALSE,"요약손익"}</definedName>
    <definedName name="ㅈ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자본금" hidden="1">{#N/A,#N/A,FALSE,"Aging Summary";#N/A,#N/A,FALSE,"Ratio Analysis";#N/A,#N/A,FALSE,"Test 120 Day Accts";#N/A,#N/A,FALSE,"Tickmarks"}</definedName>
    <definedName name="재열" hidden="1">{#N/A,#N/A,FALSE,"재고현황";#N/A,#N/A,FALSE,"어음현황";#N/A,#N/A,FALSE,"생산계획";#N/A,#N/A,FALSE,"판매계획";#N/A,#N/A,FALSE,"수금계획서";#N/A,#N/A,FALSE,"요약손익"}</definedName>
    <definedName name="전체실적" hidden="1">{"'9월'!$F$38"}</definedName>
    <definedName name="점" hidden="1">{"'9월'!$F$38"}</definedName>
    <definedName name="점손익3" hidden="1">{"'9월'!$F$38"}</definedName>
    <definedName name="점손익급여2" hidden="1">{"'9월'!$F$38"}</definedName>
    <definedName name="주간" hidden="1">{"'9월'!$F$38"}</definedName>
    <definedName name="주영" hidden="1">{"'9월'!$F$38"}</definedName>
    <definedName name="중점2" hidden="1">{#N/A,#N/A,FALSE,"재고현황";#N/A,#N/A,FALSE,"어음현황";#N/A,#N/A,FALSE,"생산계획";#N/A,#N/A,FALSE,"판매계획";#N/A,#N/A,FALSE,"수금계획서";#N/A,#N/A,FALSE,"요약손익"}</definedName>
    <definedName name="진행보고" hidden="1">{#N/A,#N/A,FALSE,"95FW"}</definedName>
    <definedName name="ㅊㅊㅊ" hidden="1">{#N/A,#N/A,FALSE,"재고현황";#N/A,#N/A,FALSE,"어음현황";#N/A,#N/A,FALSE,"생산계획";#N/A,#N/A,FALSE,"판매계획";#N/A,#N/A,FALSE,"수금계획서";#N/A,#N/A,FALSE,"요약손익"}</definedName>
    <definedName name="출고" hidden="1">#REF!</definedName>
    <definedName name="출고1" hidden="1">#REF!</definedName>
    <definedName name="ㅋㅋ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ㅋㅋㅋ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ㅋㅋㅋ" hidden="1">{#N/A,#N/A,FALSE,"Aging Summary";#N/A,#N/A,FALSE,"Ratio Analysis";#N/A,#N/A,FALSE,"Test 120 Day Accts";#N/A,#N/A,FALSE,"Tickmarks"}</definedName>
    <definedName name="타사" hidden="1">{#N/A,#N/A,FALSE,"재고현황";#N/A,#N/A,FALSE,"어음현황";#N/A,#N/A,FALSE,"생산계획";#N/A,#N/A,FALSE,"판매계획";#N/A,#N/A,FALSE,"수금계획서";#N/A,#N/A,FALSE,"요약손익"}</definedName>
    <definedName name="투자3" hidden="1">{"'9월'!$F$38"}</definedName>
    <definedName name="평균이자율" hidden="1">[2]이자율!#REF!</definedName>
    <definedName name="ㅎㅇ" hidden="1">{#N/A,#N/A,FALSE,"Aging Summary";#N/A,#N/A,FALSE,"Ratio Analysis";#N/A,#N/A,FALSE,"Test 120 Day Accts";#N/A,#N/A,FALSE,"Tickmarks"}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현금등가물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흐름" hidden="1">{#N/A,#N/A,FALSE,"Aging Summary";#N/A,#N/A,FALSE,"Ratio Analysis";#N/A,#N/A,FALSE,"Test 120 Day Accts";#N/A,#N/A,FALSE,"Tickmarks"}</definedName>
    <definedName name="호ㅗ홓ㅎ" hidden="1">{#N/A,#N/A,FALSE,"재고현황";#N/A,#N/A,FALSE,"어음현황";#N/A,#N/A,FALSE,"생산계획";#N/A,#N/A,FALSE,"판매계획";#N/A,#N/A,FALSE,"수금계획서";#N/A,#N/A,FALSE,"요약손익"}</definedName>
    <definedName name="ㅑㅑ" hidden="1">{#N/A,#N/A,FALSE,"재고현황";#N/A,#N/A,FALSE,"어음현황";#N/A,#N/A,FALSE,"생산계획";#N/A,#N/A,FALSE,"판매계획";#N/A,#N/A,FALSE,"수금계획서";#N/A,#N/A,FALSE,"요약손익"}</definedName>
    <definedName name="ㅒ" hidden="1">{#N/A,#N/A,FALSE,"재고현황";#N/A,#N/A,FALSE,"어음현황";#N/A,#N/A,FALSE,"생산계획";#N/A,#N/A,FALSE,"판매계획";#N/A,#N/A,FALSE,"수금계획서";#N/A,#N/A,FALSE,"요약손익"}</definedName>
    <definedName name="ㅓㅓㅓ" hidden="1">{"'9월'!$F$38"}</definedName>
    <definedName name="ㅔㅔㅔㅔㅔ" hidden="1">{#N/A,#N/A,FALSE,"재고현황";#N/A,#N/A,FALSE,"어음현황";#N/A,#N/A,FALSE,"생산계획";#N/A,#N/A,FALSE,"판매계획";#N/A,#N/A,FALSE,"수금계획서";#N/A,#N/A,FALSE,"요약손익"}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ㅠ" hidden="1">{#N/A,#N/A,FALSE,"Aging Summary";#N/A,#N/A,FALSE,"Ratio Analysis";#N/A,#N/A,FALSE,"Test 120 Day Accts";#N/A,#N/A,FALSE,"Tickmarks"}</definedName>
    <definedName name="ㅣㅣㅣ" hidden="1">25</definedName>
    <definedName name="ExternalData_1" localSheetId="0" hidden="1">인원비교보고서!$A$1:$J$74</definedName>
    <definedName name="___e33" localSheetId="1" hidden="1">{#N/A,#N/A,FALSE,"Aging Summary";#N/A,#N/A,FALSE,"Ratio Analysis";#N/A,#N/A,FALSE,"Test 120 Day Accts";#N/A,#N/A,FALSE,"Tickmarks"}</definedName>
    <definedName name="__123Graph_A" localSheetId="1" hidden="1">[1]시산표!#REF!</definedName>
    <definedName name="__123Graph_B" localSheetId="1" hidden="1">[1]시산표!#REF!</definedName>
    <definedName name="__123Graph_LBL_A" localSheetId="1" hidden="1">[1]시산표!#REF!</definedName>
    <definedName name="__123Graph_LBL_B" localSheetId="1" hidden="1">[1]시산표!#REF!</definedName>
    <definedName name="__123Graph_X" localSheetId="1" hidden="1">[1]시산표!#REF!</definedName>
    <definedName name="_Fill" localSheetId="1" hidden="1">#REF!</definedName>
    <definedName name="_Key1" localSheetId="1" hidden="1">#REF!</definedName>
    <definedName name="_Key2" localSheetId="1" hidden="1">#REF!</definedName>
    <definedName name="_Sort" localSheetId="1" hidden="1">#REF!</definedName>
    <definedName name="_spv2" localSheetId="1" hidden="1">{"'9월'!$F$38"}</definedName>
    <definedName name="_ss3" localSheetId="1" hidden="1">{"'9월'!$F$38"}</definedName>
    <definedName name="_ss4" localSheetId="1" hidden="1">{"'9월'!$F$38"}</definedName>
    <definedName name="aa" localSheetId="1" hidden="1">[1]시산표!#REF!</definedName>
    <definedName name="adsas" localSheetId="1" hidden="1">{#N/A,#N/A,FALSE,"Aging Summary";#N/A,#N/A,FALSE,"Ratio Analysis";#N/A,#N/A,FALSE,"Test 120 Day Accts";#N/A,#N/A,FALSE,"Tickmarks"}</definedName>
    <definedName name="asd" localSheetId="1" hidden="1">{#N/A,#N/A,FALSE,"Aging Summary";#N/A,#N/A,FALSE,"Ratio Analysis";#N/A,#N/A,FALSE,"Test 120 Day Accts";#N/A,#N/A,FALSE,"Tickmarks"}</definedName>
    <definedName name="C.TOTAL" localSheetId="1" hidden="1">{#N/A,#N/A,FALSE,"95FW"}</definedName>
    <definedName name="CHD" localSheetId="1" hidden="1">{#N/A,#N/A,FALSE,"재고현황";#N/A,#N/A,FALSE,"어음현황";#N/A,#N/A,FALSE,"생산계획";#N/A,#N/A,FALSE,"판매계획";#N/A,#N/A,FALSE,"수금계획서";#N/A,#N/A,FALSE,"요약손익"}</definedName>
    <definedName name="DASD1DDFA2D" localSheetId="1" hidden="1">[1]시산표!#REF!</definedName>
    <definedName name="DF" localSheetId="1" hidden="1">{#N/A,#N/A,FALSE,"Aging Summary";#N/A,#N/A,FALSE,"Ratio Analysis";#N/A,#N/A,FALSE,"Test 120 Day Accts";#N/A,#N/A,FALSE,"Tickmarks"}</definedName>
    <definedName name="DFDF" localSheetId="1" hidden="1">{#N/A,#N/A,FALSE,"Aging Summary";#N/A,#N/A,FALSE,"Ratio Analysis";#N/A,#N/A,FALSE,"Test 120 Day Accts";#N/A,#N/A,FALSE,"Tickmarks"}</definedName>
    <definedName name="F.W" localSheetId="1" hidden="1">{"'9월'!$F$38"}</definedName>
    <definedName name="FD" localSheetId="1" hidden="1">{#N/A,#N/A,FALSE,"Aging Summary";#N/A,#N/A,FALSE,"Ratio Analysis";#N/A,#N/A,FALSE,"Test 120 Day Accts";#N/A,#N/A,FALSE,"Tickmarks"}</definedName>
    <definedName name="FDFD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f" localSheetId="1" hidden="1">{#N/A,#N/A,FALSE,"Aging Summary";#N/A,#N/A,FALSE,"Ratio Analysis";#N/A,#N/A,FALSE,"Test 120 Day Accts";#N/A,#N/A,FALSE,"Tickmarks"}</definedName>
    <definedName name="FW주간" localSheetId="1" hidden="1">{"'9월'!$F$38"}</definedName>
    <definedName name="fyftyfy" localSheetId="1" hidden="1">{#N/A,#N/A,FALSE,"재고현황";#N/A,#N/A,FALSE,"어음현황";#N/A,#N/A,FALSE,"생산계획";#N/A,#N/A,FALSE,"판매계획";#N/A,#N/A,FALSE,"수금계획서";#N/A,#N/A,FALSE,"요약손익"}</definedName>
    <definedName name="h" localSheetId="1" hidden="1">[1]시산표!#REF!</definedName>
    <definedName name="HTML_Control" localSheetId="1" hidden="1">{"'9월'!$F$38"}</definedName>
    <definedName name="kk" localSheetId="1" hidden="1">{#N/A,#N/A,FALSE,"재고현황";#N/A,#N/A,FALSE,"어음현황";#N/A,#N/A,FALSE,"생산계획";#N/A,#N/A,FALSE,"판매계획";#N/A,#N/A,FALSE,"수금계획서";#N/A,#N/A,FALSE,"요약손익"}</definedName>
    <definedName name="ll" localSheetId="1" hidden="1">{#N/A,#N/A,FALSE,"재고현황";#N/A,#N/A,FALSE,"어음현황";#N/A,#N/A,FALSE,"생산계획";#N/A,#N/A,FALSE,"판매계획";#N/A,#N/A,FALSE,"수금계획서";#N/A,#N/A,FALSE,"요약손익"}</definedName>
    <definedName name="LPP" localSheetId="1" hidden="1">{#N/A,#N/A,FALSE,"재고현황";#N/A,#N/A,FALSE,"어음현황";#N/A,#N/A,FALSE,"생산계획";#N/A,#N/A,FALSE,"판매계획";#N/A,#N/A,FALSE,"수금계획서";#N/A,#N/A,FALSE,"요약손익"}</definedName>
    <definedName name="M" localSheetId="1" hidden="1">{#N/A,#N/A,FALSE,"95FW"}</definedName>
    <definedName name="sk" localSheetId="1" hidden="1">{#N/A,#N/A,FALSE,"재고현황";#N/A,#N/A,FALSE,"어음현황";#N/A,#N/A,FALSE,"생산계획";#N/A,#N/A,FALSE,"판매계획";#N/A,#N/A,FALSE,"수금계획서";#N/A,#N/A,FALSE,"요약손익"}</definedName>
    <definedName name="spv" localSheetId="1" hidden="1">{"'9월'!$F$38"}</definedName>
    <definedName name="TOTAL" localSheetId="1" hidden="1">{#N/A,#N/A,FALSE,"95FW"}</definedName>
    <definedName name="uyuy" localSheetId="1" hidden="1">{#N/A,#N/A,FALSE,"Aging Summary";#N/A,#N/A,FALSE,"Ratio Analysis";#N/A,#N/A,FALSE,"Test 120 Day Accts";#N/A,#N/A,FALSE,"Tickmarks"}</definedName>
    <definedName name="wrn.95._.fw._.진행현황." localSheetId="1" hidden="1">{#N/A,#N/A,FALSE,"95FW"}</definedName>
    <definedName name="wrn.Aging._.and._.Trend._.Analysis." localSheetId="1" hidden="1">{#N/A,#N/A,FALSE,"Aging Summary";#N/A,#N/A,FALSE,"Ratio Analysis";#N/A,#N/A,FALSE,"Test 120 Day Accts";#N/A,#N/A,FALSE,"Tickmarks"}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자금계획보고." localSheetId="1" hidden="1">{#N/A,#N/A,FALSE,"재고현황";#N/A,#N/A,FALSE,"어음현황";#N/A,#N/A,FALSE,"생산계획";#N/A,#N/A,FALSE,"판매계획";#N/A,#N/A,FALSE,"수금계획서";#N/A,#N/A,FALSE,"요약손익"}</definedName>
    <definedName name="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김" localSheetId="1" hidden="1">[1]시산표!#REF!</definedName>
    <definedName name="ㄴ" localSheetId="1" hidden="1">{#N/A,#N/A,FALSE,"95FW"}</definedName>
    <definedName name="ㄴㄴ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ㄴㄹㅇㄹㅇㄴ" localSheetId="1" hidden="1">{#N/A,#N/A,FALSE,"Aging Summary";#N/A,#N/A,FALSE,"Ratio Analysis";#N/A,#N/A,FALSE,"Test 120 Day Accts";#N/A,#N/A,FALSE,"Tickmarks"}</definedName>
    <definedName name="ㄴㅇㄴㅇ" localSheetId="1" hidden="1">{#N/A,#N/A,FALSE,"재고현황";#N/A,#N/A,FALSE,"어음현황";#N/A,#N/A,FALSE,"생산계획";#N/A,#N/A,FALSE,"판매계획";#N/A,#N/A,FALSE,"수금계획서";#N/A,#N/A,FALSE,"요약손익"}</definedName>
    <definedName name="ㄴㅇㄴㅇㅇㅇ" localSheetId="1" hidden="1">{#N/A,#N/A,FALSE,"재고현황";#N/A,#N/A,FALSE,"어음현황";#N/A,#N/A,FALSE,"생산계획";#N/A,#N/A,FALSE,"판매계획";#N/A,#N/A,FALSE,"수금계획서";#N/A,#N/A,FALSE,"요약손익"}</definedName>
    <definedName name="뉴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ㄷㄷ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ㄷㄷㄷ" localSheetId="1" hidden="1">{#N/A,#N/A,FALSE,"Aging Summary";#N/A,#N/A,FALSE,"Ratio Analysis";#N/A,#N/A,FALSE,"Test 120 Day Accts";#N/A,#N/A,FALSE,"Tickmarks"}</definedName>
    <definedName name="대차대조표.." localSheetId="1" hidden="1">#REF!</definedName>
    <definedName name="ㄹㄴㅇ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러ㅏ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ㄺ" localSheetId="1" hidden="1">{#N/A,#N/A,FALSE,"Aging Summary";#N/A,#N/A,FALSE,"Ratio Analysis";#N/A,#N/A,FALSE,"Test 120 Day Accts";#N/A,#N/A,FALSE,"Tickmarks"}</definedName>
    <definedName name="ㅁ" localSheetId="1" hidden="1">{#N/A,#N/A,FALSE,"95FW"}</definedName>
    <definedName name="ㅁㄴㅇㄻㄴㅇㄻㄴㅇㄹ" localSheetId="1" hidden="1">[1]시산표!#REF!</definedName>
    <definedName name="ㅁㄴㅇㅁㄴㅇ" localSheetId="1" hidden="1">{#N/A,#N/A,FALSE,"재고현황";#N/A,#N/A,FALSE,"어음현황";#N/A,#N/A,FALSE,"생산계획";#N/A,#N/A,FALSE,"판매계획";#N/A,#N/A,FALSE,"수금계획서";#N/A,#N/A,FALSE,"요약손익"}</definedName>
    <definedName name="ㅁㅇㄻㅇㄹ" localSheetId="1" hidden="1">{#N/A,#N/A,FALSE,"재고현황";#N/A,#N/A,FALSE,"어음현황";#N/A,#N/A,FALSE,"생산계획";#N/A,#N/A,FALSE,"판매계획";#N/A,#N/A,FALSE,"수금계획서";#N/A,#N/A,FALSE,"요약손익"}</definedName>
    <definedName name="매출계획" localSheetId="1" hidden="1">{#N/A,#N/A,FALSE,"Aging Summary";#N/A,#N/A,FALSE,"Ratio Analysis";#N/A,#N/A,FALSE,"Test 120 Day Accts";#N/A,#N/A,FALSE,"Tickmarks"}</definedName>
    <definedName name="무형자산" localSheetId="1" hidden="1">{#N/A,#N/A,FALSE,"Aging Summary";#N/A,#N/A,FALSE,"Ratio Analysis";#N/A,#N/A,FALSE,"Test 120 Day Accts";#N/A,#N/A,FALSE,"Tickmarks"}</definedName>
    <definedName name="물" localSheetId="1" hidden="1">{#N/A,#N/A,FALSE,"95FW"}</definedName>
    <definedName name="뭐야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ㅂ" localSheetId="1" hidden="1">{#N/A,#N/A,FALSE,"95FW"}</definedName>
    <definedName name="ㅂㅂㅂ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ㅂㅂㅂ2" localSheetId="1" hidden="1">{"'9월'!$F$38"}</definedName>
    <definedName name="부산영업소" localSheetId="1" hidden="1">{"'9월'!$F$38"}</definedName>
    <definedName name="ㅅ" localSheetId="1" hidden="1">{#N/A,#N/A,FALSE,"95FW"}</definedName>
    <definedName name="ㅅㄽㅀ" localSheetId="1" hidden="1">{#N/A,#N/A,FALSE,"Aging Summary";#N/A,#N/A,FALSE,"Ratio Analysis";#N/A,#N/A,FALSE,"Test 120 Day Accts";#N/A,#N/A,FALSE,"Tickmarks"}</definedName>
    <definedName name="사업" localSheetId="1" hidden="1">{#N/A,#N/A,FALSE,"Aging Summary";#N/A,#N/A,FALSE,"Ratio Analysis";#N/A,#N/A,FALSE,"Test 120 Day Accts";#N/A,#N/A,FALSE,"Tickmarks"}</definedName>
    <definedName name="숙제" localSheetId="1" hidden="1">#REF!</definedName>
    <definedName name="시즌별매출계획" localSheetId="1" hidden="1">{#N/A,#N/A,FALSE,"Aging Summary";#N/A,#N/A,FALSE,"Ratio Analysis";#N/A,#N/A,FALSE,"Test 120 Day Accts";#N/A,#N/A,FALSE,"Tickmarks"}</definedName>
    <definedName name="시즌판매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실제실적" localSheetId="1" hidden="1">#REF!</definedName>
    <definedName name="ㅇㄴㅅ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ㅁㄹㅇ" localSheetId="1" hidden="1">{#N/A,#N/A,FALSE,"재고현황";#N/A,#N/A,FALSE,"어음현황";#N/A,#N/A,FALSE,"생산계획";#N/A,#N/A,FALSE,"판매계획";#N/A,#N/A,FALSE,"수금계획서";#N/A,#N/A,FALSE,"요약손익"}</definedName>
    <definedName name="ㅇㅇㅇㅇㅇ" localSheetId="1" hidden="1">{"'9월'!$F$38"}</definedName>
    <definedName name="ㅇㅇㅇㅇㅇㅇㅇㅇㅇㅇㅇㅇㅇㅇㅇㅇ" localSheetId="1" hidden="1">#REF!</definedName>
    <definedName name="업무" localSheetId="1" hidden="1">{"'9월'!$F$38"}</definedName>
    <definedName name="영업개발" localSheetId="1" hidden="1">{#N/A,#N/A,FALSE,"재고현황";#N/A,#N/A,FALSE,"어음현황";#N/A,#N/A,FALSE,"생산계획";#N/A,#N/A,FALSE,"판매계획";#N/A,#N/A,FALSE,"수금계획서";#N/A,#N/A,FALSE,"요약손익"}</definedName>
    <definedName name="영업개발2" localSheetId="1" hidden="1">{#N/A,#N/A,FALSE,"재고현황";#N/A,#N/A,FALSE,"어음현황";#N/A,#N/A,FALSE,"생산계획";#N/A,#N/A,FALSE,"판매계획";#N/A,#N/A,FALSE,"수금계획서";#N/A,#N/A,FALSE,"요약손익"}</definedName>
    <definedName name="영업계획" localSheetId="1" hidden="1">{#N/A,#N/A,FALSE,"재고현황";#N/A,#N/A,FALSE,"어음현황";#N/A,#N/A,FALSE,"생산계획";#N/A,#N/A,FALSE,"판매계획";#N/A,#N/A,FALSE,"수금계획서";#N/A,#N/A,FALSE,"요약손익"}</definedName>
    <definedName name="예상마감" localSheetId="1" hidden="1">{"'9월'!$F$38"}</definedName>
    <definedName name="울" localSheetId="1" hidden="1">{"'9월'!$F$38"}</definedName>
    <definedName name="원본2" localSheetId="1" hidden="1">#REF!</definedName>
    <definedName name="월누계" localSheetId="1" hidden="1">{"'9월'!$F$38"}</definedName>
    <definedName name="월별판매율" localSheetId="1" hidden="1">#REF!</definedName>
    <definedName name="유가증권" localSheetId="1" hidden="1">{#N/A,#N/A,FALSE,"Aging Summary";#N/A,#N/A,FALSE,"Ratio Analysis";#N/A,#N/A,FALSE,"Test 120 Day Accts";#N/A,#N/A,FALSE,"Tickmarks"}</definedName>
    <definedName name="이" localSheetId="1" hidden="1">{"'9월'!$F$38"}</definedName>
    <definedName name="이승필" localSheetId="1" hidden="1">{"'9월'!$F$38"}</definedName>
    <definedName name="일므" localSheetId="1" hidden="1">{#N/A,#N/A,FALSE,"재고현황";#N/A,#N/A,FALSE,"어음현황";#N/A,#N/A,FALSE,"생산계획";#N/A,#N/A,FALSE,"판매계획";#N/A,#N/A,FALSE,"수금계획서";#N/A,#N/A,FALSE,"요약손익"}</definedName>
    <definedName name="ㅈ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자본금" localSheetId="1" hidden="1">{#N/A,#N/A,FALSE,"Aging Summary";#N/A,#N/A,FALSE,"Ratio Analysis";#N/A,#N/A,FALSE,"Test 120 Day Accts";#N/A,#N/A,FALSE,"Tickmarks"}</definedName>
    <definedName name="재열" localSheetId="1" hidden="1">{#N/A,#N/A,FALSE,"재고현황";#N/A,#N/A,FALSE,"어음현황";#N/A,#N/A,FALSE,"생산계획";#N/A,#N/A,FALSE,"판매계획";#N/A,#N/A,FALSE,"수금계획서";#N/A,#N/A,FALSE,"요약손익"}</definedName>
    <definedName name="전체실적" localSheetId="1" hidden="1">{"'9월'!$F$38"}</definedName>
    <definedName name="점" localSheetId="1" hidden="1">{"'9월'!$F$38"}</definedName>
    <definedName name="점손익3" localSheetId="1" hidden="1">{"'9월'!$F$38"}</definedName>
    <definedName name="점손익급여2" localSheetId="1" hidden="1">{"'9월'!$F$38"}</definedName>
    <definedName name="주간" localSheetId="1" hidden="1">{"'9월'!$F$38"}</definedName>
    <definedName name="주영" localSheetId="1" hidden="1">{"'9월'!$F$38"}</definedName>
    <definedName name="중점2" localSheetId="1" hidden="1">{#N/A,#N/A,FALSE,"재고현황";#N/A,#N/A,FALSE,"어음현황";#N/A,#N/A,FALSE,"생산계획";#N/A,#N/A,FALSE,"판매계획";#N/A,#N/A,FALSE,"수금계획서";#N/A,#N/A,FALSE,"요약손익"}</definedName>
    <definedName name="진행보고" localSheetId="1" hidden="1">{#N/A,#N/A,FALSE,"95FW"}</definedName>
    <definedName name="ㅊㅊㅊ" localSheetId="1" hidden="1">{#N/A,#N/A,FALSE,"재고현황";#N/A,#N/A,FALSE,"어음현황";#N/A,#N/A,FALSE,"생산계획";#N/A,#N/A,FALSE,"판매계획";#N/A,#N/A,FALSE,"수금계획서";#N/A,#N/A,FALSE,"요약손익"}</definedName>
    <definedName name="출고" localSheetId="1" hidden="1">#REF!</definedName>
    <definedName name="출고1" localSheetId="1" hidden="1">#REF!</definedName>
    <definedName name="ㅋㅋ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ㅋㅋㅋ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ㅋㅋㅋㅋ" localSheetId="1" hidden="1">{#N/A,#N/A,FALSE,"Aging Summary";#N/A,#N/A,FALSE,"Ratio Analysis";#N/A,#N/A,FALSE,"Test 120 Day Accts";#N/A,#N/A,FALSE,"Tickmarks"}</definedName>
    <definedName name="타사" localSheetId="1" hidden="1">{#N/A,#N/A,FALSE,"재고현황";#N/A,#N/A,FALSE,"어음현황";#N/A,#N/A,FALSE,"생산계획";#N/A,#N/A,FALSE,"판매계획";#N/A,#N/A,FALSE,"수금계획서";#N/A,#N/A,FALSE,"요약손익"}</definedName>
    <definedName name="투자3" localSheetId="1" hidden="1">{"'9월'!$F$38"}</definedName>
    <definedName name="평균이자율" localSheetId="1" hidden="1">[2]이자율!#REF!</definedName>
    <definedName name="ㅎㅇ" localSheetId="1" hidden="1">{#N/A,#N/A,FALSE,"Aging Summary";#N/A,#N/A,FALSE,"Ratio Analysis";#N/A,#N/A,FALSE,"Test 120 Day Accts";#N/A,#N/A,FALSE,"Tickmarks"}</definedName>
    <definedName name="ㅎㅎ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현금등가물" localSheetId="1" hidden="1">{#N/A,#N/A,FALSE,"Aging Summary";#N/A,#N/A,FALSE,"Ratio Analysis";#N/A,#N/A,FALSE,"Test 120 Day Accts";#N/A,#N/A,FALSE,"Tickmarks"}</definedName>
    <definedName name="현금등가물및단기" localSheetId="1" hidden="1">{#N/A,#N/A,FALSE,"Aging Summary";#N/A,#N/A,FALSE,"Ratio Analysis";#N/A,#N/A,FALSE,"Test 120 Day Accts";#N/A,#N/A,FALSE,"Tickmarks"}</definedName>
    <definedName name="현금흐름" localSheetId="1" hidden="1">{#N/A,#N/A,FALSE,"Aging Summary";#N/A,#N/A,FALSE,"Ratio Analysis";#N/A,#N/A,FALSE,"Test 120 Day Accts";#N/A,#N/A,FALSE,"Tickmarks"}</definedName>
    <definedName name="호ㅗ홓ㅎ" localSheetId="1" hidden="1">{#N/A,#N/A,FALSE,"재고현황";#N/A,#N/A,FALSE,"어음현황";#N/A,#N/A,FALSE,"생산계획";#N/A,#N/A,FALSE,"판매계획";#N/A,#N/A,FALSE,"수금계획서";#N/A,#N/A,FALSE,"요약손익"}</definedName>
    <definedName name="ㅑㅑ" localSheetId="1" hidden="1">{#N/A,#N/A,FALSE,"재고현황";#N/A,#N/A,FALSE,"어음현황";#N/A,#N/A,FALSE,"생산계획";#N/A,#N/A,FALSE,"판매계획";#N/A,#N/A,FALSE,"수금계획서";#N/A,#N/A,FALSE,"요약손익"}</definedName>
    <definedName name="ㅒ" localSheetId="1" hidden="1">{#N/A,#N/A,FALSE,"재고현황";#N/A,#N/A,FALSE,"어음현황";#N/A,#N/A,FALSE,"생산계획";#N/A,#N/A,FALSE,"판매계획";#N/A,#N/A,FALSE,"수금계획서";#N/A,#N/A,FALSE,"요약손익"}</definedName>
    <definedName name="ㅓㅓㅓ" localSheetId="1" hidden="1">{"'9월'!$F$38"}</definedName>
    <definedName name="ㅔㅔㅔㅔㅔ" localSheetId="1" hidden="1">{#N/A,#N/A,FALSE,"재고현황";#N/A,#N/A,FALSE,"어음현황";#N/A,#N/A,FALSE,"생산계획";#N/A,#N/A,FALSE,"판매계획";#N/A,#N/A,FALSE,"수금계획서";#N/A,#N/A,FALSE,"요약손익"}</definedName>
    <definedName name="ㅗㄹ호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ㅠ" localSheetId="1" hidden="1">{#N/A,#N/A,FALSE,"Aging Summary";#N/A,#N/A,FALSE,"Ratio Analysis";#N/A,#N/A,FALSE,"Test 120 Day Accts";#N/A,#N/A,FALSE,"Tickmarks"}</definedName>
    <definedName name="_xlnm._FilterDatabase" localSheetId="1" hidden="1">'전년대비 인원증감현황'!$A$4:$L$42</definedName>
    <definedName name="_xlnm.Print_Area" localSheetId="1">'전년대비 인원증감현황'!$A$1:$L$41</definedName>
    <definedName name="ExternalData_2" localSheetId="2" hidden="1">사원현황!$A$1:$J$199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_ ;[Red]\-#,##0\ "/>
    <numFmt numFmtId="165" formatCode="#,##0_ "/>
    <numFmt numFmtId="166" formatCode="0_ ;[Red]\-0\ "/>
    <numFmt numFmtId="167" formatCode="0.0%"/>
  </numFmts>
  <fonts count="17">
    <font>
      <name val="돋움체"/>
      <charset val="129"/>
      <family val="2"/>
      <color theme="1"/>
      <sz val="9"/>
    </font>
    <font>
      <name val="돋움체"/>
      <charset val="129"/>
      <family val="2"/>
      <sz val="8"/>
    </font>
    <font>
      <name val="돋움"/>
      <charset val="129"/>
      <family val="3"/>
      <sz val="11"/>
    </font>
    <font>
      <name val="Microsoft NeoGothic"/>
      <charset val="129"/>
      <family val="3"/>
      <b val="1"/>
      <color indexed="12"/>
      <sz val="30"/>
    </font>
    <font>
      <name val="Microsoft NeoGothic"/>
      <charset val="129"/>
      <family val="3"/>
      <b val="1"/>
      <color rgb="FF0000FF"/>
      <sz val="10"/>
    </font>
    <font>
      <name val="돋움"/>
      <charset val="129"/>
      <family val="3"/>
      <sz val="8"/>
    </font>
    <font>
      <name val="Microsoft NeoGothic"/>
      <charset val="129"/>
      <family val="3"/>
      <sz val="11"/>
    </font>
    <font>
      <name val="Microsoft NeoGothic"/>
      <charset val="129"/>
      <family val="3"/>
      <sz val="12"/>
    </font>
    <font>
      <name val="Microsoft NeoGothic"/>
      <charset val="129"/>
      <family val="3"/>
      <b val="1"/>
      <sz val="12"/>
    </font>
    <font>
      <name val="Microsoft NeoGothic"/>
      <charset val="129"/>
      <family val="3"/>
      <sz val="8"/>
    </font>
    <font>
      <name val="Microsoft NeoGothic"/>
      <charset val="129"/>
      <family val="3"/>
      <sz val="9"/>
    </font>
    <font>
      <name val="Microsoft NeoGothic"/>
      <charset val="129"/>
      <family val="3"/>
      <color rgb="FFC00000"/>
      <sz val="9"/>
    </font>
    <font>
      <name val="Microsoft NeoGothic"/>
      <charset val="129"/>
      <family val="3"/>
      <color rgb="FFC00000"/>
      <sz val="11"/>
    </font>
    <font>
      <name val="Microsoft NeoGothic"/>
      <charset val="129"/>
      <family val="3"/>
      <color theme="1"/>
      <sz val="12"/>
    </font>
    <font>
      <name val="Microsoft NeoGothic"/>
      <charset val="129"/>
      <family val="3"/>
      <b val="1"/>
      <color rgb="FFFF0000"/>
      <sz val="11"/>
    </font>
    <font>
      <name val="Microsoft NeoGothic"/>
      <charset val="129"/>
      <family val="3"/>
      <color theme="1"/>
      <sz val="9"/>
    </font>
    <font>
      <name val="Microsoft NeoGothic"/>
      <charset val="129"/>
      <family val="3"/>
      <color rgb="FFC00000"/>
      <sz val="12"/>
    </font>
  </fonts>
  <fills count="11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</fills>
  <borders count="10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2" fillId="0" borderId="0" applyAlignment="1">
      <alignment vertical="center"/>
    </xf>
    <xf numFmtId="9" fontId="2" fillId="0" borderId="0" applyAlignment="1">
      <alignment vertical="center"/>
    </xf>
  </cellStyleXfs>
  <cellXfs count="269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8" fillId="2" borderId="13" applyAlignment="1" pivotButton="0" quotePrefix="0" xfId="1">
      <alignment horizontal="center" vertical="center" wrapText="1"/>
    </xf>
    <xf numFmtId="0" fontId="8" fillId="2" borderId="14" applyAlignment="1" pivotButton="0" quotePrefix="0" xfId="1">
      <alignment horizontal="center" vertical="center" wrapText="1"/>
    </xf>
    <xf numFmtId="0" fontId="8" fillId="2" borderId="15" applyAlignment="1" pivotButton="0" quotePrefix="0" xfId="1">
      <alignment horizontal="center" vertical="center" wrapText="1"/>
    </xf>
    <xf numFmtId="0" fontId="8" fillId="2" borderId="16" applyAlignment="1" pivotButton="0" quotePrefix="0" xfId="1">
      <alignment horizontal="center" vertical="center" wrapText="1"/>
    </xf>
    <xf numFmtId="0" fontId="8" fillId="2" borderId="17" applyAlignment="1" pivotButton="0" quotePrefix="0" xfId="1">
      <alignment horizontal="center" vertical="center" wrapText="1"/>
    </xf>
    <xf numFmtId="164" fontId="8" fillId="2" borderId="15" applyAlignment="1" pivotButton="0" quotePrefix="0" xfId="1">
      <alignment horizontal="center" vertical="center" wrapText="1"/>
    </xf>
    <xf numFmtId="165" fontId="7" fillId="0" borderId="18" applyAlignment="1" pivotButton="0" quotePrefix="0" xfId="1">
      <alignment horizontal="right" vertical="center"/>
    </xf>
    <xf numFmtId="165" fontId="7" fillId="0" borderId="19" applyAlignment="1" pivotButton="0" quotePrefix="0" xfId="1">
      <alignment horizontal="right" vertical="center"/>
    </xf>
    <xf numFmtId="166" fontId="7" fillId="0" borderId="20" applyAlignment="1" pivotButton="0" quotePrefix="0" xfId="2">
      <alignment horizontal="right" vertical="center"/>
    </xf>
    <xf numFmtId="167" fontId="7" fillId="0" borderId="21" applyAlignment="1" pivotButton="0" quotePrefix="0" xfId="2">
      <alignment horizontal="right" vertical="center"/>
    </xf>
    <xf numFmtId="164" fontId="7" fillId="0" borderId="22" applyAlignment="1" pivotButton="0" quotePrefix="0" xfId="2">
      <alignment horizontal="right" vertical="center"/>
    </xf>
    <xf numFmtId="10" fontId="7" fillId="0" borderId="23" applyAlignment="1" pivotButton="0" quotePrefix="0" xfId="2">
      <alignment horizontal="right" vertical="center"/>
    </xf>
    <xf numFmtId="0" fontId="7" fillId="3" borderId="0" applyAlignment="1" pivotButton="0" quotePrefix="0" xfId="1">
      <alignment vertical="center"/>
    </xf>
    <xf numFmtId="0" fontId="7" fillId="0" borderId="25" applyAlignment="1" pivotButton="0" quotePrefix="0" xfId="1">
      <alignment horizontal="center" vertical="center"/>
    </xf>
    <xf numFmtId="165" fontId="7" fillId="0" borderId="26" applyAlignment="1" pivotButton="0" quotePrefix="0" xfId="1">
      <alignment horizontal="right" vertical="center"/>
    </xf>
    <xf numFmtId="165" fontId="7" fillId="0" borderId="27" applyAlignment="1" pivotButton="0" quotePrefix="0" xfId="1">
      <alignment horizontal="right" vertical="center"/>
    </xf>
    <xf numFmtId="166" fontId="7" fillId="0" borderId="28" applyAlignment="1" pivotButton="0" quotePrefix="0" xfId="2">
      <alignment horizontal="right" vertical="center"/>
    </xf>
    <xf numFmtId="167" fontId="7" fillId="0" borderId="29" applyAlignment="1" pivotButton="0" quotePrefix="0" xfId="2">
      <alignment horizontal="right" vertical="center"/>
    </xf>
    <xf numFmtId="164" fontId="7" fillId="0" borderId="26" applyAlignment="1" pivotButton="0" quotePrefix="0" xfId="2">
      <alignment horizontal="right" vertical="center"/>
    </xf>
    <xf numFmtId="10" fontId="7" fillId="0" borderId="27" applyAlignment="1" pivotButton="0" quotePrefix="0" xfId="2">
      <alignment horizontal="right" vertical="center"/>
    </xf>
    <xf numFmtId="0" fontId="7" fillId="0" borderId="30" applyAlignment="1" pivotButton="0" quotePrefix="0" xfId="1">
      <alignment horizontal="center" vertical="center"/>
    </xf>
    <xf numFmtId="165" fontId="7" fillId="0" borderId="31" applyAlignment="1" pivotButton="0" quotePrefix="0" xfId="1">
      <alignment horizontal="right" vertical="center"/>
    </xf>
    <xf numFmtId="165" fontId="7" fillId="4" borderId="32" applyAlignment="1" pivotButton="0" quotePrefix="0" xfId="1">
      <alignment horizontal="right" vertical="center"/>
    </xf>
    <xf numFmtId="166" fontId="7" fillId="0" borderId="33" applyAlignment="1" pivotButton="0" quotePrefix="0" xfId="2">
      <alignment horizontal="right" vertical="center"/>
    </xf>
    <xf numFmtId="167" fontId="7" fillId="0" borderId="34" applyAlignment="1" pivotButton="0" quotePrefix="0" xfId="2">
      <alignment horizontal="right" vertical="center"/>
    </xf>
    <xf numFmtId="164" fontId="7" fillId="0" borderId="35" applyAlignment="1" pivotButton="0" quotePrefix="0" xfId="2">
      <alignment horizontal="right" vertical="center"/>
    </xf>
    <xf numFmtId="10" fontId="7" fillId="0" borderId="36" applyAlignment="1" pivotButton="0" quotePrefix="0" xfId="2">
      <alignment horizontal="right" vertical="center"/>
    </xf>
    <xf numFmtId="0" fontId="7" fillId="0" borderId="37" applyAlignment="1" pivotButton="0" quotePrefix="0" xfId="1">
      <alignment horizontal="center" vertical="center"/>
    </xf>
    <xf numFmtId="165" fontId="7" fillId="0" borderId="38" applyAlignment="1" pivotButton="0" quotePrefix="0" xfId="1">
      <alignment horizontal="right" vertical="center"/>
    </xf>
    <xf numFmtId="165" fontId="7" fillId="0" borderId="39" applyAlignment="1" pivotButton="0" quotePrefix="0" xfId="1">
      <alignment horizontal="right" vertical="center"/>
    </xf>
    <xf numFmtId="0" fontId="9" fillId="0" borderId="0" applyAlignment="1" pivotButton="0" quotePrefix="0" xfId="1">
      <alignment vertical="center" wrapText="1"/>
    </xf>
    <xf numFmtId="166" fontId="7" fillId="0" borderId="40" applyAlignment="1" pivotButton="0" quotePrefix="0" xfId="2">
      <alignment horizontal="right" vertical="center"/>
    </xf>
    <xf numFmtId="167" fontId="7" fillId="0" borderId="41" applyAlignment="1" pivotButton="0" quotePrefix="0" xfId="2">
      <alignment horizontal="right" vertical="center"/>
    </xf>
    <xf numFmtId="164" fontId="7" fillId="0" borderId="42" applyAlignment="1" pivotButton="0" quotePrefix="0" xfId="2">
      <alignment horizontal="right" vertical="center"/>
    </xf>
    <xf numFmtId="10" fontId="7" fillId="0" borderId="43" applyAlignment="1" pivotButton="0" quotePrefix="0" xfId="2">
      <alignment horizontal="right" vertical="center"/>
    </xf>
    <xf numFmtId="49" fontId="7" fillId="0" borderId="45" applyAlignment="1" pivotButton="0" quotePrefix="0" xfId="1">
      <alignment horizontal="centerContinuous" vertical="center"/>
    </xf>
    <xf numFmtId="165" fontId="7" fillId="0" borderId="46" applyAlignment="1" pivotButton="0" quotePrefix="0" xfId="1">
      <alignment horizontal="right" vertical="center"/>
    </xf>
    <xf numFmtId="165" fontId="7" fillId="0" borderId="47" applyAlignment="1" pivotButton="0" quotePrefix="0" xfId="1">
      <alignment horizontal="right" vertical="center"/>
    </xf>
    <xf numFmtId="166" fontId="7" fillId="0" borderId="48" applyAlignment="1" pivotButton="0" quotePrefix="0" xfId="2">
      <alignment horizontal="right" vertical="center"/>
    </xf>
    <xf numFmtId="167" fontId="7" fillId="0" borderId="49" applyAlignment="1" pivotButton="0" quotePrefix="0" xfId="2">
      <alignment horizontal="right" vertical="center"/>
    </xf>
    <xf numFmtId="164" fontId="7" fillId="0" borderId="46" applyAlignment="1" pivotButton="0" quotePrefix="0" xfId="2">
      <alignment horizontal="right" vertical="center"/>
    </xf>
    <xf numFmtId="10" fontId="7" fillId="0" borderId="47" applyAlignment="1" pivotButton="0" quotePrefix="0" xfId="2">
      <alignment horizontal="right" vertical="center"/>
    </xf>
    <xf numFmtId="0" fontId="10" fillId="0" borderId="0" applyAlignment="1" pivotButton="0" quotePrefix="0" xfId="1">
      <alignment vertical="center" wrapText="1"/>
    </xf>
    <xf numFmtId="0" fontId="10" fillId="0" borderId="0" applyAlignment="1" pivotButton="0" quotePrefix="0" xfId="1">
      <alignment vertical="center"/>
    </xf>
    <xf numFmtId="0" fontId="7" fillId="5" borderId="0" applyAlignment="1" pivotButton="0" quotePrefix="0" xfId="1">
      <alignment vertical="center"/>
    </xf>
    <xf numFmtId="0" fontId="7" fillId="0" borderId="50" applyAlignment="1" pivotButton="0" quotePrefix="0" xfId="1">
      <alignment horizontal="center" vertical="center"/>
    </xf>
    <xf numFmtId="165" fontId="7" fillId="0" borderId="35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0" fontId="11" fillId="0" borderId="0" applyAlignment="1" pivotButton="0" quotePrefix="0" xfId="1">
      <alignment vertical="center" wrapText="1"/>
    </xf>
    <xf numFmtId="0" fontId="7" fillId="0" borderId="51" applyAlignment="1" pivotButton="0" quotePrefix="0" xfId="1">
      <alignment horizontal="center" vertical="center"/>
    </xf>
    <xf numFmtId="165" fontId="7" fillId="0" borderId="42" applyAlignment="1" pivotButton="0" quotePrefix="0" xfId="1">
      <alignment horizontal="right" vertical="center"/>
    </xf>
    <xf numFmtId="165" fontId="7" fillId="0" borderId="43" applyAlignment="1" pivotButton="0" quotePrefix="0" xfId="1">
      <alignment horizontal="right" vertical="center"/>
    </xf>
    <xf numFmtId="0" fontId="7" fillId="0" borderId="52" applyAlignment="1" pivotButton="0" quotePrefix="0" xfId="1">
      <alignment horizontal="center" vertical="center"/>
    </xf>
    <xf numFmtId="0" fontId="7" fillId="0" borderId="53" applyAlignment="1" pivotButton="0" quotePrefix="0" xfId="1">
      <alignment horizontal="center" vertical="center"/>
    </xf>
    <xf numFmtId="0" fontId="12" fillId="0" borderId="0" applyAlignment="1" pivotButton="0" quotePrefix="0" xfId="1">
      <alignment vertical="center"/>
    </xf>
    <xf numFmtId="166" fontId="7" fillId="0" borderId="54" applyAlignment="1" pivotButton="0" quotePrefix="0" xfId="2">
      <alignment horizontal="right" vertical="center"/>
    </xf>
    <xf numFmtId="167" fontId="7" fillId="0" borderId="55" applyAlignment="1" pivotButton="0" quotePrefix="0" xfId="2">
      <alignment horizontal="right" vertical="center"/>
    </xf>
    <xf numFmtId="164" fontId="7" fillId="0" borderId="56" applyAlignment="1" pivotButton="0" quotePrefix="0" xfId="2">
      <alignment horizontal="right" vertical="center"/>
    </xf>
    <xf numFmtId="10" fontId="7" fillId="0" borderId="57" applyAlignment="1" pivotButton="0" quotePrefix="0" xfId="2">
      <alignment horizontal="right" vertical="center"/>
    </xf>
    <xf numFmtId="165" fontId="8" fillId="6" borderId="60" applyAlignment="1" pivotButton="0" quotePrefix="0" xfId="1">
      <alignment horizontal="right" vertical="center" wrapText="1"/>
    </xf>
    <xf numFmtId="165" fontId="8" fillId="6" borderId="61" applyAlignment="1" pivotButton="0" quotePrefix="0" xfId="1">
      <alignment horizontal="right" vertical="center" wrapText="1"/>
    </xf>
    <xf numFmtId="166" fontId="7" fillId="7" borderId="62" applyAlignment="1" pivotButton="0" quotePrefix="0" xfId="2">
      <alignment horizontal="right" vertical="center"/>
    </xf>
    <xf numFmtId="10" fontId="7" fillId="7" borderId="63" applyAlignment="1" pivotButton="0" quotePrefix="0" xfId="2">
      <alignment horizontal="right" vertical="center"/>
    </xf>
    <xf numFmtId="164" fontId="7" fillId="7" borderId="60" applyAlignment="1" pivotButton="0" quotePrefix="0" xfId="2">
      <alignment horizontal="right" vertical="center"/>
    </xf>
    <xf numFmtId="10" fontId="7" fillId="7" borderId="61" applyAlignment="1" pivotButton="0" quotePrefix="0" xfId="2">
      <alignment horizontal="right" vertical="center"/>
    </xf>
    <xf numFmtId="165" fontId="7" fillId="0" borderId="48" applyAlignment="1" pivotButton="0" quotePrefix="0" xfId="1">
      <alignment horizontal="right" vertical="center" wrapText="1"/>
    </xf>
    <xf numFmtId="165" fontId="7" fillId="0" borderId="47" applyAlignment="1" pivotButton="0" quotePrefix="0" xfId="1">
      <alignment horizontal="right" vertical="center" wrapText="1"/>
    </xf>
    <xf numFmtId="0" fontId="7" fillId="8" borderId="0" applyAlignment="1" pivotButton="0" quotePrefix="0" xfId="1">
      <alignment vertical="center"/>
    </xf>
    <xf numFmtId="165" fontId="7" fillId="0" borderId="65" applyAlignment="1" pivotButton="0" quotePrefix="0" xfId="1">
      <alignment horizontal="right" vertical="center" wrapText="1"/>
    </xf>
    <xf numFmtId="165" fontId="7" fillId="0" borderId="66" applyAlignment="1" pivotButton="0" quotePrefix="0" xfId="1">
      <alignment horizontal="right" vertical="center" wrapText="1"/>
    </xf>
    <xf numFmtId="165" fontId="7" fillId="0" borderId="16" applyAlignment="1" pivotButton="0" quotePrefix="0" xfId="1">
      <alignment horizontal="right" vertical="center" wrapText="1"/>
    </xf>
    <xf numFmtId="165" fontId="7" fillId="0" borderId="14" applyAlignment="1" pivotButton="0" quotePrefix="0" xfId="1">
      <alignment horizontal="right" vertical="center" wrapText="1"/>
    </xf>
    <xf numFmtId="165" fontId="8" fillId="6" borderId="62" applyAlignment="1" pivotButton="0" quotePrefix="0" xfId="1">
      <alignment horizontal="right" vertical="center" wrapText="1"/>
    </xf>
    <xf numFmtId="165" fontId="8" fillId="6" borderId="71" applyAlignment="1" pivotButton="0" quotePrefix="0" xfId="1">
      <alignment horizontal="right" vertical="center" wrapText="1"/>
    </xf>
    <xf numFmtId="167" fontId="7" fillId="7" borderId="63" applyAlignment="1" pivotButton="0" quotePrefix="0" xfId="2">
      <alignment horizontal="right" vertical="center"/>
    </xf>
    <xf numFmtId="165" fontId="7" fillId="0" borderId="74" applyAlignment="1" pivotButton="0" quotePrefix="0" xfId="1">
      <alignment horizontal="right" vertical="center"/>
    </xf>
    <xf numFmtId="165" fontId="13" fillId="0" borderId="75" applyAlignment="1" pivotButton="0" quotePrefix="0" xfId="1">
      <alignment horizontal="right" vertical="center"/>
    </xf>
    <xf numFmtId="165" fontId="7" fillId="0" borderId="75" applyAlignment="1" pivotButton="0" quotePrefix="0" xfId="1">
      <alignment horizontal="right" vertical="center"/>
    </xf>
    <xf numFmtId="166" fontId="7" fillId="0" borderId="76" applyAlignment="1" pivotButton="0" quotePrefix="0" xfId="2">
      <alignment horizontal="right" vertical="center"/>
    </xf>
    <xf numFmtId="167" fontId="7" fillId="0" borderId="77" applyAlignment="1" pivotButton="0" quotePrefix="0" xfId="2">
      <alignment horizontal="right" vertical="center"/>
    </xf>
    <xf numFmtId="164" fontId="7" fillId="0" borderId="74" applyAlignment="1" pivotButton="0" quotePrefix="0" xfId="2">
      <alignment horizontal="right" vertical="center"/>
    </xf>
    <xf numFmtId="10" fontId="7" fillId="0" borderId="75" applyAlignment="1" pivotButton="0" quotePrefix="0" xfId="2">
      <alignment horizontal="right" vertical="center"/>
    </xf>
    <xf numFmtId="0" fontId="13" fillId="0" borderId="0" applyAlignment="1" pivotButton="0" quotePrefix="0" xfId="1">
      <alignment vertical="center"/>
    </xf>
    <xf numFmtId="165" fontId="13" fillId="0" borderId="36" applyAlignment="1" pivotButton="0" quotePrefix="0" xfId="1">
      <alignment horizontal="right" vertical="center"/>
    </xf>
    <xf numFmtId="165" fontId="7" fillId="0" borderId="81" applyAlignment="1" pivotButton="0" quotePrefix="0" xfId="1">
      <alignment horizontal="right" vertical="center"/>
    </xf>
    <xf numFmtId="165" fontId="7" fillId="0" borderId="82" applyAlignment="1" pivotButton="0" quotePrefix="0" xfId="1">
      <alignment horizontal="right" vertical="center"/>
    </xf>
    <xf numFmtId="166" fontId="7" fillId="0" borderId="83" applyAlignment="1" pivotButton="0" quotePrefix="0" xfId="2">
      <alignment horizontal="right" vertical="center"/>
    </xf>
    <xf numFmtId="167" fontId="7" fillId="0" borderId="84" applyAlignment="1" pivotButton="0" quotePrefix="0" xfId="2">
      <alignment horizontal="right" vertical="center"/>
    </xf>
    <xf numFmtId="164" fontId="7" fillId="0" borderId="81" applyAlignment="1" pivotButton="0" quotePrefix="0" xfId="2">
      <alignment horizontal="right" vertical="center"/>
    </xf>
    <xf numFmtId="10" fontId="7" fillId="0" borderId="82" applyAlignment="1" pivotButton="0" quotePrefix="0" xfId="2">
      <alignment horizontal="right" vertical="center"/>
    </xf>
    <xf numFmtId="165" fontId="8" fillId="9" borderId="85" applyAlignment="1" pivotButton="0" quotePrefix="0" xfId="1">
      <alignment horizontal="right" vertical="center" wrapText="1"/>
    </xf>
    <xf numFmtId="165" fontId="8" fillId="9" borderId="61" applyAlignment="1" pivotButton="0" quotePrefix="0" xfId="1">
      <alignment horizontal="right" vertical="center" wrapText="1"/>
    </xf>
    <xf numFmtId="165" fontId="8" fillId="2" borderId="62" applyAlignment="1" pivotButton="0" quotePrefix="0" xfId="1">
      <alignment vertical="center" wrapText="1"/>
    </xf>
    <xf numFmtId="165" fontId="8" fillId="2" borderId="61" applyAlignment="1" pivotButton="0" quotePrefix="0" xfId="1">
      <alignment vertical="center" wrapText="1"/>
    </xf>
    <xf numFmtId="0" fontId="14" fillId="0" borderId="0" applyAlignment="1" pivotButton="0" quotePrefix="0" xfId="1">
      <alignment vertical="center"/>
    </xf>
    <xf numFmtId="165" fontId="14" fillId="0" borderId="0" applyAlignment="1" pivotButton="0" quotePrefix="0" xfId="1">
      <alignment vertical="center"/>
    </xf>
    <xf numFmtId="0" fontId="2" fillId="0" borderId="0" applyAlignment="1" pivotButton="0" quotePrefix="0" xfId="1">
      <alignment vertical="center"/>
    </xf>
    <xf numFmtId="0" fontId="10" fillId="0" borderId="0" applyAlignment="1" pivotButton="0" quotePrefix="0" xfId="1">
      <alignment horizontal="center" vertical="center"/>
    </xf>
    <xf numFmtId="10" fontId="7" fillId="0" borderId="14" applyAlignment="1" pivotButton="0" quotePrefix="0" xfId="2">
      <alignment horizontal="right" vertical="center"/>
    </xf>
    <xf numFmtId="0" fontId="10" fillId="2" borderId="0" applyAlignment="1" pivotButton="0" quotePrefix="0" xfId="1">
      <alignment horizontal="left" vertical="center"/>
    </xf>
    <xf numFmtId="0" fontId="10" fillId="0" borderId="0" applyAlignment="1" pivotButton="0" quotePrefix="0" xfId="1">
      <alignment horizontal="left" vertical="center"/>
    </xf>
    <xf numFmtId="49" fontId="10" fillId="0" borderId="0" applyAlignment="1" pivotButton="0" quotePrefix="0" xfId="1">
      <alignment horizontal="left" vertical="center"/>
    </xf>
    <xf numFmtId="0" fontId="10" fillId="3" borderId="0" applyAlignment="1" pivotButton="0" quotePrefix="0" xfId="1">
      <alignment horizontal="left" vertical="center"/>
    </xf>
    <xf numFmtId="0" fontId="15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14" fontId="15" fillId="0" borderId="0" applyAlignment="1" pivotButton="0" quotePrefix="0" xfId="0">
      <alignment horizontal="center" vertical="center"/>
    </xf>
    <xf numFmtId="14" fontId="6" fillId="3" borderId="0" applyAlignment="1" pivotButton="0" quotePrefix="0" xfId="1">
      <alignment vertical="center"/>
    </xf>
    <xf numFmtId="165" fontId="7" fillId="4" borderId="32" applyAlignment="1" pivotButton="0" quotePrefix="0" xfId="1">
      <alignment vertical="center"/>
    </xf>
    <xf numFmtId="14" fontId="0" fillId="0" borderId="0" applyAlignment="1" pivotButton="0" quotePrefix="0" xfId="0">
      <alignment vertical="center"/>
    </xf>
    <xf numFmtId="49" fontId="7" fillId="0" borderId="64" applyAlignment="1" pivotButton="0" quotePrefix="0" xfId="1">
      <alignment horizontal="centerContinuous" vertical="center"/>
    </xf>
    <xf numFmtId="0" fontId="7" fillId="0" borderId="5" applyAlignment="1" pivotButton="0" quotePrefix="0" xfId="1">
      <alignment horizontal="centerContinuous" vertical="center"/>
    </xf>
    <xf numFmtId="0" fontId="7" fillId="0" borderId="8" applyAlignment="1" pivotButton="0" quotePrefix="0" xfId="1">
      <alignment horizontal="centerContinuous" vertical="center"/>
    </xf>
    <xf numFmtId="0" fontId="16" fillId="0" borderId="0" applyAlignment="1" pivotButton="0" quotePrefix="0" xfId="1">
      <alignment vertical="center"/>
    </xf>
    <xf numFmtId="0" fontId="8" fillId="0" borderId="1" applyAlignment="1" pivotButton="0" quotePrefix="0" xfId="1">
      <alignment horizontal="center" vertical="center" wrapText="1"/>
    </xf>
    <xf numFmtId="0" fontId="8" fillId="0" borderId="24" applyAlignment="1" pivotButton="0" quotePrefix="0" xfId="1">
      <alignment horizontal="center" vertical="center" wrapText="1"/>
    </xf>
    <xf numFmtId="0" fontId="8" fillId="0" borderId="9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 textRotation="255"/>
    </xf>
    <xf numFmtId="0" fontId="8" fillId="0" borderId="24" applyAlignment="1" pivotButton="0" quotePrefix="0" xfId="1">
      <alignment horizontal="center" vertical="center" textRotation="255"/>
    </xf>
    <xf numFmtId="0" fontId="8" fillId="0" borderId="9" applyAlignment="1" pivotButton="0" quotePrefix="0" xfId="1">
      <alignment horizontal="center" vertical="center" textRotation="255"/>
    </xf>
    <xf numFmtId="0" fontId="3" fillId="0" borderId="0" applyAlignment="1" pivotButton="0" quotePrefix="0" xfId="1">
      <alignment horizontal="center" vertical="center"/>
    </xf>
    <xf numFmtId="0" fontId="8" fillId="2" borderId="2" applyAlignment="1" pivotButton="0" quotePrefix="0" xfId="1">
      <alignment horizontal="center" vertical="center"/>
    </xf>
    <xf numFmtId="0" fontId="8" fillId="2" borderId="3" applyAlignment="1" pivotButton="0" quotePrefix="0" xfId="1">
      <alignment horizontal="center" vertical="center"/>
    </xf>
    <xf numFmtId="0" fontId="8" fillId="2" borderId="4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/>
    </xf>
    <xf numFmtId="0" fontId="8" fillId="2" borderId="11" applyAlignment="1" pivotButton="0" quotePrefix="0" xfId="1">
      <alignment horizontal="center" vertical="center"/>
    </xf>
    <xf numFmtId="0" fontId="8" fillId="2" borderId="12" applyAlignment="1" pivotButton="0" quotePrefix="0" xfId="1">
      <alignment horizontal="center" vertical="center"/>
    </xf>
    <xf numFmtId="0" fontId="8" fillId="2" borderId="5" applyAlignment="1" pivotButton="0" quotePrefix="0" xfId="1">
      <alignment horizontal="center" vertical="center" wrapText="1"/>
    </xf>
    <xf numFmtId="0" fontId="8" fillId="2" borderId="6" applyAlignment="1" pivotButton="0" quotePrefix="0" xfId="1">
      <alignment horizontal="center" vertical="center" wrapText="1"/>
    </xf>
    <xf numFmtId="0" fontId="8" fillId="2" borderId="7" applyAlignment="1" pivotButton="0" quotePrefix="0" xfId="1">
      <alignment horizontal="center" vertical="center" wrapText="1"/>
    </xf>
    <xf numFmtId="0" fontId="8" fillId="2" borderId="7" applyAlignment="1" pivotButton="0" quotePrefix="0" xfId="1">
      <alignment horizontal="center" vertical="center"/>
    </xf>
    <xf numFmtId="0" fontId="8" fillId="2" borderId="5" applyAlignment="1" pivotButton="0" quotePrefix="0" xfId="1">
      <alignment horizontal="center" vertical="center"/>
    </xf>
    <xf numFmtId="0" fontId="8" fillId="2" borderId="8" applyAlignment="1" pivotButton="0" quotePrefix="0" xfId="1">
      <alignment horizontal="center" vertical="center"/>
    </xf>
    <xf numFmtId="0" fontId="7" fillId="0" borderId="44" applyAlignment="1" pivotButton="0" quotePrefix="0" xfId="1">
      <alignment horizontal="center" vertical="center"/>
    </xf>
    <xf numFmtId="0" fontId="7" fillId="0" borderId="64" applyAlignment="1" pivotButton="0" quotePrefix="0" xfId="1">
      <alignment horizontal="center" vertical="center"/>
    </xf>
    <xf numFmtId="0" fontId="7" fillId="0" borderId="88" applyAlignment="1" pivotButton="0" quotePrefix="0" xfId="1">
      <alignment horizontal="center" vertical="center" wrapText="1"/>
    </xf>
    <xf numFmtId="0" fontId="7" fillId="0" borderId="89" applyAlignment="1" pivotButton="0" quotePrefix="0" xfId="1">
      <alignment horizontal="center" vertical="center" wrapText="1"/>
    </xf>
    <xf numFmtId="0" fontId="7" fillId="0" borderId="89" applyAlignment="1" pivotButton="0" quotePrefix="0" xfId="1">
      <alignment horizontal="center" vertical="center"/>
    </xf>
    <xf numFmtId="0" fontId="7" fillId="0" borderId="90" applyAlignment="1" pivotButton="0" quotePrefix="0" xfId="1">
      <alignment horizontal="center" vertical="center"/>
    </xf>
    <xf numFmtId="0" fontId="7" fillId="0" borderId="90" applyAlignment="1" pivotButton="0" quotePrefix="0" xfId="1">
      <alignment horizontal="center" vertical="center" wrapText="1"/>
    </xf>
    <xf numFmtId="0" fontId="8" fillId="6" borderId="59" applyAlignment="1" pivotButton="0" quotePrefix="0" xfId="1">
      <alignment horizontal="center" vertical="center"/>
    </xf>
    <xf numFmtId="0" fontId="8" fillId="6" borderId="87" applyAlignment="1" pivotButton="0" quotePrefix="0" xfId="1">
      <alignment horizontal="center" vertical="center"/>
    </xf>
    <xf numFmtId="0" fontId="8" fillId="9" borderId="58" applyAlignment="1" pivotButton="0" quotePrefix="0" xfId="1">
      <alignment horizontal="center" vertical="center"/>
    </xf>
    <xf numFmtId="0" fontId="8" fillId="9" borderId="59" applyAlignment="1" pivotButton="0" quotePrefix="0" xfId="1">
      <alignment horizontal="center" vertical="center"/>
    </xf>
    <xf numFmtId="0" fontId="7" fillId="0" borderId="67" applyAlignment="1" pivotButton="0" quotePrefix="0" xfId="1">
      <alignment horizontal="center" vertical="center"/>
    </xf>
    <xf numFmtId="0" fontId="7" fillId="0" borderId="68" applyAlignment="1" pivotButton="0" quotePrefix="0" xfId="1">
      <alignment horizontal="center" vertical="center"/>
    </xf>
    <xf numFmtId="0" fontId="8" fillId="6" borderId="58" applyAlignment="1" pivotButton="0" quotePrefix="0" xfId="1">
      <alignment horizontal="center" vertical="center"/>
    </xf>
    <xf numFmtId="0" fontId="8" fillId="6" borderId="86" applyAlignment="1" pivotButton="0" quotePrefix="0" xfId="1">
      <alignment horizontal="center" vertical="center"/>
    </xf>
    <xf numFmtId="0" fontId="7" fillId="0" borderId="69" applyAlignment="1" pivotButton="0" quotePrefix="0" xfId="1">
      <alignment horizontal="center" vertical="center"/>
    </xf>
    <xf numFmtId="0" fontId="7" fillId="0" borderId="70" applyAlignment="1" pivotButton="0" quotePrefix="0" xfId="1">
      <alignment horizontal="center" vertical="center"/>
    </xf>
    <xf numFmtId="165" fontId="8" fillId="2" borderId="59" applyAlignment="1" pivotButton="0" quotePrefix="0" xfId="1">
      <alignment horizontal="right" vertical="center" wrapText="1"/>
    </xf>
    <xf numFmtId="165" fontId="8" fillId="2" borderId="86" applyAlignment="1" pivotButton="0" quotePrefix="0" xfId="1">
      <alignment horizontal="right" vertical="center" wrapText="1"/>
    </xf>
    <xf numFmtId="166" fontId="7" fillId="0" borderId="69" applyAlignment="1" pivotButton="0" quotePrefix="0" xfId="2">
      <alignment horizontal="right" vertical="center"/>
    </xf>
    <xf numFmtId="166" fontId="7" fillId="0" borderId="70" applyAlignment="1" pivotButton="0" quotePrefix="0" xfId="2">
      <alignment horizontal="right" vertical="center"/>
    </xf>
    <xf numFmtId="166" fontId="7" fillId="0" borderId="13" applyAlignment="1" pivotButton="0" quotePrefix="0" xfId="2">
      <alignment horizontal="right" vertical="center"/>
    </xf>
    <xf numFmtId="0" fontId="7" fillId="0" borderId="72" applyAlignment="1" pivotButton="0" quotePrefix="0" xfId="1">
      <alignment horizontal="center" vertical="center"/>
    </xf>
    <xf numFmtId="0" fontId="7" fillId="0" borderId="73" applyAlignment="1" pivotButton="0" quotePrefix="0" xfId="1">
      <alignment horizontal="center" vertical="center"/>
    </xf>
    <xf numFmtId="0" fontId="7" fillId="0" borderId="78" applyAlignment="1" pivotButton="0" quotePrefix="0" xfId="1">
      <alignment horizontal="center" vertical="center"/>
    </xf>
    <xf numFmtId="0" fontId="7" fillId="0" borderId="53" applyAlignment="1" pivotButton="0" quotePrefix="0" xfId="1">
      <alignment horizontal="center" vertical="center"/>
    </xf>
    <xf numFmtId="0" fontId="7" fillId="0" borderId="79" applyAlignment="1" pivotButton="0" quotePrefix="0" xfId="1">
      <alignment horizontal="center" vertical="center"/>
    </xf>
    <xf numFmtId="0" fontId="7" fillId="0" borderId="80" applyAlignment="1" pivotButton="0" quotePrefix="0" xfId="1">
      <alignment horizontal="center" vertical="center"/>
    </xf>
    <xf numFmtId="167" fontId="15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167" fontId="15" fillId="0" borderId="0" applyAlignment="1" pivotButton="0" quotePrefix="0" xfId="0">
      <alignment vertical="center" wrapText="1"/>
    </xf>
    <xf numFmtId="0" fontId="15" fillId="10" borderId="0" applyAlignment="1" pivotButton="0" quotePrefix="0" xfId="0">
      <alignment vertical="center"/>
    </xf>
    <xf numFmtId="167" fontId="15" fillId="0" borderId="0" applyAlignment="1" pivotButton="0" quotePrefix="0" xfId="0">
      <alignment vertical="center"/>
    </xf>
    <xf numFmtId="167" fontId="15" fillId="0" borderId="0" applyAlignment="1" pivotButton="0" quotePrefix="0" xfId="0">
      <alignment vertical="center" wrapText="1"/>
    </xf>
    <xf numFmtId="0" fontId="0" fillId="0" borderId="0" pivotButton="0" quotePrefix="0" xfId="0"/>
    <xf numFmtId="0" fontId="8" fillId="2" borderId="103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8" fillId="2" borderId="106" applyAlignment="1" pivotButton="0" quotePrefix="0" xfId="1">
      <alignment horizontal="center" vertical="center" wrapText="1"/>
    </xf>
    <xf numFmtId="0" fontId="8" fillId="2" borderId="107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164" fontId="8" fillId="2" borderId="15" applyAlignment="1" pivotButton="0" quotePrefix="0" xfId="1">
      <alignment horizontal="center" vertical="center" wrapText="1"/>
    </xf>
    <xf numFmtId="0" fontId="8" fillId="0" borderId="93" applyAlignment="1" pivotButton="0" quotePrefix="0" xfId="1">
      <alignment horizontal="center" vertical="center" wrapText="1"/>
    </xf>
    <xf numFmtId="165" fontId="7" fillId="0" borderId="18" applyAlignment="1" pivotButton="0" quotePrefix="0" xfId="1">
      <alignment horizontal="right" vertical="center"/>
    </xf>
    <xf numFmtId="165" fontId="7" fillId="0" borderId="19" applyAlignment="1" pivotButton="0" quotePrefix="0" xfId="1">
      <alignment horizontal="right" vertical="center"/>
    </xf>
    <xf numFmtId="166" fontId="7" fillId="0" borderId="20" applyAlignment="1" pivotButton="0" quotePrefix="0" xfId="2">
      <alignment horizontal="right" vertical="center"/>
    </xf>
    <xf numFmtId="167" fontId="7" fillId="0" borderId="21" applyAlignment="1" pivotButton="0" quotePrefix="0" xfId="2">
      <alignment horizontal="right" vertical="center"/>
    </xf>
    <xf numFmtId="164" fontId="7" fillId="0" borderId="22" applyAlignment="1" pivotButton="0" quotePrefix="0" xfId="2">
      <alignment horizontal="right" vertical="center"/>
    </xf>
    <xf numFmtId="0" fontId="0" fillId="0" borderId="95" pivotButton="0" quotePrefix="0" xfId="0"/>
    <xf numFmtId="165" fontId="7" fillId="0" borderId="26" applyAlignment="1" pivotButton="0" quotePrefix="0" xfId="1">
      <alignment horizontal="right" vertical="center"/>
    </xf>
    <xf numFmtId="165" fontId="7" fillId="0" borderId="27" applyAlignment="1" pivotButton="0" quotePrefix="0" xfId="1">
      <alignment horizontal="right" vertical="center"/>
    </xf>
    <xf numFmtId="166" fontId="7" fillId="0" borderId="28" applyAlignment="1" pivotButton="0" quotePrefix="0" xfId="2">
      <alignment horizontal="right" vertical="center"/>
    </xf>
    <xf numFmtId="167" fontId="7" fillId="0" borderId="29" applyAlignment="1" pivotButton="0" quotePrefix="0" xfId="2">
      <alignment horizontal="right" vertical="center"/>
    </xf>
    <xf numFmtId="164" fontId="7" fillId="0" borderId="26" applyAlignment="1" pivotButton="0" quotePrefix="0" xfId="2">
      <alignment horizontal="right" vertical="center"/>
    </xf>
    <xf numFmtId="0" fontId="0" fillId="0" borderId="89" pivotButton="0" quotePrefix="0" xfId="0"/>
    <xf numFmtId="165" fontId="7" fillId="0" borderId="31" applyAlignment="1" pivotButton="0" quotePrefix="0" xfId="1">
      <alignment horizontal="right" vertical="center"/>
    </xf>
    <xf numFmtId="165" fontId="7" fillId="4" borderId="32" applyAlignment="1" pivotButton="0" quotePrefix="0" xfId="1">
      <alignment horizontal="right" vertical="center"/>
    </xf>
    <xf numFmtId="165" fontId="7" fillId="4" borderId="32" applyAlignment="1" pivotButton="0" quotePrefix="0" xfId="1">
      <alignment vertical="center"/>
    </xf>
    <xf numFmtId="166" fontId="7" fillId="0" borderId="33" applyAlignment="1" pivotButton="0" quotePrefix="0" xfId="2">
      <alignment horizontal="right" vertical="center"/>
    </xf>
    <xf numFmtId="167" fontId="7" fillId="0" borderId="34" applyAlignment="1" pivotButton="0" quotePrefix="0" xfId="2">
      <alignment horizontal="right" vertical="center"/>
    </xf>
    <xf numFmtId="164" fontId="7" fillId="0" borderId="35" applyAlignment="1" pivotButton="0" quotePrefix="0" xfId="2">
      <alignment horizontal="right" vertical="center"/>
    </xf>
    <xf numFmtId="165" fontId="7" fillId="0" borderId="38" applyAlignment="1" pivotButton="0" quotePrefix="0" xfId="1">
      <alignment horizontal="right" vertical="center"/>
    </xf>
    <xf numFmtId="165" fontId="7" fillId="0" borderId="39" applyAlignment="1" pivotButton="0" quotePrefix="0" xfId="1">
      <alignment horizontal="right" vertical="center"/>
    </xf>
    <xf numFmtId="166" fontId="7" fillId="0" borderId="40" applyAlignment="1" pivotButton="0" quotePrefix="0" xfId="2">
      <alignment horizontal="right" vertical="center"/>
    </xf>
    <xf numFmtId="167" fontId="7" fillId="0" borderId="41" applyAlignment="1" pivotButton="0" quotePrefix="0" xfId="2">
      <alignment horizontal="right" vertical="center"/>
    </xf>
    <xf numFmtId="164" fontId="7" fillId="0" borderId="42" applyAlignment="1" pivotButton="0" quotePrefix="0" xfId="2">
      <alignment horizontal="right" vertical="center"/>
    </xf>
    <xf numFmtId="165" fontId="7" fillId="0" borderId="46" applyAlignment="1" pivotButton="0" quotePrefix="0" xfId="1">
      <alignment horizontal="right" vertical="center"/>
    </xf>
    <xf numFmtId="165" fontId="7" fillId="0" borderId="47" applyAlignment="1" pivotButton="0" quotePrefix="0" xfId="1">
      <alignment horizontal="right" vertical="center"/>
    </xf>
    <xf numFmtId="166" fontId="7" fillId="0" borderId="48" applyAlignment="1" pivotButton="0" quotePrefix="0" xfId="2">
      <alignment horizontal="right" vertical="center"/>
    </xf>
    <xf numFmtId="167" fontId="7" fillId="0" borderId="49" applyAlignment="1" pivotButton="0" quotePrefix="0" xfId="2">
      <alignment horizontal="right" vertical="center"/>
    </xf>
    <xf numFmtId="164" fontId="7" fillId="0" borderId="46" applyAlignment="1" pivotButton="0" quotePrefix="0" xfId="2">
      <alignment horizontal="right" vertical="center"/>
    </xf>
    <xf numFmtId="0" fontId="7" fillId="0" borderId="108" applyAlignment="1" pivotButton="0" quotePrefix="0" xfId="1">
      <alignment horizontal="center" vertical="center" wrapText="1"/>
    </xf>
    <xf numFmtId="165" fontId="7" fillId="0" borderId="35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0" fontId="0" fillId="0" borderId="90" pivotButton="0" quotePrefix="0" xfId="0"/>
    <xf numFmtId="165" fontId="7" fillId="0" borderId="42" applyAlignment="1" pivotButton="0" quotePrefix="0" xfId="1">
      <alignment horizontal="right" vertical="center"/>
    </xf>
    <xf numFmtId="165" fontId="7" fillId="0" borderId="43" applyAlignment="1" pivotButton="0" quotePrefix="0" xfId="1">
      <alignment horizontal="right" vertical="center"/>
    </xf>
    <xf numFmtId="166" fontId="7" fillId="0" borderId="54" applyAlignment="1" pivotButton="0" quotePrefix="0" xfId="2">
      <alignment horizontal="right" vertical="center"/>
    </xf>
    <xf numFmtId="167" fontId="7" fillId="0" borderId="55" applyAlignment="1" pivotButton="0" quotePrefix="0" xfId="2">
      <alignment horizontal="right" vertical="center"/>
    </xf>
    <xf numFmtId="164" fontId="7" fillId="0" borderId="56" applyAlignment="1" pivotButton="0" quotePrefix="0" xfId="2">
      <alignment horizontal="right" vertical="center"/>
    </xf>
    <xf numFmtId="0" fontId="0" fillId="0" borderId="96" pivotButton="0" quotePrefix="0" xfId="0"/>
    <xf numFmtId="0" fontId="0" fillId="0" borderId="87" pivotButton="0" quotePrefix="0" xfId="0"/>
    <xf numFmtId="165" fontId="8" fillId="6" borderId="60" applyAlignment="1" pivotButton="0" quotePrefix="0" xfId="1">
      <alignment horizontal="right" vertical="center" wrapText="1"/>
    </xf>
    <xf numFmtId="165" fontId="8" fillId="6" borderId="61" applyAlignment="1" pivotButton="0" quotePrefix="0" xfId="1">
      <alignment horizontal="right" vertical="center" wrapText="1"/>
    </xf>
    <xf numFmtId="166" fontId="7" fillId="7" borderId="62" applyAlignment="1" pivotButton="0" quotePrefix="0" xfId="2">
      <alignment horizontal="right" vertical="center"/>
    </xf>
    <xf numFmtId="164" fontId="7" fillId="7" borderId="60" applyAlignment="1" pivotButton="0" quotePrefix="0" xfId="2">
      <alignment horizontal="right" vertical="center"/>
    </xf>
    <xf numFmtId="0" fontId="8" fillId="0" borderId="93" applyAlignment="1" pivotButton="0" quotePrefix="0" xfId="1">
      <alignment horizontal="center" vertical="center" textRotation="255"/>
    </xf>
    <xf numFmtId="0" fontId="0" fillId="0" borderId="64" pivotButton="0" quotePrefix="0" xfId="0"/>
    <xf numFmtId="165" fontId="7" fillId="0" borderId="48" applyAlignment="1" pivotButton="0" quotePrefix="0" xfId="1">
      <alignment horizontal="right" vertical="center" wrapText="1"/>
    </xf>
    <xf numFmtId="165" fontId="7" fillId="0" borderId="47" applyAlignment="1" pivotButton="0" quotePrefix="0" xfId="1">
      <alignment horizontal="right" vertical="center" wrapText="1"/>
    </xf>
    <xf numFmtId="165" fontId="7" fillId="0" borderId="65" applyAlignment="1" pivotButton="0" quotePrefix="0" xfId="1">
      <alignment horizontal="right" vertical="center" wrapText="1"/>
    </xf>
    <xf numFmtId="165" fontId="7" fillId="0" borderId="66" applyAlignment="1" pivotButton="0" quotePrefix="0" xfId="1">
      <alignment horizontal="right" vertical="center" wrapText="1"/>
    </xf>
    <xf numFmtId="0" fontId="0" fillId="0" borderId="68" pivotButton="0" quotePrefix="0" xfId="0"/>
    <xf numFmtId="0" fontId="0" fillId="0" borderId="70" pivotButton="0" quotePrefix="0" xfId="0"/>
    <xf numFmtId="165" fontId="7" fillId="0" borderId="16" applyAlignment="1" pivotButton="0" quotePrefix="0" xfId="1">
      <alignment horizontal="right" vertical="center" wrapText="1"/>
    </xf>
    <xf numFmtId="165" fontId="7" fillId="0" borderId="14" applyAlignment="1" pivotButton="0" quotePrefix="0" xfId="1">
      <alignment horizontal="right" vertical="center" wrapText="1"/>
    </xf>
    <xf numFmtId="0" fontId="8" fillId="6" borderId="103" applyAlignment="1" pivotButton="0" quotePrefix="0" xfId="1">
      <alignment horizontal="center" vertical="center"/>
    </xf>
    <xf numFmtId="0" fontId="0" fillId="0" borderId="86" pivotButton="0" quotePrefix="0" xfId="0"/>
    <xf numFmtId="165" fontId="8" fillId="6" borderId="62" applyAlignment="1" pivotButton="0" quotePrefix="0" xfId="1">
      <alignment horizontal="right" vertical="center" wrapText="1"/>
    </xf>
    <xf numFmtId="165" fontId="8" fillId="6" borderId="71" applyAlignment="1" pivotButton="0" quotePrefix="0" xfId="1">
      <alignment horizontal="right" vertical="center" wrapText="1"/>
    </xf>
    <xf numFmtId="167" fontId="7" fillId="7" borderId="63" applyAlignment="1" pivotButton="0" quotePrefix="0" xfId="2">
      <alignment horizontal="right" vertical="center"/>
    </xf>
    <xf numFmtId="0" fontId="7" fillId="0" borderId="98" applyAlignment="1" pivotButton="0" quotePrefix="0" xfId="1">
      <alignment horizontal="center" vertical="center"/>
    </xf>
    <xf numFmtId="0" fontId="0" fillId="0" borderId="73" pivotButton="0" quotePrefix="0" xfId="0"/>
    <xf numFmtId="165" fontId="7" fillId="0" borderId="74" applyAlignment="1" pivotButton="0" quotePrefix="0" xfId="1">
      <alignment horizontal="right" vertical="center"/>
    </xf>
    <xf numFmtId="165" fontId="13" fillId="0" borderId="75" applyAlignment="1" pivotButton="0" quotePrefix="0" xfId="1">
      <alignment horizontal="right" vertical="center"/>
    </xf>
    <xf numFmtId="165" fontId="7" fillId="0" borderId="75" applyAlignment="1" pivotButton="0" quotePrefix="0" xfId="1">
      <alignment horizontal="right" vertical="center"/>
    </xf>
    <xf numFmtId="166" fontId="7" fillId="0" borderId="76" applyAlignment="1" pivotButton="0" quotePrefix="0" xfId="2">
      <alignment horizontal="right" vertical="center"/>
    </xf>
    <xf numFmtId="167" fontId="7" fillId="0" borderId="77" applyAlignment="1" pivotButton="0" quotePrefix="0" xfId="2">
      <alignment horizontal="right" vertical="center"/>
    </xf>
    <xf numFmtId="164" fontId="7" fillId="0" borderId="74" applyAlignment="1" pivotButton="0" quotePrefix="0" xfId="2">
      <alignment horizontal="right" vertical="center"/>
    </xf>
    <xf numFmtId="0" fontId="7" fillId="0" borderId="99" applyAlignment="1" pivotButton="0" quotePrefix="0" xfId="1">
      <alignment horizontal="center" vertical="center"/>
    </xf>
    <xf numFmtId="0" fontId="0" fillId="0" borderId="53" pivotButton="0" quotePrefix="0" xfId="0"/>
    <xf numFmtId="165" fontId="13" fillId="0" borderId="36" applyAlignment="1" pivotButton="0" quotePrefix="0" xfId="1">
      <alignment horizontal="right" vertical="center"/>
    </xf>
    <xf numFmtId="0" fontId="7" fillId="0" borderId="102" applyAlignment="1" pivotButton="0" quotePrefix="0" xfId="1">
      <alignment horizontal="center" vertical="center"/>
    </xf>
    <xf numFmtId="0" fontId="0" fillId="0" borderId="80" pivotButton="0" quotePrefix="0" xfId="0"/>
    <xf numFmtId="165" fontId="7" fillId="0" borderId="81" applyAlignment="1" pivotButton="0" quotePrefix="0" xfId="1">
      <alignment horizontal="right" vertical="center"/>
    </xf>
    <xf numFmtId="165" fontId="7" fillId="0" borderId="82" applyAlignment="1" pivotButton="0" quotePrefix="0" xfId="1">
      <alignment horizontal="right" vertical="center"/>
    </xf>
    <xf numFmtId="166" fontId="7" fillId="0" borderId="83" applyAlignment="1" pivotButton="0" quotePrefix="0" xfId="2">
      <alignment horizontal="right" vertical="center"/>
    </xf>
    <xf numFmtId="167" fontId="7" fillId="0" borderId="84" applyAlignment="1" pivotButton="0" quotePrefix="0" xfId="2">
      <alignment horizontal="right" vertical="center"/>
    </xf>
    <xf numFmtId="164" fontId="7" fillId="0" borderId="81" applyAlignment="1" pivotButton="0" quotePrefix="0" xfId="2">
      <alignment horizontal="right" vertical="center"/>
    </xf>
    <xf numFmtId="0" fontId="0" fillId="0" borderId="59" pivotButton="0" quotePrefix="0" xfId="0"/>
    <xf numFmtId="165" fontId="8" fillId="9" borderId="85" applyAlignment="1" pivotButton="0" quotePrefix="0" xfId="1">
      <alignment horizontal="right" vertical="center" wrapText="1"/>
    </xf>
    <xf numFmtId="165" fontId="8" fillId="9" borderId="61" applyAlignment="1" pivotButton="0" quotePrefix="0" xfId="1">
      <alignment horizontal="right" vertical="center" wrapText="1"/>
    </xf>
    <xf numFmtId="0" fontId="8" fillId="2" borderId="58" applyAlignment="1" pivotButton="0" quotePrefix="0" xfId="1">
      <alignment horizontal="center" vertical="center"/>
    </xf>
    <xf numFmtId="165" fontId="8" fillId="2" borderId="62" applyAlignment="1" pivotButton="0" quotePrefix="0" xfId="1">
      <alignment vertical="center" wrapText="1"/>
    </xf>
    <xf numFmtId="165" fontId="8" fillId="2" borderId="61" applyAlignment="1" pivotButton="0" quotePrefix="0" xfId="1">
      <alignment vertical="center" wrapText="1"/>
    </xf>
    <xf numFmtId="165" fontId="8" fillId="2" borderId="86" applyAlignment="1" pivotButton="0" quotePrefix="0" xfId="1">
      <alignment horizontal="right" vertical="center" wrapText="1"/>
    </xf>
    <xf numFmtId="166" fontId="7" fillId="0" borderId="16" applyAlignment="1" pivotButton="0" quotePrefix="0" xfId="2">
      <alignment horizontal="right" vertical="center"/>
    </xf>
    <xf numFmtId="0" fontId="0" fillId="0" borderId="13" pivotButton="0" quotePrefix="0" xfId="0"/>
    <xf numFmtId="165" fontId="14" fillId="0" borderId="0" applyAlignment="1" pivotButton="0" quotePrefix="0" xfId="1">
      <alignment vertical="center"/>
    </xf>
  </cellXfs>
  <cellStyles count="3">
    <cellStyle name="표준" xfId="0" builtinId="0"/>
    <cellStyle name="표준 2" xfId="1"/>
    <cellStyle name="백분율 2" xfId="2"/>
  </cellStyles>
  <dxfs count="29"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numFmt numFmtId="179" formatCode="0.0%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numFmt numFmtId="179" formatCode="0.0%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numFmt numFmtId="0" formatCode="General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numFmt numFmtId="0" formatCode="General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alignment horizontal="general" vertical="center" wrapText="1"/>
    </dxf>
    <dxf>
      <numFmt numFmtId="19" formatCode="yyyy/mm/dd"/>
    </dxf>
    <dxf>
      <numFmt numFmtId="19" formatCode="yyyy/mm/dd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alignment horizontal="center" vertical="center"/>
    </dxf>
    <dxf>
      <font>
        <name val="Microsoft NeoGothic"/>
        <charset val="129"/>
        <family val="3"/>
        <strike val="0"/>
        <outline val="0"/>
        <shadow val="0"/>
        <condense val="0"/>
        <color auto="1"/>
        <extend val="0"/>
        <sz val="9"/>
        <vertAlign val="baseline"/>
      </font>
      <alignment horizontal="left" vertical="center"/>
    </dxf>
    <dxf>
      <font>
        <name val="Microsoft NeoGothic"/>
        <charset val="129"/>
        <family val="3"/>
        <strike val="0"/>
        <outline val="0"/>
        <shadow val="0"/>
        <condense val="0"/>
        <color auto="1"/>
        <extend val="0"/>
        <sz val="9"/>
        <vertAlign val="baseline"/>
      </font>
      <alignment horizontal="left" vertical="center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numFmt numFmtId="19" formatCode="yyyy/mm/dd"/>
      <alignment horizontal="center" vertical="center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numFmt numFmtId="19" formatCode="yyyy/mm/dd"/>
      <alignment horizontal="center" vertical="center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numFmt numFmtId="19" formatCode="yyyy/mm/dd"/>
      <alignment horizontal="center" vertical="center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alignment horizontal="center" vertical="center"/>
    </dxf>
    <dxf>
      <font>
        <name val="Microsoft NeoGothic"/>
        <charset val="129"/>
        <family val="3"/>
        <strike val="0"/>
        <outline val="0"/>
        <shadow val="0"/>
        <color theme="1"/>
        <sz val="9"/>
        <vertAlign val="baseline"/>
      </font>
      <alignment horizontal="center"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externalLink" Target="/xl/externalLinks/externalLink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imagesrc\account\My%20Documents\Client\&#44048;&#49324;\&#51312;&#47749;&#50976;&#47532;\&#48152;&#44592;\WF200\TMP\~TMP5043.$$$\&#44228;&#51221;&#44284;&#47785;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JJJ90\&#51116;&#51221;&#48512;\Windows\&#48148;&#53461;%20&#54868;&#47732;\&#51116;&#51221;&#48512;\&#51060;&#51088;&#48516;&#49437;\&#51648;&#44553;&#51060;&#51088;\98&#45380;&#44036;&#48516;&#44592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계정과목"/>
      <sheetName val="시산표"/>
      <sheetName val="admin"/>
      <sheetName val="Sheet2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이자율"/>
      <sheetName val="소트"/>
      <sheetName val="쏘트자료"/>
      <sheetName val="환율이자율"/>
      <sheetName val="44소트"/>
      <sheetName val="34쏘트"/>
      <sheetName val="24쏘트"/>
      <sheetName val="44이자율"/>
      <sheetName val="34이자율"/>
      <sheetName val="44쏘트자료"/>
      <sheetName val="34쏘트자료"/>
      <sheetName val="24쏘트자료"/>
      <sheetName val="24이자율"/>
      <sheetName val="인건비(010330)"/>
      <sheetName val="월간"/>
      <sheetName val="공사개요"/>
      <sheetName val="T48a"/>
      <sheetName val="97년"/>
      <sheetName val="수정시산표"/>
      <sheetName val="98년간분기"/>
      <sheetName val="견"/>
      <sheetName val="투자예산"/>
      <sheetName val="산출근거"/>
      <sheetName val="비주거용"/>
      <sheetName val="집계표"/>
      <sheetName val="표지"/>
      <sheetName val="회사정보"/>
      <sheetName val="품의서취합"/>
      <sheetName val="요약BS"/>
      <sheetName val="총원"/>
      <sheetName val="견적대비"/>
      <sheetName val="대리이하_상신양식"/>
      <sheetName val="관계주식"/>
      <sheetName val="세금계산서유"/>
      <sheetName val="본사감가상각대장(비품)"/>
      <sheetName val="Menu_Link"/>
      <sheetName val="퇴충98"/>
      <sheetName val="외화평가"/>
      <sheetName val="평가결과_사본"/>
      <sheetName val="98실적"/>
      <sheetName val="현장"/>
      <sheetName val="이름"/>
      <sheetName val="Convert"/>
      <sheetName val="1-7(재가공내역)"/>
      <sheetName val="연구인원내역"/>
      <sheetName val="현장별미수"/>
      <sheetName val="외화계약"/>
      <sheetName val="AIR SHOWER(3인용)"/>
      <sheetName val="상품입고집계"/>
      <sheetName val="매입현황"/>
      <sheetName val="수입"/>
      <sheetName val="상정안건"/>
      <sheetName val="보험금"/>
      <sheetName val="매출원가"/>
      <sheetName val="판매량"/>
      <sheetName val="업종코드"/>
      <sheetName val="임대손익"/>
      <sheetName val="XREF"/>
      <sheetName val="조정전"/>
      <sheetName val="1월"/>
      <sheetName val="집연95"/>
      <sheetName val="평가금액"/>
      <sheetName val="WorldQuest"/>
      <sheetName val="admin"/>
      <sheetName val="자료"/>
      <sheetName val="코드"/>
      <sheetName val="매매손실준비금"/>
      <sheetName val="특수직호봉표"/>
      <sheetName val="Asset98-CAK"/>
      <sheetName val="Intro2"/>
      <sheetName val="Id"/>
      <sheetName val="노임단가"/>
      <sheetName val="판매용03"/>
      <sheetName val="서식시트"/>
      <sheetName val="종합2"/>
      <sheetName val="118.세금과공과"/>
      <sheetName val="신구계정대사표"/>
      <sheetName val="Sheet1"/>
      <sheetName val="1.취수장"/>
      <sheetName val="출자한도"/>
      <sheetName val="CODE"/>
      <sheetName val="명세표"/>
      <sheetName val="표준지"/>
      <sheetName val="시산표"/>
      <sheetName val="보정사항"/>
      <sheetName val="공정가치"/>
      <sheetName val="PMP등급_9월"/>
      <sheetName val="지급이자"/>
      <sheetName val="Project_CF"/>
      <sheetName val="Initial Input Variable"/>
      <sheetName val="1Month+Sheet2!"/>
      <sheetName val="8월차잔"/>
      <sheetName val="機器明細(MC)"/>
      <sheetName val="인원_20001101"/>
      <sheetName val="단가비교"/>
      <sheetName val="투자2"/>
      <sheetName val="부재예실1월"/>
      <sheetName val="입찰안"/>
      <sheetName val="#REF"/>
      <sheetName val="04_도료_전체_하순"/>
      <sheetName val="실적"/>
      <sheetName val="단가"/>
      <sheetName val="울산자금"/>
      <sheetName val="설계내역서"/>
      <sheetName val="자금청구"/>
      <sheetName val="금강투자2000"/>
      <sheetName val="당좌개설보증용"/>
      <sheetName val="신림자금"/>
      <sheetName val="GC산출"/>
      <sheetName val="당초"/>
      <sheetName val="Sheet4"/>
      <sheetName val="BASE"/>
      <sheetName val="상여 (2)"/>
      <sheetName val="생산직"/>
      <sheetName val="9-1차이내역"/>
      <sheetName val="조경내역"/>
      <sheetName val="건축비목군분류"/>
      <sheetName val="두께별"/>
      <sheetName val="승용"/>
      <sheetName val="상용"/>
      <sheetName val="준검 내역서"/>
      <sheetName val="실행내역"/>
      <sheetName val="총괄"/>
      <sheetName val="건재양식"/>
      <sheetName val="00실적"/>
      <sheetName val="판촉계획(고정)"/>
      <sheetName val="배수통관(좌)"/>
      <sheetName val="CAUDIT"/>
      <sheetName val="99선급비용"/>
      <sheetName val="집계"/>
      <sheetName val="퇴직기초"/>
      <sheetName val="산출내역(1)"/>
      <sheetName val="하수급견적대비"/>
      <sheetName val="3월연장근무"/>
      <sheetName val="FAB별"/>
      <sheetName val="Sheet3"/>
      <sheetName val="내역"/>
      <sheetName val="외화가수금"/>
      <sheetName val="2001Org"/>
      <sheetName val="소계정"/>
      <sheetName val="본부96(1차)"/>
      <sheetName val="월소계정(최종)"/>
      <sheetName val="본부증가(최종)"/>
      <sheetName val="배부기준별비용"/>
      <sheetName val="unit배부표"/>
      <sheetName val="비교표"/>
      <sheetName val="초고압제조원가계획"/>
      <sheetName val="고압제조원가계획"/>
      <sheetName val="Mark"/>
      <sheetName val="1. Svc_Sales"/>
      <sheetName val="2. Portfolio"/>
      <sheetName val="3. SVC_Price(Avg)"/>
      <sheetName val="4.  Net Gain"/>
      <sheetName val="5.1Q_SVC(callback)"/>
      <sheetName val="5.2 Q_SVC(Response)"/>
      <sheetName val="5.3 Q_SVC(all)"/>
      <sheetName val="SVC_Portfolio(1)"/>
      <sheetName val="변동"/>
      <sheetName val="2008년판매현황 (조정)"/>
      <sheetName val="참고_장르별매출"/>
      <sheetName val="내외국인총괄"/>
      <sheetName val="3월"/>
      <sheetName val="그래프 (2)"/>
      <sheetName val="2.대상자"/>
      <sheetName val="정보"/>
      <sheetName val="데이터베이스"/>
      <sheetName val="9903말 현재"/>
      <sheetName val="당월금액"/>
      <sheetName val="ATM기초철가"/>
      <sheetName val="Control Sheet"/>
      <sheetName val="인사자료총집계"/>
      <sheetName val="AIR_SHOWER(3인용)"/>
      <sheetName val="그래프_(2)"/>
      <sheetName val="2_대상자"/>
      <sheetName val="9903말_현재"/>
      <sheetName val="Control_Sheet"/>
      <sheetName val="AIR_SHOWER(3인용)1"/>
      <sheetName val="그래프_(2)1"/>
      <sheetName val="2_대상자1"/>
      <sheetName val="9903말_현재1"/>
      <sheetName val="Control_Sheet1"/>
      <sheetName val="경영비율 "/>
      <sheetName val="재고자산명세"/>
      <sheetName val="적격심사표"/>
      <sheetName val="이익잉여금처분계산서"/>
      <sheetName val="재무상태변동표"/>
      <sheetName val="제조원가명세서"/>
      <sheetName val="현금흐름표"/>
      <sheetName val="무형자산명세서"/>
      <sheetName val="지역개발"/>
      <sheetName val="Macro1"/>
      <sheetName val="EJ"/>
      <sheetName val="Ⅱ1-0타"/>
      <sheetName val="Cover"/>
      <sheetName val="제품단가"/>
      <sheetName val="급여인상효과-연간부담분"/>
      <sheetName val="주요품목별판매실적"/>
      <sheetName val="입력_판매"/>
      <sheetName val="#3_일위대가목록"/>
      <sheetName val="#2_일위대가목록"/>
      <sheetName val="BTS-시범물량"/>
      <sheetName val="KA011205"/>
      <sheetName val="5사남"/>
      <sheetName val="손익"/>
      <sheetName val="STROKE별 단가"/>
      <sheetName val="지점_가격정보보고양식(면목지점)"/>
      <sheetName val="09년지점목표"/>
      <sheetName val="SQL Statement"/>
      <sheetName val="MAIN"/>
      <sheetName val="효용적수"/>
      <sheetName val="노무비"/>
      <sheetName val="인원계획-미화"/>
      <sheetName val="OPREV(대한)"/>
      <sheetName val="98지급계획"/>
      <sheetName val="산출근거1"/>
      <sheetName val="수익성분석2"/>
      <sheetName val="이코스"/>
      <sheetName val="건설성적"/>
      <sheetName val="세부(종합)"/>
      <sheetName val="2. 2012년 실행계획 수립 및 대상선정용 SHEET."/>
      <sheetName val="FG"/>
      <sheetName val="부서"/>
      <sheetName val="보통예금"/>
      <sheetName val="당좌차월"/>
      <sheetName val="가격표"/>
      <sheetName val="합천내역"/>
      <sheetName val="대리이하_승진"/>
      <sheetName val="이자수익보조부"/>
      <sheetName val="SIL98"/>
      <sheetName val="2012년 하반기 승진안 및 상신양식_디자인 파트.xls"/>
      <sheetName val="등록자료"/>
      <sheetName val="GRAPH"/>
      <sheetName val="단말기누계"/>
      <sheetName val="현장코드"/>
      <sheetName val="협조전"/>
      <sheetName val="주소 작성"/>
      <sheetName val="대차대조표"/>
      <sheetName val="3-31"/>
      <sheetName val="금융"/>
      <sheetName val="은행"/>
      <sheetName val="리스"/>
      <sheetName val="보험"/>
      <sheetName val="24.보증금(전신전화가입권)"/>
      <sheetName val="일별자금"/>
      <sheetName val="인건비"/>
      <sheetName val="04년 투자전망"/>
      <sheetName val="가중평균 보통주식02"/>
      <sheetName val="가중평균 보통주식01"/>
      <sheetName val="T6-6(2)"/>
      <sheetName val="제조원가"/>
      <sheetName val="손익분석"/>
      <sheetName val="하조서"/>
      <sheetName val="정산표"/>
      <sheetName val="tsuga"/>
      <sheetName val="진천"/>
      <sheetName val="S&amp;R"/>
      <sheetName val="수지차(년)"/>
      <sheetName val="증감내역서"/>
      <sheetName val="민감도"/>
      <sheetName val="내역서"/>
      <sheetName val="타계정에서 명세서(PL상)"/>
      <sheetName val="상품수불"/>
      <sheetName val="95TOTREV"/>
      <sheetName val="sw1"/>
      <sheetName val="입찰보고"/>
      <sheetName val="총괄-1"/>
      <sheetName val="DATA"/>
      <sheetName val="콘센트신설"/>
      <sheetName val="FILE1"/>
      <sheetName val="유형분류"/>
      <sheetName val="예산실적전체당월"/>
      <sheetName val="배합비(2,3.4분기)"/>
      <sheetName val="부재예실"/>
      <sheetName val="A4공장"/>
      <sheetName val="Initial_Input_Variable"/>
      <sheetName val="경영비율_"/>
      <sheetName val="상여_(2)"/>
      <sheetName val="118_세금과공과"/>
      <sheetName val="1_취수장"/>
      <sheetName val="LIST"/>
      <sheetName val="ELECTRIC"/>
      <sheetName val="현장기성(공사)"/>
      <sheetName val="내역서변경성원"/>
      <sheetName val="별첨3.실패원팀"/>
      <sheetName val="매출액월별가중치"/>
      <sheetName val="외주정비"/>
      <sheetName val="매장판(BR)"/>
      <sheetName val="5907"/>
      <sheetName val="편성절차"/>
      <sheetName val="자료입력"/>
      <sheetName val="외화금융(97-03)"/>
      <sheetName val="ls"/>
      <sheetName val="재공품(3)"/>
      <sheetName val="표준원가표(2)"/>
      <sheetName val="공통"/>
      <sheetName val="03中"/>
      <sheetName val="재무제표"/>
      <sheetName val="당기추가완료"/>
      <sheetName val="주요재무비율"/>
      <sheetName val="완성차 미수금"/>
      <sheetName val="96"/>
      <sheetName val="재료비집계표"/>
      <sheetName val="투자자산명세서"/>
      <sheetName val="종합표"/>
      <sheetName val="도급"/>
      <sheetName val="15"/>
      <sheetName val="入力用(家賃)"/>
      <sheetName val="入力用(駐車)"/>
      <sheetName val="건물대사"/>
      <sheetName val="PHTC"/>
      <sheetName val="용소리교"/>
      <sheetName val="제조원가조정"/>
      <sheetName val="97년 추정"/>
      <sheetName val="경비세목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/>
      <sheetData sheetId="190" refreshError="1"/>
      <sheetData sheetId="19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/>
      <sheetData sheetId="275"/>
      <sheetData sheetId="276"/>
      <sheetData sheetId="277"/>
      <sheetData sheetId="278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</sheetDataSet>
  </externalBook>
</externalLink>
</file>

<file path=xl/tables/table1.xml><?xml version="1.0" encoding="utf-8"?>
<table xmlns="http://schemas.openxmlformats.org/spreadsheetml/2006/main" id="1" name="인원비교보고서" displayName="인원비교보고서" ref="A1:J74" tableType="queryTable" headerRowCount="1" totalsRowShown="0" headerRowDxfId="11" dataDxfId="10">
  <autoFilter ref="A1:J74"/>
  <tableColumns count="10">
    <tableColumn id="1" uniqueName="1" name="구분1" queryTableFieldId="1" dataDxfId="9"/>
    <tableColumn id="2" uniqueName="2" name="구분2" queryTableFieldId="2" dataDxfId="8"/>
    <tableColumn id="3" uniqueName="3" name="2025년 05월_일반" queryTableFieldId="19" dataDxfId="7"/>
    <tableColumn id="4" uniqueName="4" name="2025년 05월_판매" queryTableFieldId="20" dataDxfId="6"/>
    <tableColumn id="5" uniqueName="5" name="2026년 05월_일반" queryTableFieldId="21" dataDxfId="5"/>
    <tableColumn id="6" uniqueName="6" name="2026년 05월_판매" queryTableFieldId="22" dataDxfId="4"/>
    <tableColumn id="7" uniqueName="7" name="일반_증감" queryTableFieldId="7" dataDxfId="3"/>
    <tableColumn id="8" uniqueName="8" name="일반_증감율" queryTableFieldId="8" dataDxfId="2"/>
    <tableColumn id="9" uniqueName="9" name="판매_증감" queryTableFieldId="9" dataDxfId="1"/>
    <tableColumn id="10" uniqueName="10" name="판매_증감율" queryTableFieldId="10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2" name="사원현황" displayName="사원현황" ref="A1:J199" tableType="queryTable" headerRowCount="1" totalsRowShown="0">
  <autoFilter ref="A1:J199">
    <filterColumn colId="7" hiddenButton="0" showButton="1">
      <filters blank="1"/>
    </filterColumn>
  </autoFilter>
  <tableColumns count="10">
    <tableColumn id="1" uniqueName="1" name="성명" queryTableFieldId="1" dataDxfId="28"/>
    <tableColumn id="2" uniqueName="2" name="사번" queryTableFieldId="2"/>
    <tableColumn id="3" uniqueName="3" name="부서" queryTableFieldId="3" dataDxfId="27"/>
    <tableColumn id="4" uniqueName="4" name="부서코드" queryTableFieldId="4" dataDxfId="26"/>
    <tableColumn id="5" uniqueName="5" name="직책/호" queryTableFieldId="5" dataDxfId="25"/>
    <tableColumn id="6" uniqueName="6" name="주민번호" queryTableFieldId="6" dataDxfId="24"/>
    <tableColumn id="7" uniqueName="7" name="입사일" queryTableFieldId="7" dataDxfId="13"/>
    <tableColumn id="8" uniqueName="8" name="퇴사일" queryTableFieldId="8" dataDxfId="12"/>
    <tableColumn id="9" uniqueName="9" name="사원구분" queryTableFieldId="9" dataDxfId="23"/>
    <tableColumn id="10" uniqueName="10" name="핸드폰번호" queryTableFieldId="10" dataDxfId="2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p기준월" displayName="p기준월" ref="B2:D26" headerRowCount="1" totalsRowShown="0" headerRowDxfId="21" dataDxfId="20">
  <autoFilter ref="B2:D26"/>
  <tableColumns count="3">
    <tableColumn id="4" name="선택" dataDxfId="19">
      <calculatedColumnFormula>IF(EOMONTH(p기준월[[#This Row],[비교월2]],0)='전년대비 인원증감현황_2026.05'!$L$2,"TRUE","FALSE")</calculatedColumnFormula>
    </tableColumn>
    <tableColumn id="1" name="비교월1" dataDxfId="18"/>
    <tableColumn id="2" name="비교월2" dataDxfId="17">
      <calculatedColumnFormula>EDATE(C4,12)</calculatedColumnFormula>
    </tableColumn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구분LIST" displayName="구분LIST" ref="A1:C29" headerRowCount="1" totalsRowShown="0">
  <autoFilter ref="A1:C29"/>
  <tableColumns count="3">
    <tableColumn id="1" name="구분1" dataDxfId="16" dataCellStyle="표준 2"/>
    <tableColumn id="2" name="구분2" dataDxfId="15" dataCellStyle="표준 2"/>
    <tableColumn id="3" name="순서" dataDxfId="14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" sqref="F3:F72"/>
    </sheetView>
  </sheetViews>
  <sheetFormatPr baseColWidth="8" defaultRowHeight="13.2"/>
  <cols>
    <col width="13.875" bestFit="1" customWidth="1" style="106" min="1" max="1"/>
    <col width="22.75" bestFit="1" customWidth="1" style="106" min="2" max="2"/>
    <col width="10.375" customWidth="1" style="106" min="3" max="6"/>
    <col width="9.375" customWidth="1" style="106" min="7" max="9"/>
    <col width="9.375" customWidth="1" style="167" min="10" max="10"/>
    <col width="13.625" bestFit="1" customWidth="1" style="106" min="11" max="11"/>
    <col width="16" bestFit="1" customWidth="1" style="106" min="12" max="12"/>
    <col width="13.625" bestFit="1" customWidth="1" style="106" min="13" max="13"/>
    <col width="16" bestFit="1" customWidth="1" style="106" min="14" max="14"/>
    <col width="13.625" bestFit="1" customWidth="1" style="106" min="15" max="15"/>
    <col width="16" bestFit="1" customWidth="1" style="106" min="16" max="16"/>
    <col width="13.625" bestFit="1" customWidth="1" style="106" min="17" max="17"/>
    <col width="16" bestFit="1" customWidth="1" style="106" min="18" max="18"/>
    <col width="9" customWidth="1" style="106" min="19" max="16384"/>
  </cols>
  <sheetData>
    <row r="1" ht="26.4" customFormat="1" customHeight="1" s="164">
      <c r="A1" s="164" t="inlineStr">
        <is>
          <t>구분1</t>
        </is>
      </c>
      <c r="B1" s="164" t="inlineStr">
        <is>
          <t>구분2</t>
        </is>
      </c>
      <c r="C1" s="164" t="inlineStr">
        <is>
          <t>전년_일반</t>
        </is>
      </c>
      <c r="D1" s="164" t="inlineStr">
        <is>
          <t>전년_판매</t>
        </is>
      </c>
      <c r="E1" s="164" t="inlineStr">
        <is>
          <t>당해_일반</t>
        </is>
      </c>
      <c r="F1" s="164" t="inlineStr">
        <is>
          <t>당해_판매</t>
        </is>
      </c>
      <c r="G1" s="164" t="inlineStr">
        <is>
          <t>일반_증감</t>
        </is>
      </c>
      <c r="H1" s="164" t="inlineStr">
        <is>
          <t>일반_증감율</t>
        </is>
      </c>
      <c r="I1" s="164" t="inlineStr">
        <is>
          <t>판매_증감</t>
        </is>
      </c>
      <c r="J1" s="168" t="inlineStr">
        <is>
          <t>판매_증감율</t>
        </is>
      </c>
    </row>
    <row r="2">
      <c r="A2" s="106" t="inlineStr">
        <is>
          <t>임원</t>
        </is>
      </c>
      <c r="B2" s="106" t="inlineStr">
        <is>
          <t>임원</t>
        </is>
      </c>
      <c r="C2" s="106" t="n">
        <v>4</v>
      </c>
      <c r="D2" s="106" t="n">
        <v>0</v>
      </c>
      <c r="E2" s="106" t="n">
        <v>4</v>
      </c>
      <c r="F2" s="106" t="n">
        <v>0</v>
      </c>
      <c r="G2" s="106" t="n">
        <v>0</v>
      </c>
      <c r="H2" s="167" t="n">
        <v>0</v>
      </c>
      <c r="I2" s="106" t="n">
        <v>0</v>
      </c>
    </row>
    <row r="3">
      <c r="A3" s="106" t="inlineStr">
        <is>
          <t>영업본부</t>
        </is>
      </c>
      <c r="B3" s="106" t="inlineStr">
        <is>
          <t>총괄</t>
        </is>
      </c>
      <c r="C3" s="106" t="n">
        <v>1</v>
      </c>
      <c r="D3" s="106" t="n">
        <v>0</v>
      </c>
      <c r="E3" s="106" t="n">
        <v>1</v>
      </c>
      <c r="F3" s="106" t="n">
        <v>0</v>
      </c>
      <c r="G3" s="106" t="n">
        <v>0</v>
      </c>
      <c r="H3" s="167" t="n">
        <v>0</v>
      </c>
      <c r="I3" s="106" t="n">
        <v>0</v>
      </c>
    </row>
    <row r="4">
      <c r="A4" s="106" t="inlineStr">
        <is>
          <t>영업본부</t>
        </is>
      </c>
      <c r="B4" s="106" t="inlineStr">
        <is>
          <t>백화점</t>
        </is>
      </c>
      <c r="C4" s="106" t="n">
        <v>5</v>
      </c>
      <c r="D4" s="106" t="n">
        <v>0</v>
      </c>
      <c r="E4" s="106" t="n">
        <v>5</v>
      </c>
      <c r="F4" s="106" t="n">
        <v>0</v>
      </c>
      <c r="G4" s="106" t="n">
        <v>0</v>
      </c>
      <c r="H4" s="167" t="n">
        <v>0</v>
      </c>
      <c r="I4" s="106" t="n">
        <v>0</v>
      </c>
    </row>
    <row r="5">
      <c r="A5" s="106" t="inlineStr">
        <is>
          <t>영업본부</t>
        </is>
      </c>
      <c r="B5" s="106" t="inlineStr">
        <is>
          <t>SMD</t>
        </is>
      </c>
      <c r="C5" s="106" t="n">
        <v>3</v>
      </c>
      <c r="D5" s="106" t="n">
        <v>0</v>
      </c>
      <c r="E5" s="106" t="n">
        <v>3</v>
      </c>
      <c r="F5" s="106" t="n">
        <v>0</v>
      </c>
      <c r="G5" s="106" t="n">
        <v>0</v>
      </c>
      <c r="H5" s="167" t="n">
        <v>0</v>
      </c>
      <c r="I5" s="106" t="n">
        <v>0</v>
      </c>
    </row>
    <row r="6">
      <c r="A6" s="106" t="inlineStr">
        <is>
          <t>영업본부</t>
        </is>
      </c>
      <c r="B6" s="106" t="inlineStr">
        <is>
          <t>영업지원</t>
        </is>
      </c>
      <c r="C6" s="106" t="n">
        <v>2</v>
      </c>
      <c r="D6" s="106" t="n">
        <v>0</v>
      </c>
      <c r="E6" s="106" t="n">
        <v>2</v>
      </c>
      <c r="F6" s="106" t="n">
        <v>0</v>
      </c>
      <c r="G6" s="106" t="n">
        <v>0</v>
      </c>
      <c r="H6" s="167" t="n">
        <v>0</v>
      </c>
      <c r="I6" s="106" t="n">
        <v>0</v>
      </c>
    </row>
    <row r="7">
      <c r="A7" s="106" t="inlineStr">
        <is>
          <t>온라인사업부</t>
        </is>
      </c>
      <c r="B7" s="106" t="inlineStr">
        <is>
          <t>온라인사업부</t>
        </is>
      </c>
      <c r="C7" s="106" t="n">
        <v>9</v>
      </c>
      <c r="D7" s="106" t="n">
        <v>0</v>
      </c>
      <c r="E7" s="106" t="n">
        <v>10</v>
      </c>
      <c r="F7" s="106" t="n">
        <v>0</v>
      </c>
      <c r="G7" s="106" t="n">
        <v>1</v>
      </c>
      <c r="H7" s="167" t="n">
        <v>0.1111111111111111</v>
      </c>
      <c r="I7" s="106" t="n">
        <v>0</v>
      </c>
    </row>
    <row r="8">
      <c r="A8" s="106" t="inlineStr">
        <is>
          <t>상품본부</t>
        </is>
      </c>
      <c r="B8" s="106" t="inlineStr">
        <is>
          <t>총괄</t>
        </is>
      </c>
      <c r="C8" s="106" t="n">
        <v>1</v>
      </c>
      <c r="D8" s="106" t="n">
        <v>0</v>
      </c>
      <c r="E8" s="106" t="n">
        <v>1</v>
      </c>
      <c r="F8" s="106" t="n">
        <v>0</v>
      </c>
      <c r="G8" s="106" t="n">
        <v>0</v>
      </c>
      <c r="H8" s="167" t="n">
        <v>0</v>
      </c>
      <c r="I8" s="106" t="n">
        <v>0</v>
      </c>
    </row>
    <row r="9">
      <c r="A9" s="106" t="inlineStr">
        <is>
          <t>상품본부</t>
        </is>
      </c>
      <c r="B9" s="106" t="inlineStr">
        <is>
          <t>PDD</t>
        </is>
      </c>
      <c r="C9" s="106" t="n">
        <v>5</v>
      </c>
      <c r="D9" s="106" t="n">
        <v>0</v>
      </c>
      <c r="E9" s="106" t="n">
        <v>4</v>
      </c>
      <c r="F9" s="106" t="n">
        <v>0</v>
      </c>
      <c r="G9" s="106" t="n">
        <v>-1</v>
      </c>
      <c r="H9" s="167" t="n">
        <v>-0.2</v>
      </c>
      <c r="I9" s="106" t="n">
        <v>0</v>
      </c>
    </row>
    <row r="10">
      <c r="A10" s="106" t="inlineStr">
        <is>
          <t>상품본부</t>
        </is>
      </c>
      <c r="B10" s="106" t="inlineStr">
        <is>
          <t>MMD</t>
        </is>
      </c>
      <c r="C10" s="106" t="n">
        <v>3</v>
      </c>
      <c r="D10" s="106" t="n">
        <v>0</v>
      </c>
      <c r="E10" s="106" t="n">
        <v>3</v>
      </c>
      <c r="F10" s="106" t="n">
        <v>0</v>
      </c>
      <c r="G10" s="106" t="n">
        <v>0</v>
      </c>
      <c r="H10" s="167" t="n">
        <v>0</v>
      </c>
      <c r="I10" s="106" t="n">
        <v>0</v>
      </c>
    </row>
    <row r="11">
      <c r="A11" s="106" t="inlineStr">
        <is>
          <t>RND</t>
        </is>
      </c>
      <c r="B11" s="106" t="inlineStr">
        <is>
          <t>총괄</t>
        </is>
      </c>
      <c r="C11" s="106" t="n">
        <v>1</v>
      </c>
      <c r="D11" s="106" t="n">
        <v>0</v>
      </c>
      <c r="E11" s="106" t="n">
        <v>1</v>
      </c>
      <c r="F11" s="106" t="n">
        <v>0</v>
      </c>
      <c r="G11" s="106" t="n">
        <v>0</v>
      </c>
      <c r="H11" s="167" t="n">
        <v>0</v>
      </c>
      <c r="I11" s="106" t="n">
        <v>0</v>
      </c>
    </row>
    <row r="12">
      <c r="A12" s="106" t="inlineStr">
        <is>
          <t>RND</t>
        </is>
      </c>
      <c r="B12" s="106" t="inlineStr">
        <is>
          <t>RND</t>
        </is>
      </c>
      <c r="C12" s="106" t="n">
        <v>8</v>
      </c>
      <c r="D12" s="106" t="n">
        <v>0</v>
      </c>
      <c r="E12" s="106" t="n">
        <v>9</v>
      </c>
      <c r="F12" s="106" t="n">
        <v>0</v>
      </c>
      <c r="G12" s="106" t="n">
        <v>1</v>
      </c>
      <c r="H12" s="167" t="n">
        <v>0.125</v>
      </c>
      <c r="I12" s="106" t="n">
        <v>0</v>
      </c>
    </row>
    <row r="13">
      <c r="A13" s="106" t="inlineStr">
        <is>
          <t>RND</t>
        </is>
      </c>
      <c r="B13" s="106" t="inlineStr">
        <is>
          <t>VMD</t>
        </is>
      </c>
      <c r="C13" s="106" t="n">
        <v>1</v>
      </c>
      <c r="D13" s="106" t="n">
        <v>0</v>
      </c>
      <c r="E13" s="106" t="n">
        <v>1</v>
      </c>
      <c r="F13" s="106" t="n">
        <v>0</v>
      </c>
      <c r="G13" s="106" t="n">
        <v>0</v>
      </c>
      <c r="H13" s="167" t="n">
        <v>0</v>
      </c>
      <c r="I13" s="106" t="n">
        <v>0</v>
      </c>
    </row>
    <row r="14">
      <c r="A14" s="106" t="inlineStr">
        <is>
          <t>AMD</t>
        </is>
      </c>
      <c r="B14" s="106" t="inlineStr">
        <is>
          <t>AMD</t>
        </is>
      </c>
      <c r="C14" s="106" t="n">
        <v>5</v>
      </c>
      <c r="D14" s="106" t="n">
        <v>0</v>
      </c>
      <c r="E14" s="106" t="n">
        <v>4</v>
      </c>
      <c r="F14" s="106" t="n">
        <v>0</v>
      </c>
      <c r="G14" s="106" t="n">
        <v>-1</v>
      </c>
      <c r="H14" s="167" t="n">
        <v>-0.2</v>
      </c>
      <c r="I14" s="106" t="n">
        <v>0</v>
      </c>
    </row>
    <row r="15">
      <c r="A15" s="106" t="inlineStr">
        <is>
          <t>CXD</t>
        </is>
      </c>
      <c r="B15" s="106" t="inlineStr">
        <is>
          <t>CXD</t>
        </is>
      </c>
      <c r="C15" s="106" t="n">
        <v>3</v>
      </c>
      <c r="D15" s="106" t="n">
        <v>0</v>
      </c>
      <c r="E15" s="106" t="n">
        <v>3</v>
      </c>
      <c r="F15" s="106" t="n">
        <v>0</v>
      </c>
      <c r="G15" s="106" t="n">
        <v>0</v>
      </c>
      <c r="H15" s="167" t="n">
        <v>0</v>
      </c>
      <c r="I15" s="106" t="n">
        <v>0</v>
      </c>
    </row>
    <row r="16">
      <c r="A16" s="106" t="inlineStr">
        <is>
          <t>ETC</t>
        </is>
      </c>
      <c r="B16" s="106" t="inlineStr">
        <is>
          <t>ETC</t>
        </is>
      </c>
      <c r="C16" s="106" t="n">
        <v>1</v>
      </c>
      <c r="D16" s="106" t="n">
        <v>0</v>
      </c>
      <c r="E16" s="106" t="n">
        <v>1</v>
      </c>
      <c r="F16" s="106" t="n">
        <v>0</v>
      </c>
      <c r="G16" s="106" t="n">
        <v>0</v>
      </c>
      <c r="H16" s="167" t="n">
        <v>0</v>
      </c>
      <c r="I16" s="106" t="n">
        <v>0</v>
      </c>
    </row>
    <row r="17">
      <c r="A17" s="106" t="inlineStr">
        <is>
          <t>직영점</t>
        </is>
      </c>
      <c r="B17" s="106" t="inlineStr">
        <is>
          <t>양재점</t>
        </is>
      </c>
      <c r="C17" s="106" t="n">
        <v>0</v>
      </c>
      <c r="D17" s="106" t="n">
        <v>3</v>
      </c>
      <c r="E17" s="106" t="n">
        <v>0</v>
      </c>
      <c r="F17" s="106" t="n">
        <v>4</v>
      </c>
      <c r="G17" s="106" t="n">
        <v>0</v>
      </c>
      <c r="H17" s="167" t="n"/>
      <c r="I17" s="106" t="n">
        <v>1</v>
      </c>
      <c r="J17" s="167" t="n">
        <v>0.3333333333333333</v>
      </c>
    </row>
    <row r="18">
      <c r="A18" s="106" t="inlineStr">
        <is>
          <t>직영점</t>
        </is>
      </c>
      <c r="B18" s="106" t="inlineStr">
        <is>
          <t>일산점</t>
        </is>
      </c>
      <c r="C18" s="106" t="n">
        <v>0</v>
      </c>
      <c r="D18" s="106" t="n">
        <v>4</v>
      </c>
      <c r="E18" s="106" t="n">
        <v>0</v>
      </c>
      <c r="F18" s="106" t="n">
        <v>5</v>
      </c>
      <c r="G18" s="106" t="n">
        <v>0</v>
      </c>
      <c r="H18" s="167" t="n"/>
      <c r="I18" s="106" t="n">
        <v>1</v>
      </c>
      <c r="J18" s="167" t="n">
        <v>0.25</v>
      </c>
    </row>
    <row r="19">
      <c r="A19" s="106" t="inlineStr">
        <is>
          <t>직영점</t>
        </is>
      </c>
      <c r="B19" s="106" t="inlineStr">
        <is>
          <t>전주점</t>
        </is>
      </c>
      <c r="C19" s="106" t="n">
        <v>0</v>
      </c>
      <c r="D19" s="106" t="n">
        <v>2</v>
      </c>
      <c r="E19" s="106" t="n">
        <v>0</v>
      </c>
      <c r="F19" s="106" t="n">
        <v>2</v>
      </c>
      <c r="G19" s="106" t="n">
        <v>0</v>
      </c>
      <c r="H19" s="167" t="n"/>
      <c r="I19" s="106" t="n">
        <v>0</v>
      </c>
      <c r="J19" s="167" t="n">
        <v>0</v>
      </c>
    </row>
    <row r="20">
      <c r="A20" s="106" t="inlineStr">
        <is>
          <t>직영점</t>
        </is>
      </c>
      <c r="B20" s="106" t="inlineStr">
        <is>
          <t>청주점</t>
        </is>
      </c>
      <c r="C20" s="106" t="n">
        <v>0</v>
      </c>
      <c r="D20" s="106" t="n">
        <v>2</v>
      </c>
      <c r="E20" s="106" t="n">
        <v>0</v>
      </c>
      <c r="F20" s="106" t="n">
        <v>2</v>
      </c>
      <c r="G20" s="106" t="n">
        <v>0</v>
      </c>
      <c r="H20" s="167" t="n"/>
      <c r="I20" s="106" t="n">
        <v>0</v>
      </c>
      <c r="J20" s="167" t="n">
        <v>0</v>
      </c>
    </row>
    <row r="21">
      <c r="A21" s="106" t="inlineStr">
        <is>
          <t>직영점</t>
        </is>
      </c>
      <c r="B21" s="106" t="inlineStr">
        <is>
          <t>NC해운대점</t>
        </is>
      </c>
      <c r="C21" s="106" t="n">
        <v>0</v>
      </c>
      <c r="D21" s="106" t="n">
        <v>2</v>
      </c>
      <c r="E21" s="106" t="n">
        <v>0</v>
      </c>
      <c r="F21" s="106" t="n">
        <v>2</v>
      </c>
      <c r="G21" s="106" t="n">
        <v>0</v>
      </c>
      <c r="H21" s="167" t="n"/>
      <c r="I21" s="106" t="n">
        <v>0</v>
      </c>
      <c r="J21" s="167" t="n">
        <v>0</v>
      </c>
    </row>
    <row r="22">
      <c r="A22" s="106" t="inlineStr">
        <is>
          <t>직영점</t>
        </is>
      </c>
      <c r="B22" s="106" t="inlineStr">
        <is>
          <t>NC일산점</t>
        </is>
      </c>
      <c r="C22" s="106" t="n">
        <v>0</v>
      </c>
      <c r="D22" s="106" t="n">
        <v>1</v>
      </c>
      <c r="E22" s="106" t="n">
        <v>0</v>
      </c>
      <c r="F22" s="106" t="n">
        <v>2</v>
      </c>
      <c r="G22" s="106" t="n">
        <v>0</v>
      </c>
      <c r="H22" s="167" t="n"/>
      <c r="I22" s="106" t="n">
        <v>1</v>
      </c>
      <c r="J22" s="167" t="n">
        <v>1</v>
      </c>
    </row>
    <row r="23">
      <c r="A23" s="106" t="inlineStr">
        <is>
          <t>직영점</t>
        </is>
      </c>
      <c r="B23" s="106" t="inlineStr">
        <is>
          <t>가든5점_현대아울렛</t>
        </is>
      </c>
      <c r="C23" s="106" t="n">
        <v>0</v>
      </c>
      <c r="D23" s="106" t="n">
        <v>1</v>
      </c>
      <c r="E23" s="106" t="n">
        <v>0</v>
      </c>
      <c r="F23" s="106" t="n">
        <v>2</v>
      </c>
      <c r="G23" s="106" t="n">
        <v>0</v>
      </c>
      <c r="H23" s="167" t="n"/>
      <c r="I23" s="106" t="n">
        <v>1</v>
      </c>
      <c r="J23" s="167" t="n">
        <v>1</v>
      </c>
    </row>
    <row r="24">
      <c r="A24" s="106" t="inlineStr">
        <is>
          <t>직영점</t>
        </is>
      </c>
      <c r="B24" s="106" t="inlineStr">
        <is>
          <t>고양점(롯데아울렛)</t>
        </is>
      </c>
      <c r="C24" s="106" t="n">
        <v>0</v>
      </c>
      <c r="D24" s="106" t="n">
        <v>2</v>
      </c>
      <c r="E24" s="106" t="n">
        <v>0</v>
      </c>
      <c r="F24" s="106" t="n">
        <v>2</v>
      </c>
      <c r="G24" s="106" t="n">
        <v>0</v>
      </c>
      <c r="H24" s="167" t="n"/>
      <c r="I24" s="106" t="n">
        <v>0</v>
      </c>
      <c r="J24" s="167" t="n">
        <v>0</v>
      </c>
    </row>
    <row r="25">
      <c r="A25" s="106" t="inlineStr">
        <is>
          <t>영업본부</t>
        </is>
      </c>
      <c r="B25" s="106" t="inlineStr">
        <is>
          <t>신세계의정부점</t>
        </is>
      </c>
      <c r="C25" s="106" t="n">
        <v>0</v>
      </c>
      <c r="D25" s="106" t="n">
        <v>2</v>
      </c>
      <c r="E25" s="106" t="n">
        <v>0</v>
      </c>
      <c r="F25" s="106" t="n">
        <v>2</v>
      </c>
      <c r="G25" s="106" t="n">
        <v>0</v>
      </c>
      <c r="H25" s="167" t="n"/>
      <c r="I25" s="106" t="n">
        <v>0</v>
      </c>
      <c r="J25" s="167" t="n">
        <v>0</v>
      </c>
    </row>
    <row r="26">
      <c r="A26" s="106" t="inlineStr">
        <is>
          <t>영업본부</t>
        </is>
      </c>
      <c r="B26" s="106" t="inlineStr">
        <is>
          <t>신세계충청점</t>
        </is>
      </c>
      <c r="C26" s="106" t="n">
        <v>0</v>
      </c>
      <c r="D26" s="106" t="n">
        <v>2</v>
      </c>
      <c r="E26" s="106" t="n">
        <v>0</v>
      </c>
      <c r="F26" s="106" t="n">
        <v>0</v>
      </c>
      <c r="G26" s="106" t="n">
        <v>0</v>
      </c>
      <c r="H26" s="167" t="n"/>
      <c r="I26" s="106" t="n">
        <v>-2</v>
      </c>
      <c r="J26" s="167" t="n">
        <v>-1</v>
      </c>
    </row>
    <row r="27">
      <c r="A27" s="106" t="inlineStr">
        <is>
          <t>영업본부</t>
        </is>
      </c>
      <c r="B27" s="106" t="inlineStr">
        <is>
          <t>양주점(LF몰)</t>
        </is>
      </c>
      <c r="C27" s="106" t="n">
        <v>0</v>
      </c>
      <c r="D27" s="106" t="n">
        <v>2</v>
      </c>
      <c r="E27" s="106" t="n">
        <v>0</v>
      </c>
      <c r="F27" s="106" t="n">
        <v>2</v>
      </c>
      <c r="G27" s="106" t="n">
        <v>0</v>
      </c>
      <c r="H27" s="167" t="n"/>
      <c r="I27" s="106" t="n">
        <v>0</v>
      </c>
      <c r="J27" s="167" t="n">
        <v>0</v>
      </c>
    </row>
    <row r="28">
      <c r="A28" s="106" t="inlineStr">
        <is>
          <t>영업본부</t>
        </is>
      </c>
      <c r="B28" s="106" t="inlineStr">
        <is>
          <t>파주점_신세계아울렛</t>
        </is>
      </c>
      <c r="C28" s="106" t="n">
        <v>0</v>
      </c>
      <c r="D28" s="106" t="n">
        <v>1</v>
      </c>
      <c r="E28" s="106" t="n">
        <v>0</v>
      </c>
      <c r="F28" s="106" t="n">
        <v>1</v>
      </c>
      <c r="G28" s="106" t="n">
        <v>0</v>
      </c>
      <c r="H28" s="167" t="n"/>
      <c r="I28" s="106" t="n">
        <v>0</v>
      </c>
      <c r="J28" s="167" t="n">
        <v>0</v>
      </c>
    </row>
    <row r="29">
      <c r="A29" s="106" t="inlineStr">
        <is>
          <t>영업본부</t>
        </is>
      </c>
      <c r="B29" s="106" t="inlineStr">
        <is>
          <t>현대동구점</t>
        </is>
      </c>
      <c r="C29" s="106" t="n">
        <v>0</v>
      </c>
      <c r="D29" s="106" t="n">
        <v>2</v>
      </c>
      <c r="E29" s="106" t="n">
        <v>0</v>
      </c>
      <c r="F29" s="106" t="n">
        <v>1</v>
      </c>
      <c r="G29" s="106" t="n">
        <v>0</v>
      </c>
      <c r="H29" s="167" t="n"/>
      <c r="I29" s="106" t="n">
        <v>-1</v>
      </c>
      <c r="J29" s="167" t="n">
        <v>-0.5</v>
      </c>
    </row>
    <row r="30">
      <c r="A30" s="106" t="inlineStr">
        <is>
          <t>영업본부</t>
        </is>
      </c>
      <c r="B30" s="106" t="inlineStr">
        <is>
          <t>현대디큐브시티점</t>
        </is>
      </c>
      <c r="C30" s="106" t="n">
        <v>0</v>
      </c>
      <c r="D30" s="106" t="n">
        <v>1</v>
      </c>
      <c r="E30" s="106" t="n">
        <v>0</v>
      </c>
      <c r="F30" s="106" t="n">
        <v>0</v>
      </c>
      <c r="G30" s="106" t="n">
        <v>0</v>
      </c>
      <c r="H30" s="167" t="n"/>
      <c r="I30" s="106" t="n">
        <v>-1</v>
      </c>
      <c r="J30" s="167" t="n">
        <v>-1</v>
      </c>
    </row>
    <row r="31">
      <c r="A31" s="106" t="inlineStr">
        <is>
          <t>영업본부</t>
        </is>
      </c>
      <c r="B31" s="106" t="inlineStr">
        <is>
          <t>현대신촌점</t>
        </is>
      </c>
      <c r="C31" s="106" t="n">
        <v>0</v>
      </c>
      <c r="D31" s="106" t="n">
        <v>2</v>
      </c>
      <c r="E31" s="106" t="n">
        <v>0</v>
      </c>
      <c r="F31" s="106" t="n">
        <v>2</v>
      </c>
      <c r="G31" s="106" t="n">
        <v>0</v>
      </c>
      <c r="H31" s="167" t="n"/>
      <c r="I31" s="106" t="n">
        <v>0</v>
      </c>
      <c r="J31" s="167" t="n">
        <v>0</v>
      </c>
    </row>
    <row r="32">
      <c r="A32" s="106" t="inlineStr">
        <is>
          <t>영업본부</t>
        </is>
      </c>
      <c r="B32" s="106" t="inlineStr">
        <is>
          <t>현대미아점</t>
        </is>
      </c>
      <c r="C32" s="106" t="n">
        <v>0</v>
      </c>
      <c r="D32" s="106" t="n">
        <v>0</v>
      </c>
      <c r="E32" s="106" t="n">
        <v>0</v>
      </c>
      <c r="F32" s="106" t="n">
        <v>1</v>
      </c>
      <c r="G32" s="106" t="n">
        <v>0</v>
      </c>
      <c r="H32" s="167" t="n"/>
      <c r="I32" s="106" t="n">
        <v>1</v>
      </c>
    </row>
    <row r="33">
      <c r="A33" s="106" t="inlineStr">
        <is>
          <t>영업본부</t>
        </is>
      </c>
      <c r="B33" s="106" t="inlineStr">
        <is>
          <t>현대울산점</t>
        </is>
      </c>
      <c r="C33" s="106" t="n">
        <v>0</v>
      </c>
      <c r="D33" s="106" t="n">
        <v>2</v>
      </c>
      <c r="E33" s="106" t="n">
        <v>0</v>
      </c>
      <c r="F33" s="106" t="n">
        <v>2</v>
      </c>
      <c r="G33" s="106" t="n">
        <v>0</v>
      </c>
      <c r="H33" s="167" t="n"/>
      <c r="I33" s="106" t="n">
        <v>0</v>
      </c>
      <c r="J33" s="167" t="n">
        <v>0</v>
      </c>
    </row>
    <row r="34">
      <c r="A34" s="106" t="inlineStr">
        <is>
          <t>영업본부</t>
        </is>
      </c>
      <c r="B34" s="106" t="inlineStr">
        <is>
          <t>현대중동점</t>
        </is>
      </c>
      <c r="C34" s="106" t="n">
        <v>0</v>
      </c>
      <c r="D34" s="106" t="n">
        <v>1</v>
      </c>
      <c r="E34" s="106" t="n">
        <v>0</v>
      </c>
      <c r="F34" s="106" t="n">
        <v>2</v>
      </c>
      <c r="G34" s="106" t="n">
        <v>0</v>
      </c>
      <c r="H34" s="167" t="n"/>
      <c r="I34" s="106" t="n">
        <v>1</v>
      </c>
      <c r="J34" s="167" t="n">
        <v>1</v>
      </c>
    </row>
    <row r="35">
      <c r="A35" s="106" t="inlineStr">
        <is>
          <t>영업본부</t>
        </is>
      </c>
      <c r="B35" s="106" t="inlineStr">
        <is>
          <t>현대충청점</t>
        </is>
      </c>
      <c r="C35" s="106" t="n">
        <v>0</v>
      </c>
      <c r="D35" s="106" t="n">
        <v>2</v>
      </c>
      <c r="E35" s="106" t="n">
        <v>0</v>
      </c>
      <c r="F35" s="106" t="n">
        <v>2</v>
      </c>
      <c r="G35" s="106" t="n">
        <v>0</v>
      </c>
      <c r="H35" s="167" t="n"/>
      <c r="I35" s="106" t="n">
        <v>0</v>
      </c>
      <c r="J35" s="167" t="n">
        <v>0</v>
      </c>
    </row>
    <row r="36">
      <c r="A36" s="106" t="inlineStr">
        <is>
          <t>영업본부</t>
        </is>
      </c>
      <c r="B36" s="106" t="inlineStr">
        <is>
          <t>현대킨텍스점</t>
        </is>
      </c>
      <c r="C36" s="106" t="n">
        <v>0</v>
      </c>
      <c r="D36" s="106" t="n">
        <v>0</v>
      </c>
      <c r="E36" s="106" t="n">
        <v>0</v>
      </c>
      <c r="F36" s="106" t="n">
        <v>2</v>
      </c>
      <c r="G36" s="106" t="n">
        <v>0</v>
      </c>
      <c r="H36" s="167" t="n"/>
      <c r="I36" s="106" t="n">
        <v>2</v>
      </c>
    </row>
    <row r="37">
      <c r="A37" s="106" t="inlineStr">
        <is>
          <t>영업본부</t>
        </is>
      </c>
      <c r="B37" s="106" t="inlineStr">
        <is>
          <t>신세계대전점</t>
        </is>
      </c>
      <c r="C37" s="106" t="n">
        <v>0</v>
      </c>
      <c r="D37" s="106" t="n">
        <v>2</v>
      </c>
      <c r="E37" s="106" t="n">
        <v>0</v>
      </c>
      <c r="F37" s="106" t="n">
        <v>2</v>
      </c>
      <c r="G37" s="106" t="n">
        <v>0</v>
      </c>
      <c r="H37" s="167" t="n"/>
      <c r="I37" s="106" t="n">
        <v>0</v>
      </c>
      <c r="J37" s="167" t="n">
        <v>0</v>
      </c>
    </row>
    <row r="38">
      <c r="A38" s="106" t="inlineStr">
        <is>
          <t>직영점</t>
        </is>
      </c>
      <c r="B38" s="106" t="inlineStr">
        <is>
          <t>NC불광점</t>
        </is>
      </c>
      <c r="C38" s="106" t="n">
        <v>0</v>
      </c>
      <c r="D38" s="106" t="n">
        <v>2</v>
      </c>
      <c r="E38" s="106" t="n">
        <v>0</v>
      </c>
      <c r="F38" s="106" t="n">
        <v>2</v>
      </c>
      <c r="G38" s="106" t="n">
        <v>0</v>
      </c>
      <c r="H38" s="167" t="n"/>
      <c r="I38" s="106" t="n">
        <v>0</v>
      </c>
      <c r="J38" s="167" t="n">
        <v>0</v>
      </c>
    </row>
    <row r="39">
      <c r="A39" s="106" t="inlineStr">
        <is>
          <t>직영점</t>
        </is>
      </c>
      <c r="B39" s="106" t="inlineStr">
        <is>
          <t>NC충장점</t>
        </is>
      </c>
      <c r="C39" s="106" t="n">
        <v>0</v>
      </c>
      <c r="D39" s="106" t="n">
        <v>2</v>
      </c>
      <c r="E39" s="106" t="n">
        <v>0</v>
      </c>
      <c r="F39" s="106" t="n">
        <v>2</v>
      </c>
      <c r="G39" s="106" t="n">
        <v>0</v>
      </c>
      <c r="H39" s="167" t="n"/>
      <c r="I39" s="106" t="n">
        <v>0</v>
      </c>
      <c r="J39" s="167" t="n">
        <v>0</v>
      </c>
    </row>
    <row r="40">
      <c r="A40" s="106" t="inlineStr">
        <is>
          <t>직영점</t>
        </is>
      </c>
      <c r="B40" s="106" t="inlineStr">
        <is>
          <t>경기광주점</t>
        </is>
      </c>
      <c r="C40" s="106" t="n">
        <v>0</v>
      </c>
      <c r="D40" s="106" t="n">
        <v>4</v>
      </c>
      <c r="E40" s="106" t="n">
        <v>0</v>
      </c>
      <c r="F40" s="106" t="n">
        <v>4</v>
      </c>
      <c r="G40" s="106" t="n">
        <v>0</v>
      </c>
      <c r="H40" s="167" t="n"/>
      <c r="I40" s="106" t="n">
        <v>0</v>
      </c>
      <c r="J40" s="167" t="n">
        <v>0</v>
      </c>
    </row>
    <row r="41">
      <c r="A41" s="106" t="inlineStr">
        <is>
          <t>영업본부</t>
        </is>
      </c>
      <c r="B41" s="106" t="inlineStr">
        <is>
          <t>현대목동점</t>
        </is>
      </c>
      <c r="C41" s="106" t="n">
        <v>0</v>
      </c>
      <c r="D41" s="106" t="n">
        <v>1</v>
      </c>
      <c r="E41" s="106" t="n">
        <v>0</v>
      </c>
      <c r="F41" s="106" t="n">
        <v>0</v>
      </c>
      <c r="G41" s="106" t="n">
        <v>0</v>
      </c>
      <c r="H41" s="167" t="n"/>
      <c r="I41" s="106" t="n">
        <v>-1</v>
      </c>
      <c r="J41" s="167" t="n">
        <v>-1</v>
      </c>
    </row>
    <row r="42">
      <c r="A42" s="106" t="inlineStr">
        <is>
          <t>영업본부</t>
        </is>
      </c>
      <c r="B42" s="106" t="inlineStr">
        <is>
          <t>신세계대구점</t>
        </is>
      </c>
      <c r="C42" s="106" t="n">
        <v>0</v>
      </c>
      <c r="D42" s="106" t="n">
        <v>1</v>
      </c>
      <c r="E42" s="106" t="n">
        <v>0</v>
      </c>
      <c r="F42" s="106" t="n">
        <v>0</v>
      </c>
      <c r="G42" s="106" t="n">
        <v>0</v>
      </c>
      <c r="H42" s="167" t="n"/>
      <c r="I42" s="106" t="n">
        <v>-1</v>
      </c>
      <c r="J42" s="167" t="n">
        <v>-1</v>
      </c>
    </row>
    <row r="43">
      <c r="A43" s="106" t="inlineStr">
        <is>
          <t>영업본부</t>
        </is>
      </c>
      <c r="B43" s="106" t="inlineStr">
        <is>
          <t>롯데잠실점</t>
        </is>
      </c>
      <c r="C43" s="106" t="n">
        <v>0</v>
      </c>
      <c r="D43" s="106" t="n">
        <v>3</v>
      </c>
      <c r="E43" s="106" t="n">
        <v>0</v>
      </c>
      <c r="F43" s="106" t="n">
        <v>2</v>
      </c>
      <c r="G43" s="106" t="n">
        <v>0</v>
      </c>
      <c r="H43" s="167" t="n"/>
      <c r="I43" s="106" t="n">
        <v>-1</v>
      </c>
      <c r="J43" s="167" t="n">
        <v>-0.3333333333333333</v>
      </c>
    </row>
    <row r="44">
      <c r="A44" s="106" t="inlineStr">
        <is>
          <t>영업본부</t>
        </is>
      </c>
      <c r="B44" s="106" t="inlineStr">
        <is>
          <t>신세계강남점</t>
        </is>
      </c>
      <c r="C44" s="106" t="n">
        <v>0</v>
      </c>
      <c r="D44" s="106" t="n">
        <v>2</v>
      </c>
      <c r="E44" s="106" t="n">
        <v>0</v>
      </c>
      <c r="F44" s="106" t="n">
        <v>2</v>
      </c>
      <c r="G44" s="106" t="n">
        <v>0</v>
      </c>
      <c r="H44" s="167" t="n"/>
      <c r="I44" s="106" t="n">
        <v>0</v>
      </c>
      <c r="J44" s="167" t="n">
        <v>0</v>
      </c>
    </row>
    <row r="45">
      <c r="A45" s="106" t="inlineStr">
        <is>
          <t>영업본부</t>
        </is>
      </c>
      <c r="B45" s="106" t="inlineStr">
        <is>
          <t>AK광명점</t>
        </is>
      </c>
      <c r="C45" s="106" t="n">
        <v>0</v>
      </c>
      <c r="D45" s="106" t="n">
        <v>0</v>
      </c>
      <c r="E45" s="106" t="n">
        <v>0</v>
      </c>
      <c r="F45" s="106" t="n">
        <v>1</v>
      </c>
      <c r="G45" s="106" t="n">
        <v>0</v>
      </c>
      <c r="H45" s="167" t="n"/>
      <c r="I45" s="106" t="n">
        <v>1</v>
      </c>
    </row>
    <row r="46">
      <c r="A46" s="106" t="inlineStr">
        <is>
          <t>영업본부</t>
        </is>
      </c>
      <c r="B46" s="106" t="inlineStr">
        <is>
          <t>AK분당점</t>
        </is>
      </c>
      <c r="C46" s="106" t="n">
        <v>0</v>
      </c>
      <c r="D46" s="106" t="n">
        <v>2</v>
      </c>
      <c r="E46" s="106" t="n">
        <v>0</v>
      </c>
      <c r="F46" s="106" t="n">
        <v>2</v>
      </c>
      <c r="G46" s="106" t="n">
        <v>0</v>
      </c>
      <c r="H46" s="167" t="n"/>
      <c r="I46" s="106" t="n">
        <v>0</v>
      </c>
      <c r="J46" s="167" t="n">
        <v>0</v>
      </c>
    </row>
    <row r="47">
      <c r="A47" s="106" t="inlineStr">
        <is>
          <t>영업본부</t>
        </is>
      </c>
      <c r="B47" s="106" t="inlineStr">
        <is>
          <t>AK수원점</t>
        </is>
      </c>
      <c r="C47" s="106" t="n">
        <v>0</v>
      </c>
      <c r="D47" s="106" t="n">
        <v>0</v>
      </c>
      <c r="E47" s="106" t="n">
        <v>0</v>
      </c>
      <c r="F47" s="106" t="n">
        <v>2</v>
      </c>
      <c r="G47" s="106" t="n">
        <v>0</v>
      </c>
      <c r="H47" s="167" t="n"/>
      <c r="I47" s="106" t="n">
        <v>2</v>
      </c>
    </row>
    <row r="48">
      <c r="A48" s="106" t="inlineStr">
        <is>
          <t>영업본부</t>
        </is>
      </c>
      <c r="B48" s="106" t="inlineStr">
        <is>
          <t>갤러리아진주점</t>
        </is>
      </c>
      <c r="C48" s="106" t="n">
        <v>0</v>
      </c>
      <c r="D48" s="106" t="n">
        <v>2</v>
      </c>
      <c r="E48" s="106" t="n">
        <v>0</v>
      </c>
      <c r="F48" s="106" t="n">
        <v>2</v>
      </c>
      <c r="G48" s="106" t="n">
        <v>0</v>
      </c>
      <c r="H48" s="167" t="n"/>
      <c r="I48" s="106" t="n">
        <v>0</v>
      </c>
      <c r="J48" s="167" t="n">
        <v>0</v>
      </c>
    </row>
    <row r="49">
      <c r="A49" s="106" t="inlineStr">
        <is>
          <t>영업본부</t>
        </is>
      </c>
      <c r="B49" s="106" t="inlineStr">
        <is>
          <t>갤러리아천안점</t>
        </is>
      </c>
      <c r="C49" s="106" t="n">
        <v>0</v>
      </c>
      <c r="D49" s="106" t="n">
        <v>2</v>
      </c>
      <c r="E49" s="106" t="n">
        <v>0</v>
      </c>
      <c r="F49" s="106" t="n">
        <v>2</v>
      </c>
      <c r="G49" s="106" t="n">
        <v>0</v>
      </c>
      <c r="H49" s="167" t="n"/>
      <c r="I49" s="106" t="n">
        <v>0</v>
      </c>
      <c r="J49" s="167" t="n">
        <v>0</v>
      </c>
    </row>
    <row r="50">
      <c r="A50" s="106" t="inlineStr">
        <is>
          <t>영업본부</t>
        </is>
      </c>
      <c r="B50" s="106" t="inlineStr">
        <is>
          <t>갤러리아타임월드점</t>
        </is>
      </c>
      <c r="C50" s="106" t="n">
        <v>0</v>
      </c>
      <c r="D50" s="106" t="n">
        <v>2</v>
      </c>
      <c r="E50" s="106" t="n">
        <v>0</v>
      </c>
      <c r="F50" s="106" t="n">
        <v>2</v>
      </c>
      <c r="G50" s="106" t="n">
        <v>0</v>
      </c>
      <c r="H50" s="167" t="n"/>
      <c r="I50" s="106" t="n">
        <v>0</v>
      </c>
      <c r="J50" s="167" t="n">
        <v>0</v>
      </c>
    </row>
    <row r="51">
      <c r="A51" s="106" t="inlineStr">
        <is>
          <t>영업본부</t>
        </is>
      </c>
      <c r="B51" s="106" t="inlineStr">
        <is>
          <t>광교점(롯데아울렛)</t>
        </is>
      </c>
      <c r="C51" s="106" t="n">
        <v>0</v>
      </c>
      <c r="D51" s="106" t="n">
        <v>2</v>
      </c>
      <c r="E51" s="106" t="n">
        <v>0</v>
      </c>
      <c r="F51" s="106" t="n">
        <v>2</v>
      </c>
      <c r="G51" s="106" t="n">
        <v>0</v>
      </c>
      <c r="H51" s="167" t="n"/>
      <c r="I51" s="106" t="n">
        <v>0</v>
      </c>
      <c r="J51" s="167" t="n">
        <v>0</v>
      </c>
    </row>
    <row r="52">
      <c r="A52" s="106" t="inlineStr">
        <is>
          <t>영업본부</t>
        </is>
      </c>
      <c r="B52" s="106" t="inlineStr">
        <is>
          <t>광명점(롯데아울렛)</t>
        </is>
      </c>
      <c r="C52" s="106" t="n">
        <v>0</v>
      </c>
      <c r="D52" s="106" t="n">
        <v>2</v>
      </c>
      <c r="E52" s="106" t="n">
        <v>0</v>
      </c>
      <c r="F52" s="106" t="n">
        <v>2</v>
      </c>
      <c r="G52" s="106" t="n">
        <v>0</v>
      </c>
      <c r="H52" s="167" t="n"/>
      <c r="I52" s="106" t="n">
        <v>0</v>
      </c>
      <c r="J52" s="167" t="n">
        <v>0</v>
      </c>
    </row>
    <row r="53">
      <c r="A53" s="106" t="inlineStr">
        <is>
          <t>영업본부</t>
        </is>
      </c>
      <c r="B53" s="106" t="inlineStr">
        <is>
          <t>군산점(롯데아울렛)</t>
        </is>
      </c>
      <c r="C53" s="106" t="n">
        <v>0</v>
      </c>
      <c r="D53" s="106" t="n">
        <v>2</v>
      </c>
      <c r="E53" s="106" t="n">
        <v>0</v>
      </c>
      <c r="F53" s="106" t="n">
        <v>2</v>
      </c>
      <c r="G53" s="106" t="n">
        <v>0</v>
      </c>
      <c r="H53" s="167" t="n"/>
      <c r="I53" s="106" t="n">
        <v>0</v>
      </c>
      <c r="J53" s="167" t="n">
        <v>0</v>
      </c>
    </row>
    <row r="54">
      <c r="A54" s="106" t="inlineStr">
        <is>
          <t>영업본부</t>
        </is>
      </c>
      <c r="B54" s="106" t="inlineStr">
        <is>
          <t>동부산점(롯데아울렛)</t>
        </is>
      </c>
      <c r="C54" s="106" t="n">
        <v>0</v>
      </c>
      <c r="D54" s="106" t="n">
        <v>2</v>
      </c>
      <c r="E54" s="106" t="n">
        <v>0</v>
      </c>
      <c r="F54" s="106" t="n">
        <v>2</v>
      </c>
      <c r="G54" s="106" t="n">
        <v>0</v>
      </c>
      <c r="H54" s="167" t="n"/>
      <c r="I54" s="106" t="n">
        <v>0</v>
      </c>
      <c r="J54" s="167" t="n">
        <v>0</v>
      </c>
    </row>
    <row r="55">
      <c r="A55" s="106" t="inlineStr">
        <is>
          <t>영업본부</t>
        </is>
      </c>
      <c r="B55" s="106" t="inlineStr">
        <is>
          <t>롯데강남점</t>
        </is>
      </c>
      <c r="C55" s="106" t="n">
        <v>0</v>
      </c>
      <c r="D55" s="106" t="n">
        <v>2</v>
      </c>
      <c r="E55" s="106" t="n">
        <v>0</v>
      </c>
      <c r="F55" s="106" t="n">
        <v>2</v>
      </c>
      <c r="G55" s="106" t="n">
        <v>0</v>
      </c>
      <c r="H55" s="167" t="n"/>
      <c r="I55" s="106" t="n">
        <v>0</v>
      </c>
      <c r="J55" s="167" t="n">
        <v>0</v>
      </c>
    </row>
    <row r="56">
      <c r="A56" s="106" t="inlineStr">
        <is>
          <t>영업본부</t>
        </is>
      </c>
      <c r="B56" s="106" t="inlineStr">
        <is>
          <t>롯데관악점</t>
        </is>
      </c>
      <c r="C56" s="106" t="n">
        <v>0</v>
      </c>
      <c r="D56" s="106" t="n">
        <v>2</v>
      </c>
      <c r="E56" s="106" t="n">
        <v>0</v>
      </c>
      <c r="F56" s="106" t="n">
        <v>2</v>
      </c>
      <c r="G56" s="106" t="n">
        <v>0</v>
      </c>
      <c r="H56" s="167" t="n"/>
      <c r="I56" s="106" t="n">
        <v>0</v>
      </c>
      <c r="J56" s="167" t="n">
        <v>0</v>
      </c>
    </row>
    <row r="57">
      <c r="A57" s="106" t="inlineStr">
        <is>
          <t>영업본부</t>
        </is>
      </c>
      <c r="B57" s="106" t="inlineStr">
        <is>
          <t>롯데광복점</t>
        </is>
      </c>
      <c r="C57" s="106" t="n">
        <v>0</v>
      </c>
      <c r="D57" s="106" t="n">
        <v>2</v>
      </c>
      <c r="E57" s="106" t="n">
        <v>0</v>
      </c>
      <c r="F57" s="106" t="n">
        <v>2</v>
      </c>
      <c r="G57" s="106" t="n">
        <v>0</v>
      </c>
      <c r="H57" s="167" t="n"/>
      <c r="I57" s="106" t="n">
        <v>0</v>
      </c>
      <c r="J57" s="167" t="n">
        <v>0</v>
      </c>
    </row>
    <row r="58">
      <c r="A58" s="106" t="inlineStr">
        <is>
          <t>영업본부</t>
        </is>
      </c>
      <c r="B58" s="106" t="inlineStr">
        <is>
          <t>롯데구리점</t>
        </is>
      </c>
      <c r="C58" s="106" t="n">
        <v>0</v>
      </c>
      <c r="D58" s="106" t="n">
        <v>2</v>
      </c>
      <c r="E58" s="106" t="n">
        <v>0</v>
      </c>
      <c r="F58" s="106" t="n">
        <v>2</v>
      </c>
      <c r="G58" s="106" t="n">
        <v>0</v>
      </c>
      <c r="H58" s="167" t="n"/>
      <c r="I58" s="106" t="n">
        <v>0</v>
      </c>
      <c r="J58" s="167" t="n">
        <v>0</v>
      </c>
    </row>
    <row r="59">
      <c r="A59" s="106" t="inlineStr">
        <is>
          <t>영업본부</t>
        </is>
      </c>
      <c r="B59" s="106" t="inlineStr">
        <is>
          <t>롯데대구점</t>
        </is>
      </c>
      <c r="C59" s="106" t="n">
        <v>0</v>
      </c>
      <c r="D59" s="106" t="n">
        <v>2</v>
      </c>
      <c r="E59" s="106" t="n">
        <v>0</v>
      </c>
      <c r="F59" s="106" t="n">
        <v>0</v>
      </c>
      <c r="G59" s="106" t="n">
        <v>0</v>
      </c>
      <c r="H59" s="167" t="n"/>
      <c r="I59" s="106" t="n">
        <v>-2</v>
      </c>
      <c r="J59" s="167" t="n">
        <v>-1</v>
      </c>
    </row>
    <row r="60">
      <c r="A60" s="106" t="inlineStr">
        <is>
          <t>영업본부</t>
        </is>
      </c>
      <c r="B60" s="106" t="inlineStr">
        <is>
          <t>롯데동래점</t>
        </is>
      </c>
      <c r="C60" s="106" t="n">
        <v>0</v>
      </c>
      <c r="D60" s="106" t="n">
        <v>2</v>
      </c>
      <c r="E60" s="106" t="n">
        <v>0</v>
      </c>
      <c r="F60" s="106" t="n">
        <v>0</v>
      </c>
      <c r="G60" s="106" t="n">
        <v>0</v>
      </c>
      <c r="H60" s="167" t="n"/>
      <c r="I60" s="106" t="n">
        <v>-2</v>
      </c>
      <c r="J60" s="167" t="n">
        <v>-1</v>
      </c>
    </row>
    <row r="61">
      <c r="A61" s="106" t="inlineStr">
        <is>
          <t>영업본부</t>
        </is>
      </c>
      <c r="B61" s="106" t="inlineStr">
        <is>
          <t>롯데동탄점</t>
        </is>
      </c>
      <c r="C61" s="106" t="n">
        <v>0</v>
      </c>
      <c r="D61" s="106" t="n">
        <v>2</v>
      </c>
      <c r="E61" s="106" t="n">
        <v>0</v>
      </c>
      <c r="F61" s="106" t="n">
        <v>2</v>
      </c>
      <c r="G61" s="106" t="n">
        <v>0</v>
      </c>
      <c r="H61" s="167" t="n"/>
      <c r="I61" s="106" t="n">
        <v>0</v>
      </c>
      <c r="J61" s="167" t="n">
        <v>0</v>
      </c>
    </row>
    <row r="62">
      <c r="A62" s="106" t="inlineStr">
        <is>
          <t>영업본부</t>
        </is>
      </c>
      <c r="B62" s="106" t="inlineStr">
        <is>
          <t>롯데미아점</t>
        </is>
      </c>
      <c r="C62" s="106" t="n">
        <v>0</v>
      </c>
      <c r="D62" s="106" t="n">
        <v>2</v>
      </c>
      <c r="E62" s="106" t="n">
        <v>0</v>
      </c>
      <c r="F62" s="106" t="n">
        <v>1</v>
      </c>
      <c r="G62" s="106" t="n">
        <v>0</v>
      </c>
      <c r="H62" s="167" t="n"/>
      <c r="I62" s="106" t="n">
        <v>-1</v>
      </c>
      <c r="J62" s="167" t="n">
        <v>-0.5</v>
      </c>
    </row>
    <row r="63">
      <c r="A63" s="106" t="inlineStr">
        <is>
          <t>영업본부</t>
        </is>
      </c>
      <c r="B63" s="106" t="inlineStr">
        <is>
          <t>롯데부산본점</t>
        </is>
      </c>
      <c r="C63" s="106" t="n">
        <v>0</v>
      </c>
      <c r="D63" s="106" t="n">
        <v>2</v>
      </c>
      <c r="E63" s="106" t="n">
        <v>0</v>
      </c>
      <c r="F63" s="106" t="n">
        <v>2</v>
      </c>
      <c r="G63" s="106" t="n">
        <v>0</v>
      </c>
      <c r="H63" s="167" t="n"/>
      <c r="I63" s="106" t="n">
        <v>0</v>
      </c>
      <c r="J63" s="167" t="n">
        <v>0</v>
      </c>
    </row>
    <row r="64">
      <c r="A64" s="106" t="inlineStr">
        <is>
          <t>영업본부</t>
        </is>
      </c>
      <c r="B64" s="106" t="inlineStr">
        <is>
          <t>롯데분당점</t>
        </is>
      </c>
      <c r="C64" s="106" t="n">
        <v>0</v>
      </c>
      <c r="D64" s="106" t="n">
        <v>1</v>
      </c>
      <c r="E64" s="106" t="n">
        <v>0</v>
      </c>
      <c r="F64" s="106" t="n">
        <v>0</v>
      </c>
      <c r="G64" s="106" t="n">
        <v>0</v>
      </c>
      <c r="H64" s="167" t="n"/>
      <c r="I64" s="106" t="n">
        <v>-1</v>
      </c>
      <c r="J64" s="167" t="n">
        <v>-1</v>
      </c>
    </row>
    <row r="65">
      <c r="A65" s="106" t="inlineStr">
        <is>
          <t>영업본부</t>
        </is>
      </c>
      <c r="B65" s="106" t="inlineStr">
        <is>
          <t>롯데상인점</t>
        </is>
      </c>
      <c r="C65" s="106" t="n">
        <v>0</v>
      </c>
      <c r="D65" s="106" t="n">
        <v>2</v>
      </c>
      <c r="E65" s="106" t="n">
        <v>0</v>
      </c>
      <c r="F65" s="106" t="n">
        <v>2</v>
      </c>
      <c r="G65" s="106" t="n">
        <v>0</v>
      </c>
      <c r="H65" s="167" t="n"/>
      <c r="I65" s="106" t="n">
        <v>0</v>
      </c>
      <c r="J65" s="167" t="n">
        <v>0</v>
      </c>
    </row>
    <row r="66">
      <c r="A66" s="106" t="inlineStr">
        <is>
          <t>영업본부</t>
        </is>
      </c>
      <c r="B66" s="106" t="inlineStr">
        <is>
          <t>롯데수원점</t>
        </is>
      </c>
      <c r="C66" s="106" t="n">
        <v>0</v>
      </c>
      <c r="D66" s="106" t="n">
        <v>2</v>
      </c>
      <c r="E66" s="106" t="n">
        <v>0</v>
      </c>
      <c r="F66" s="106" t="n">
        <v>2</v>
      </c>
      <c r="G66" s="106" t="n">
        <v>0</v>
      </c>
      <c r="H66" s="167" t="n"/>
      <c r="I66" s="106" t="n">
        <v>0</v>
      </c>
      <c r="J66" s="167" t="n">
        <v>0</v>
      </c>
    </row>
    <row r="67">
      <c r="A67" s="106" t="inlineStr">
        <is>
          <t>영업본부</t>
        </is>
      </c>
      <c r="B67" s="106" t="inlineStr">
        <is>
          <t>롯데안산점</t>
        </is>
      </c>
      <c r="C67" s="106" t="n">
        <v>0</v>
      </c>
      <c r="D67" s="106" t="n">
        <v>2</v>
      </c>
      <c r="E67" s="106" t="n">
        <v>0</v>
      </c>
      <c r="F67" s="106" t="n">
        <v>2</v>
      </c>
      <c r="G67" s="106" t="n">
        <v>0</v>
      </c>
      <c r="H67" s="167" t="n"/>
      <c r="I67" s="106" t="n">
        <v>0</v>
      </c>
      <c r="J67" s="167" t="n">
        <v>0</v>
      </c>
    </row>
    <row r="68">
      <c r="A68" s="106" t="inlineStr">
        <is>
          <t>영업본부</t>
        </is>
      </c>
      <c r="B68" s="106" t="inlineStr">
        <is>
          <t>롯데울산점</t>
        </is>
      </c>
      <c r="C68" s="106" t="n">
        <v>0</v>
      </c>
      <c r="D68" s="106" t="n">
        <v>2</v>
      </c>
      <c r="E68" s="106" t="n">
        <v>0</v>
      </c>
      <c r="F68" s="106" t="n">
        <v>0</v>
      </c>
      <c r="G68" s="106" t="n">
        <v>0</v>
      </c>
      <c r="H68" s="167" t="n"/>
      <c r="I68" s="106" t="n">
        <v>-2</v>
      </c>
      <c r="J68" s="167" t="n">
        <v>-1</v>
      </c>
    </row>
    <row r="69">
      <c r="A69" s="106" t="inlineStr">
        <is>
          <t>영업본부</t>
        </is>
      </c>
      <c r="B69" s="106" t="inlineStr">
        <is>
          <t>롯데인천터미널점</t>
        </is>
      </c>
      <c r="C69" s="106" t="n">
        <v>0</v>
      </c>
      <c r="D69" s="106" t="n">
        <v>2</v>
      </c>
      <c r="E69" s="106" t="n">
        <v>0</v>
      </c>
      <c r="F69" s="106" t="n">
        <v>2</v>
      </c>
      <c r="G69" s="106" t="n">
        <v>0</v>
      </c>
      <c r="H69" s="167" t="n"/>
      <c r="I69" s="106" t="n">
        <v>0</v>
      </c>
      <c r="J69" s="167" t="n">
        <v>0</v>
      </c>
    </row>
    <row r="70">
      <c r="A70" s="106" t="inlineStr">
        <is>
          <t>영업본부</t>
        </is>
      </c>
      <c r="B70" s="106" t="inlineStr">
        <is>
          <t>롯데전주점</t>
        </is>
      </c>
      <c r="C70" s="106" t="n">
        <v>0</v>
      </c>
      <c r="D70" s="106" t="n">
        <v>2</v>
      </c>
      <c r="E70" s="106" t="n">
        <v>0</v>
      </c>
      <c r="F70" s="106" t="n">
        <v>1</v>
      </c>
      <c r="G70" s="106" t="n">
        <v>0</v>
      </c>
      <c r="H70" s="167" t="n"/>
      <c r="I70" s="106" t="n">
        <v>-1</v>
      </c>
      <c r="J70" s="167" t="n">
        <v>-0.5</v>
      </c>
    </row>
    <row r="71">
      <c r="A71" s="106" t="inlineStr">
        <is>
          <t>영업본부</t>
        </is>
      </c>
      <c r="B71" s="106" t="inlineStr">
        <is>
          <t>스타필드하남점</t>
        </is>
      </c>
      <c r="C71" s="106" t="n">
        <v>0</v>
      </c>
      <c r="D71" s="106" t="n">
        <v>1</v>
      </c>
      <c r="E71" s="106" t="n">
        <v>0</v>
      </c>
      <c r="F71" s="106" t="n">
        <v>1</v>
      </c>
      <c r="G71" s="106" t="n">
        <v>0</v>
      </c>
      <c r="H71" s="167" t="n"/>
      <c r="I71" s="106" t="n">
        <v>0</v>
      </c>
      <c r="J71" s="167" t="n">
        <v>0</v>
      </c>
    </row>
    <row r="72">
      <c r="A72" s="106" t="inlineStr">
        <is>
          <t>영업본부</t>
        </is>
      </c>
      <c r="B72" s="106" t="inlineStr">
        <is>
          <t>신세계김해점</t>
        </is>
      </c>
      <c r="C72" s="106" t="n">
        <v>0</v>
      </c>
      <c r="D72" s="106" t="n">
        <v>2</v>
      </c>
      <c r="E72" s="106" t="n">
        <v>0</v>
      </c>
      <c r="F72" s="106" t="n">
        <v>2</v>
      </c>
      <c r="G72" s="106" t="n">
        <v>0</v>
      </c>
      <c r="H72" s="167" t="n"/>
      <c r="I72" s="106" t="n">
        <v>0</v>
      </c>
      <c r="J72" s="167" t="n">
        <v>0</v>
      </c>
    </row>
    <row r="73">
      <c r="A73" s="106" t="inlineStr">
        <is>
          <t>직영점</t>
        </is>
      </c>
      <c r="B73" s="106" t="inlineStr">
        <is>
          <t>현대커넥트부산점</t>
        </is>
      </c>
      <c r="C73" s="106" t="n">
        <v>0</v>
      </c>
      <c r="D73" s="106" t="n">
        <v>0</v>
      </c>
      <c r="E73" s="106" t="n">
        <v>0</v>
      </c>
      <c r="F73" s="106" t="n">
        <v>2</v>
      </c>
      <c r="G73" s="106" t="n">
        <v>0</v>
      </c>
      <c r="H73" s="167" t="n"/>
      <c r="I73" s="106" t="n">
        <v>2</v>
      </c>
    </row>
    <row r="74">
      <c r="A74" s="106" t="inlineStr">
        <is>
          <t>인원수합계</t>
        </is>
      </c>
      <c r="B74" s="106" t="inlineStr">
        <is>
          <t>인원수합계</t>
        </is>
      </c>
      <c r="C74" s="106" t="n">
        <v>52</v>
      </c>
      <c r="D74" s="106" t="n">
        <v>101</v>
      </c>
      <c r="E74" s="106" t="n">
        <v>52</v>
      </c>
      <c r="F74" s="106" t="n">
        <v>98</v>
      </c>
      <c r="G74" s="106" t="n">
        <v>0</v>
      </c>
      <c r="H74" s="167" t="n">
        <v>0</v>
      </c>
      <c r="I74" s="106" t="n">
        <v>-3</v>
      </c>
      <c r="J74" s="167" t="n">
        <v>-0.0297029702970297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Z159"/>
  <sheetViews>
    <sheetView tabSelected="1" zoomScale="70" zoomScaleNormal="70" zoomScaleSheetLayoutView="90" workbookViewId="0">
      <pane xSplit="4" ySplit="4" topLeftCell="E10" activePane="bottomRight" state="frozen"/>
      <selection activeCell="F49" sqref="F49"/>
      <selection pane="topRight" activeCell="F49" sqref="F49"/>
      <selection pane="bottomLeft" activeCell="F49" sqref="F49"/>
      <selection pane="bottomRight" activeCell="L16" sqref="L16"/>
    </sheetView>
  </sheetViews>
  <sheetFormatPr baseColWidth="8" defaultRowHeight="15.6"/>
  <cols>
    <col hidden="1" width="3.5" customWidth="1" style="1" min="1" max="1"/>
    <col width="13.875" customWidth="1" style="1" min="2" max="2"/>
    <col width="12.5" customWidth="1" style="1" min="3" max="3"/>
    <col width="27.25" customWidth="1" style="1" min="4" max="4"/>
    <col width="17.875" customWidth="1" style="1" min="5" max="12"/>
    <col width="11.75" customWidth="1" style="1" min="13" max="13"/>
    <col width="9" customWidth="1" style="1" min="14" max="14"/>
    <col width="3" customWidth="1" style="1" min="15" max="15"/>
    <col width="9" customWidth="1" style="1" min="16" max="214"/>
    <col width="8.375" customWidth="1" style="1" min="215" max="215"/>
    <col width="18" customWidth="1" style="1" min="216" max="216"/>
    <col hidden="1" width="13" customWidth="1" style="1" min="217" max="217"/>
    <col width="17.375" bestFit="1" customWidth="1" style="1" min="218" max="218"/>
    <col width="13.875" customWidth="1" style="1" min="219" max="226"/>
    <col width="31.125" customWidth="1" style="1" min="227" max="227"/>
    <col width="9" customWidth="1" style="1" min="228" max="470"/>
    <col width="8.375" customWidth="1" style="1" min="471" max="471"/>
    <col width="18" customWidth="1" style="1" min="472" max="472"/>
    <col hidden="1" width="13" customWidth="1" style="1" min="473" max="473"/>
    <col width="17.375" bestFit="1" customWidth="1" style="1" min="474" max="474"/>
    <col width="13.875" customWidth="1" style="1" min="475" max="482"/>
    <col width="31.125" customWidth="1" style="1" min="483" max="483"/>
    <col width="9" customWidth="1" style="1" min="484" max="726"/>
    <col width="8.375" customWidth="1" style="1" min="727" max="727"/>
    <col width="18" customWidth="1" style="1" min="728" max="728"/>
    <col hidden="1" width="13" customWidth="1" style="1" min="729" max="729"/>
    <col width="17.375" bestFit="1" customWidth="1" style="1" min="730" max="730"/>
    <col width="13.875" customWidth="1" style="1" min="731" max="738"/>
    <col width="31.125" customWidth="1" style="1" min="739" max="739"/>
    <col width="9" customWidth="1" style="1" min="740" max="982"/>
    <col width="8.375" customWidth="1" style="1" min="983" max="983"/>
    <col width="18" customWidth="1" style="1" min="984" max="984"/>
    <col hidden="1" width="13" customWidth="1" style="1" min="985" max="985"/>
    <col width="17.375" bestFit="1" customWidth="1" style="1" min="986" max="986"/>
    <col width="13.875" customWidth="1" style="1" min="987" max="994"/>
    <col width="31.125" customWidth="1" style="1" min="995" max="995"/>
    <col width="9" customWidth="1" style="1" min="996" max="1238"/>
    <col width="8.375" customWidth="1" style="1" min="1239" max="1239"/>
    <col width="18" customWidth="1" style="1" min="1240" max="1240"/>
    <col hidden="1" width="13" customWidth="1" style="1" min="1241" max="1241"/>
    <col width="17.375" bestFit="1" customWidth="1" style="1" min="1242" max="1242"/>
    <col width="13.875" customWidth="1" style="1" min="1243" max="1250"/>
    <col width="31.125" customWidth="1" style="1" min="1251" max="1251"/>
    <col width="9" customWidth="1" style="1" min="1252" max="1494"/>
    <col width="8.375" customWidth="1" style="1" min="1495" max="1495"/>
    <col width="18" customWidth="1" style="1" min="1496" max="1496"/>
    <col hidden="1" width="13" customWidth="1" style="1" min="1497" max="1497"/>
    <col width="17.375" bestFit="1" customWidth="1" style="1" min="1498" max="1498"/>
    <col width="13.875" customWidth="1" style="1" min="1499" max="1506"/>
    <col width="31.125" customWidth="1" style="1" min="1507" max="1507"/>
    <col width="9" customWidth="1" style="1" min="1508" max="1750"/>
    <col width="8.375" customWidth="1" style="1" min="1751" max="1751"/>
    <col width="18" customWidth="1" style="1" min="1752" max="1752"/>
    <col hidden="1" width="13" customWidth="1" style="1" min="1753" max="1753"/>
    <col width="17.375" bestFit="1" customWidth="1" style="1" min="1754" max="1754"/>
    <col width="13.875" customWidth="1" style="1" min="1755" max="1762"/>
    <col width="31.125" customWidth="1" style="1" min="1763" max="1763"/>
    <col width="9" customWidth="1" style="1" min="1764" max="2006"/>
    <col width="8.375" customWidth="1" style="1" min="2007" max="2007"/>
    <col width="18" customWidth="1" style="1" min="2008" max="2008"/>
    <col hidden="1" width="13" customWidth="1" style="1" min="2009" max="2009"/>
    <col width="17.375" bestFit="1" customWidth="1" style="1" min="2010" max="2010"/>
    <col width="13.875" customWidth="1" style="1" min="2011" max="2018"/>
    <col width="31.125" customWidth="1" style="1" min="2019" max="2019"/>
    <col width="9" customWidth="1" style="1" min="2020" max="2262"/>
    <col width="8.375" customWidth="1" style="1" min="2263" max="2263"/>
    <col width="18" customWidth="1" style="1" min="2264" max="2264"/>
    <col hidden="1" width="13" customWidth="1" style="1" min="2265" max="2265"/>
    <col width="17.375" bestFit="1" customWidth="1" style="1" min="2266" max="2266"/>
    <col width="13.875" customWidth="1" style="1" min="2267" max="2274"/>
    <col width="31.125" customWidth="1" style="1" min="2275" max="2275"/>
    <col width="9" customWidth="1" style="1" min="2276" max="2518"/>
    <col width="8.375" customWidth="1" style="1" min="2519" max="2519"/>
    <col width="18" customWidth="1" style="1" min="2520" max="2520"/>
    <col hidden="1" width="13" customWidth="1" style="1" min="2521" max="2521"/>
    <col width="17.375" bestFit="1" customWidth="1" style="1" min="2522" max="2522"/>
    <col width="13.875" customWidth="1" style="1" min="2523" max="2530"/>
    <col width="31.125" customWidth="1" style="1" min="2531" max="2531"/>
    <col width="9" customWidth="1" style="1" min="2532" max="2774"/>
    <col width="8.375" customWidth="1" style="1" min="2775" max="2775"/>
    <col width="18" customWidth="1" style="1" min="2776" max="2776"/>
    <col hidden="1" width="13" customWidth="1" style="1" min="2777" max="2777"/>
    <col width="17.375" bestFit="1" customWidth="1" style="1" min="2778" max="2778"/>
    <col width="13.875" customWidth="1" style="1" min="2779" max="2786"/>
    <col width="31.125" customWidth="1" style="1" min="2787" max="2787"/>
    <col width="9" customWidth="1" style="1" min="2788" max="3030"/>
    <col width="8.375" customWidth="1" style="1" min="3031" max="3031"/>
    <col width="18" customWidth="1" style="1" min="3032" max="3032"/>
    <col hidden="1" width="13" customWidth="1" style="1" min="3033" max="3033"/>
    <col width="17.375" bestFit="1" customWidth="1" style="1" min="3034" max="3034"/>
    <col width="13.875" customWidth="1" style="1" min="3035" max="3042"/>
    <col width="31.125" customWidth="1" style="1" min="3043" max="3043"/>
    <col width="9" customWidth="1" style="1" min="3044" max="3286"/>
    <col width="8.375" customWidth="1" style="1" min="3287" max="3287"/>
    <col width="18" customWidth="1" style="1" min="3288" max="3288"/>
    <col hidden="1" width="13" customWidth="1" style="1" min="3289" max="3289"/>
    <col width="17.375" bestFit="1" customWidth="1" style="1" min="3290" max="3290"/>
    <col width="13.875" customWidth="1" style="1" min="3291" max="3298"/>
    <col width="31.125" customWidth="1" style="1" min="3299" max="3299"/>
    <col width="9" customWidth="1" style="1" min="3300" max="3542"/>
    <col width="8.375" customWidth="1" style="1" min="3543" max="3543"/>
    <col width="18" customWidth="1" style="1" min="3544" max="3544"/>
    <col hidden="1" width="13" customWidth="1" style="1" min="3545" max="3545"/>
    <col width="17.375" bestFit="1" customWidth="1" style="1" min="3546" max="3546"/>
    <col width="13.875" customWidth="1" style="1" min="3547" max="3554"/>
    <col width="31.125" customWidth="1" style="1" min="3555" max="3555"/>
    <col width="9" customWidth="1" style="1" min="3556" max="3798"/>
    <col width="8.375" customWidth="1" style="1" min="3799" max="3799"/>
    <col width="18" customWidth="1" style="1" min="3800" max="3800"/>
    <col hidden="1" width="13" customWidth="1" style="1" min="3801" max="3801"/>
    <col width="17.375" bestFit="1" customWidth="1" style="1" min="3802" max="3802"/>
    <col width="13.875" customWidth="1" style="1" min="3803" max="3810"/>
    <col width="31.125" customWidth="1" style="1" min="3811" max="3811"/>
    <col width="9" customWidth="1" style="1" min="3812" max="4054"/>
    <col width="8.375" customWidth="1" style="1" min="4055" max="4055"/>
    <col width="18" customWidth="1" style="1" min="4056" max="4056"/>
    <col hidden="1" width="13" customWidth="1" style="1" min="4057" max="4057"/>
    <col width="17.375" bestFit="1" customWidth="1" style="1" min="4058" max="4058"/>
    <col width="13.875" customWidth="1" style="1" min="4059" max="4066"/>
    <col width="31.125" customWidth="1" style="1" min="4067" max="4067"/>
    <col width="9" customWidth="1" style="1" min="4068" max="4310"/>
    <col width="8.375" customWidth="1" style="1" min="4311" max="4311"/>
    <col width="18" customWidth="1" style="1" min="4312" max="4312"/>
    <col hidden="1" width="13" customWidth="1" style="1" min="4313" max="4313"/>
    <col width="17.375" bestFit="1" customWidth="1" style="1" min="4314" max="4314"/>
    <col width="13.875" customWidth="1" style="1" min="4315" max="4322"/>
    <col width="31.125" customWidth="1" style="1" min="4323" max="4323"/>
    <col width="9" customWidth="1" style="1" min="4324" max="4566"/>
    <col width="8.375" customWidth="1" style="1" min="4567" max="4567"/>
    <col width="18" customWidth="1" style="1" min="4568" max="4568"/>
    <col hidden="1" width="13" customWidth="1" style="1" min="4569" max="4569"/>
    <col width="17.375" bestFit="1" customWidth="1" style="1" min="4570" max="4570"/>
    <col width="13.875" customWidth="1" style="1" min="4571" max="4578"/>
    <col width="31.125" customWidth="1" style="1" min="4579" max="4579"/>
    <col width="9" customWidth="1" style="1" min="4580" max="4822"/>
    <col width="8.375" customWidth="1" style="1" min="4823" max="4823"/>
    <col width="18" customWidth="1" style="1" min="4824" max="4824"/>
    <col hidden="1" width="13" customWidth="1" style="1" min="4825" max="4825"/>
    <col width="17.375" bestFit="1" customWidth="1" style="1" min="4826" max="4826"/>
    <col width="13.875" customWidth="1" style="1" min="4827" max="4834"/>
    <col width="31.125" customWidth="1" style="1" min="4835" max="4835"/>
    <col width="9" customWidth="1" style="1" min="4836" max="5078"/>
    <col width="8.375" customWidth="1" style="1" min="5079" max="5079"/>
    <col width="18" customWidth="1" style="1" min="5080" max="5080"/>
    <col hidden="1" width="13" customWidth="1" style="1" min="5081" max="5081"/>
    <col width="17.375" bestFit="1" customWidth="1" style="1" min="5082" max="5082"/>
    <col width="13.875" customWidth="1" style="1" min="5083" max="5090"/>
    <col width="31.125" customWidth="1" style="1" min="5091" max="5091"/>
    <col width="9" customWidth="1" style="1" min="5092" max="5334"/>
    <col width="8.375" customWidth="1" style="1" min="5335" max="5335"/>
    <col width="18" customWidth="1" style="1" min="5336" max="5336"/>
    <col hidden="1" width="13" customWidth="1" style="1" min="5337" max="5337"/>
    <col width="17.375" bestFit="1" customWidth="1" style="1" min="5338" max="5338"/>
    <col width="13.875" customWidth="1" style="1" min="5339" max="5346"/>
    <col width="31.125" customWidth="1" style="1" min="5347" max="5347"/>
    <col width="9" customWidth="1" style="1" min="5348" max="5590"/>
    <col width="8.375" customWidth="1" style="1" min="5591" max="5591"/>
    <col width="18" customWidth="1" style="1" min="5592" max="5592"/>
    <col hidden="1" width="13" customWidth="1" style="1" min="5593" max="5593"/>
    <col width="17.375" bestFit="1" customWidth="1" style="1" min="5594" max="5594"/>
    <col width="13.875" customWidth="1" style="1" min="5595" max="5602"/>
    <col width="31.125" customWidth="1" style="1" min="5603" max="5603"/>
    <col width="9" customWidth="1" style="1" min="5604" max="5846"/>
    <col width="8.375" customWidth="1" style="1" min="5847" max="5847"/>
    <col width="18" customWidth="1" style="1" min="5848" max="5848"/>
    <col hidden="1" width="13" customWidth="1" style="1" min="5849" max="5849"/>
    <col width="17.375" bestFit="1" customWidth="1" style="1" min="5850" max="5850"/>
    <col width="13.875" customWidth="1" style="1" min="5851" max="5858"/>
    <col width="31.125" customWidth="1" style="1" min="5859" max="5859"/>
    <col width="9" customWidth="1" style="1" min="5860" max="6102"/>
    <col width="8.375" customWidth="1" style="1" min="6103" max="6103"/>
    <col width="18" customWidth="1" style="1" min="6104" max="6104"/>
    <col hidden="1" width="13" customWidth="1" style="1" min="6105" max="6105"/>
    <col width="17.375" bestFit="1" customWidth="1" style="1" min="6106" max="6106"/>
    <col width="13.875" customWidth="1" style="1" min="6107" max="6114"/>
    <col width="31.125" customWidth="1" style="1" min="6115" max="6115"/>
    <col width="9" customWidth="1" style="1" min="6116" max="6358"/>
    <col width="8.375" customWidth="1" style="1" min="6359" max="6359"/>
    <col width="18" customWidth="1" style="1" min="6360" max="6360"/>
    <col hidden="1" width="13" customWidth="1" style="1" min="6361" max="6361"/>
    <col width="17.375" bestFit="1" customWidth="1" style="1" min="6362" max="6362"/>
    <col width="13.875" customWidth="1" style="1" min="6363" max="6370"/>
    <col width="31.125" customWidth="1" style="1" min="6371" max="6371"/>
    <col width="9" customWidth="1" style="1" min="6372" max="6614"/>
    <col width="8.375" customWidth="1" style="1" min="6615" max="6615"/>
    <col width="18" customWidth="1" style="1" min="6616" max="6616"/>
    <col hidden="1" width="13" customWidth="1" style="1" min="6617" max="6617"/>
    <col width="17.375" bestFit="1" customWidth="1" style="1" min="6618" max="6618"/>
    <col width="13.875" customWidth="1" style="1" min="6619" max="6626"/>
    <col width="31.125" customWidth="1" style="1" min="6627" max="6627"/>
    <col width="9" customWidth="1" style="1" min="6628" max="6870"/>
    <col width="8.375" customWidth="1" style="1" min="6871" max="6871"/>
    <col width="18" customWidth="1" style="1" min="6872" max="6872"/>
    <col hidden="1" width="13" customWidth="1" style="1" min="6873" max="6873"/>
    <col width="17.375" bestFit="1" customWidth="1" style="1" min="6874" max="6874"/>
    <col width="13.875" customWidth="1" style="1" min="6875" max="6882"/>
    <col width="31.125" customWidth="1" style="1" min="6883" max="6883"/>
    <col width="9" customWidth="1" style="1" min="6884" max="7126"/>
    <col width="8.375" customWidth="1" style="1" min="7127" max="7127"/>
    <col width="18" customWidth="1" style="1" min="7128" max="7128"/>
    <col hidden="1" width="13" customWidth="1" style="1" min="7129" max="7129"/>
    <col width="17.375" bestFit="1" customWidth="1" style="1" min="7130" max="7130"/>
    <col width="13.875" customWidth="1" style="1" min="7131" max="7138"/>
    <col width="31.125" customWidth="1" style="1" min="7139" max="7139"/>
    <col width="9" customWidth="1" style="1" min="7140" max="7382"/>
    <col width="8.375" customWidth="1" style="1" min="7383" max="7383"/>
    <col width="18" customWidth="1" style="1" min="7384" max="7384"/>
    <col hidden="1" width="13" customWidth="1" style="1" min="7385" max="7385"/>
    <col width="17.375" bestFit="1" customWidth="1" style="1" min="7386" max="7386"/>
    <col width="13.875" customWidth="1" style="1" min="7387" max="7394"/>
    <col width="31.125" customWidth="1" style="1" min="7395" max="7395"/>
    <col width="9" customWidth="1" style="1" min="7396" max="7638"/>
    <col width="8.375" customWidth="1" style="1" min="7639" max="7639"/>
    <col width="18" customWidth="1" style="1" min="7640" max="7640"/>
    <col hidden="1" width="13" customWidth="1" style="1" min="7641" max="7641"/>
    <col width="17.375" bestFit="1" customWidth="1" style="1" min="7642" max="7642"/>
    <col width="13.875" customWidth="1" style="1" min="7643" max="7650"/>
    <col width="31.125" customWidth="1" style="1" min="7651" max="7651"/>
    <col width="9" customWidth="1" style="1" min="7652" max="7894"/>
    <col width="8.375" customWidth="1" style="1" min="7895" max="7895"/>
    <col width="18" customWidth="1" style="1" min="7896" max="7896"/>
    <col hidden="1" width="13" customWidth="1" style="1" min="7897" max="7897"/>
    <col width="17.375" bestFit="1" customWidth="1" style="1" min="7898" max="7898"/>
    <col width="13.875" customWidth="1" style="1" min="7899" max="7906"/>
    <col width="31.125" customWidth="1" style="1" min="7907" max="7907"/>
    <col width="9" customWidth="1" style="1" min="7908" max="8150"/>
    <col width="8.375" customWidth="1" style="1" min="8151" max="8151"/>
    <col width="18" customWidth="1" style="1" min="8152" max="8152"/>
    <col hidden="1" width="13" customWidth="1" style="1" min="8153" max="8153"/>
    <col width="17.375" bestFit="1" customWidth="1" style="1" min="8154" max="8154"/>
    <col width="13.875" customWidth="1" style="1" min="8155" max="8162"/>
    <col width="31.125" customWidth="1" style="1" min="8163" max="8163"/>
    <col width="9" customWidth="1" style="1" min="8164" max="8406"/>
    <col width="8.375" customWidth="1" style="1" min="8407" max="8407"/>
    <col width="18" customWidth="1" style="1" min="8408" max="8408"/>
    <col hidden="1" width="13" customWidth="1" style="1" min="8409" max="8409"/>
    <col width="17.375" bestFit="1" customWidth="1" style="1" min="8410" max="8410"/>
    <col width="13.875" customWidth="1" style="1" min="8411" max="8418"/>
    <col width="31.125" customWidth="1" style="1" min="8419" max="8419"/>
    <col width="9" customWidth="1" style="1" min="8420" max="8662"/>
    <col width="8.375" customWidth="1" style="1" min="8663" max="8663"/>
    <col width="18" customWidth="1" style="1" min="8664" max="8664"/>
    <col hidden="1" width="13" customWidth="1" style="1" min="8665" max="8665"/>
    <col width="17.375" bestFit="1" customWidth="1" style="1" min="8666" max="8666"/>
    <col width="13.875" customWidth="1" style="1" min="8667" max="8674"/>
    <col width="31.125" customWidth="1" style="1" min="8675" max="8675"/>
    <col width="9" customWidth="1" style="1" min="8676" max="8918"/>
    <col width="8.375" customWidth="1" style="1" min="8919" max="8919"/>
    <col width="18" customWidth="1" style="1" min="8920" max="8920"/>
    <col hidden="1" width="13" customWidth="1" style="1" min="8921" max="8921"/>
    <col width="17.375" bestFit="1" customWidth="1" style="1" min="8922" max="8922"/>
    <col width="13.875" customWidth="1" style="1" min="8923" max="8930"/>
    <col width="31.125" customWidth="1" style="1" min="8931" max="8931"/>
    <col width="9" customWidth="1" style="1" min="8932" max="9174"/>
    <col width="8.375" customWidth="1" style="1" min="9175" max="9175"/>
    <col width="18" customWidth="1" style="1" min="9176" max="9176"/>
    <col hidden="1" width="13" customWidth="1" style="1" min="9177" max="9177"/>
    <col width="17.375" bestFit="1" customWidth="1" style="1" min="9178" max="9178"/>
    <col width="13.875" customWidth="1" style="1" min="9179" max="9186"/>
    <col width="31.125" customWidth="1" style="1" min="9187" max="9187"/>
    <col width="9" customWidth="1" style="1" min="9188" max="9430"/>
    <col width="8.375" customWidth="1" style="1" min="9431" max="9431"/>
    <col width="18" customWidth="1" style="1" min="9432" max="9432"/>
    <col hidden="1" width="13" customWidth="1" style="1" min="9433" max="9433"/>
    <col width="17.375" bestFit="1" customWidth="1" style="1" min="9434" max="9434"/>
    <col width="13.875" customWidth="1" style="1" min="9435" max="9442"/>
    <col width="31.125" customWidth="1" style="1" min="9443" max="9443"/>
    <col width="9" customWidth="1" style="1" min="9444" max="9686"/>
    <col width="8.375" customWidth="1" style="1" min="9687" max="9687"/>
    <col width="18" customWidth="1" style="1" min="9688" max="9688"/>
    <col hidden="1" width="13" customWidth="1" style="1" min="9689" max="9689"/>
    <col width="17.375" bestFit="1" customWidth="1" style="1" min="9690" max="9690"/>
    <col width="13.875" customWidth="1" style="1" min="9691" max="9698"/>
    <col width="31.125" customWidth="1" style="1" min="9699" max="9699"/>
    <col width="9" customWidth="1" style="1" min="9700" max="9942"/>
    <col width="8.375" customWidth="1" style="1" min="9943" max="9943"/>
    <col width="18" customWidth="1" style="1" min="9944" max="9944"/>
    <col hidden="1" width="13" customWidth="1" style="1" min="9945" max="9945"/>
    <col width="17.375" bestFit="1" customWidth="1" style="1" min="9946" max="9946"/>
    <col width="13.875" customWidth="1" style="1" min="9947" max="9954"/>
    <col width="31.125" customWidth="1" style="1" min="9955" max="9955"/>
    <col width="9" customWidth="1" style="1" min="9956" max="10198"/>
    <col width="8.375" customWidth="1" style="1" min="10199" max="10199"/>
    <col width="18" customWidth="1" style="1" min="10200" max="10200"/>
    <col hidden="1" width="13" customWidth="1" style="1" min="10201" max="10201"/>
    <col width="17.375" bestFit="1" customWidth="1" style="1" min="10202" max="10202"/>
    <col width="13.875" customWidth="1" style="1" min="10203" max="10210"/>
    <col width="31.125" customWidth="1" style="1" min="10211" max="10211"/>
    <col width="9" customWidth="1" style="1" min="10212" max="10454"/>
    <col width="8.375" customWidth="1" style="1" min="10455" max="10455"/>
    <col width="18" customWidth="1" style="1" min="10456" max="10456"/>
    <col hidden="1" width="13" customWidth="1" style="1" min="10457" max="10457"/>
    <col width="17.375" bestFit="1" customWidth="1" style="1" min="10458" max="10458"/>
    <col width="13.875" customWidth="1" style="1" min="10459" max="10466"/>
    <col width="31.125" customWidth="1" style="1" min="10467" max="10467"/>
    <col width="9" customWidth="1" style="1" min="10468" max="10710"/>
    <col width="8.375" customWidth="1" style="1" min="10711" max="10711"/>
    <col width="18" customWidth="1" style="1" min="10712" max="10712"/>
    <col hidden="1" width="13" customWidth="1" style="1" min="10713" max="10713"/>
    <col width="17.375" bestFit="1" customWidth="1" style="1" min="10714" max="10714"/>
    <col width="13.875" customWidth="1" style="1" min="10715" max="10722"/>
    <col width="31.125" customWidth="1" style="1" min="10723" max="10723"/>
    <col width="9" customWidth="1" style="1" min="10724" max="10966"/>
    <col width="8.375" customWidth="1" style="1" min="10967" max="10967"/>
    <col width="18" customWidth="1" style="1" min="10968" max="10968"/>
    <col hidden="1" width="13" customWidth="1" style="1" min="10969" max="10969"/>
    <col width="17.375" bestFit="1" customWidth="1" style="1" min="10970" max="10970"/>
    <col width="13.875" customWidth="1" style="1" min="10971" max="10978"/>
    <col width="31.125" customWidth="1" style="1" min="10979" max="10979"/>
    <col width="9" customWidth="1" style="1" min="10980" max="11222"/>
    <col width="8.375" customWidth="1" style="1" min="11223" max="11223"/>
    <col width="18" customWidth="1" style="1" min="11224" max="11224"/>
    <col hidden="1" width="13" customWidth="1" style="1" min="11225" max="11225"/>
    <col width="17.375" bestFit="1" customWidth="1" style="1" min="11226" max="11226"/>
    <col width="13.875" customWidth="1" style="1" min="11227" max="11234"/>
    <col width="31.125" customWidth="1" style="1" min="11235" max="11235"/>
    <col width="9" customWidth="1" style="1" min="11236" max="11478"/>
    <col width="8.375" customWidth="1" style="1" min="11479" max="11479"/>
    <col width="18" customWidth="1" style="1" min="11480" max="11480"/>
    <col hidden="1" width="13" customWidth="1" style="1" min="11481" max="11481"/>
    <col width="17.375" bestFit="1" customWidth="1" style="1" min="11482" max="11482"/>
    <col width="13.875" customWidth="1" style="1" min="11483" max="11490"/>
    <col width="31.125" customWidth="1" style="1" min="11491" max="11491"/>
    <col width="9" customWidth="1" style="1" min="11492" max="11734"/>
    <col width="8.375" customWidth="1" style="1" min="11735" max="11735"/>
    <col width="18" customWidth="1" style="1" min="11736" max="11736"/>
    <col hidden="1" width="13" customWidth="1" style="1" min="11737" max="11737"/>
    <col width="17.375" bestFit="1" customWidth="1" style="1" min="11738" max="11738"/>
    <col width="13.875" customWidth="1" style="1" min="11739" max="11746"/>
    <col width="31.125" customWidth="1" style="1" min="11747" max="11747"/>
    <col width="9" customWidth="1" style="1" min="11748" max="11990"/>
    <col width="8.375" customWidth="1" style="1" min="11991" max="11991"/>
    <col width="18" customWidth="1" style="1" min="11992" max="11992"/>
    <col hidden="1" width="13" customWidth="1" style="1" min="11993" max="11993"/>
    <col width="17.375" bestFit="1" customWidth="1" style="1" min="11994" max="11994"/>
    <col width="13.875" customWidth="1" style="1" min="11995" max="12002"/>
    <col width="31.125" customWidth="1" style="1" min="12003" max="12003"/>
    <col width="9" customWidth="1" style="1" min="12004" max="12246"/>
    <col width="8.375" customWidth="1" style="1" min="12247" max="12247"/>
    <col width="18" customWidth="1" style="1" min="12248" max="12248"/>
    <col hidden="1" width="13" customWidth="1" style="1" min="12249" max="12249"/>
    <col width="17.375" bestFit="1" customWidth="1" style="1" min="12250" max="12250"/>
    <col width="13.875" customWidth="1" style="1" min="12251" max="12258"/>
    <col width="31.125" customWidth="1" style="1" min="12259" max="12259"/>
    <col width="9" customWidth="1" style="1" min="12260" max="12502"/>
    <col width="8.375" customWidth="1" style="1" min="12503" max="12503"/>
    <col width="18" customWidth="1" style="1" min="12504" max="12504"/>
    <col hidden="1" width="13" customWidth="1" style="1" min="12505" max="12505"/>
    <col width="17.375" bestFit="1" customWidth="1" style="1" min="12506" max="12506"/>
    <col width="13.875" customWidth="1" style="1" min="12507" max="12514"/>
    <col width="31.125" customWidth="1" style="1" min="12515" max="12515"/>
    <col width="9" customWidth="1" style="1" min="12516" max="12758"/>
    <col width="8.375" customWidth="1" style="1" min="12759" max="12759"/>
    <col width="18" customWidth="1" style="1" min="12760" max="12760"/>
    <col hidden="1" width="13" customWidth="1" style="1" min="12761" max="12761"/>
    <col width="17.375" bestFit="1" customWidth="1" style="1" min="12762" max="12762"/>
    <col width="13.875" customWidth="1" style="1" min="12763" max="12770"/>
    <col width="31.125" customWidth="1" style="1" min="12771" max="12771"/>
    <col width="9" customWidth="1" style="1" min="12772" max="13014"/>
    <col width="8.375" customWidth="1" style="1" min="13015" max="13015"/>
    <col width="18" customWidth="1" style="1" min="13016" max="13016"/>
    <col hidden="1" width="13" customWidth="1" style="1" min="13017" max="13017"/>
    <col width="17.375" bestFit="1" customWidth="1" style="1" min="13018" max="13018"/>
    <col width="13.875" customWidth="1" style="1" min="13019" max="13026"/>
    <col width="31.125" customWidth="1" style="1" min="13027" max="13027"/>
    <col width="9" customWidth="1" style="1" min="13028" max="13270"/>
    <col width="8.375" customWidth="1" style="1" min="13271" max="13271"/>
    <col width="18" customWidth="1" style="1" min="13272" max="13272"/>
    <col hidden="1" width="13" customWidth="1" style="1" min="13273" max="13273"/>
    <col width="17.375" bestFit="1" customWidth="1" style="1" min="13274" max="13274"/>
    <col width="13.875" customWidth="1" style="1" min="13275" max="13282"/>
    <col width="31.125" customWidth="1" style="1" min="13283" max="13283"/>
    <col width="9" customWidth="1" style="1" min="13284" max="13526"/>
    <col width="8.375" customWidth="1" style="1" min="13527" max="13527"/>
    <col width="18" customWidth="1" style="1" min="13528" max="13528"/>
    <col hidden="1" width="13" customWidth="1" style="1" min="13529" max="13529"/>
    <col width="17.375" bestFit="1" customWidth="1" style="1" min="13530" max="13530"/>
    <col width="13.875" customWidth="1" style="1" min="13531" max="13538"/>
    <col width="31.125" customWidth="1" style="1" min="13539" max="13539"/>
    <col width="9" customWidth="1" style="1" min="13540" max="13782"/>
    <col width="8.375" customWidth="1" style="1" min="13783" max="13783"/>
    <col width="18" customWidth="1" style="1" min="13784" max="13784"/>
    <col hidden="1" width="13" customWidth="1" style="1" min="13785" max="13785"/>
    <col width="17.375" bestFit="1" customWidth="1" style="1" min="13786" max="13786"/>
    <col width="13.875" customWidth="1" style="1" min="13787" max="13794"/>
    <col width="31.125" customWidth="1" style="1" min="13795" max="13795"/>
    <col width="9" customWidth="1" style="1" min="13796" max="14038"/>
    <col width="8.375" customWidth="1" style="1" min="14039" max="14039"/>
    <col width="18" customWidth="1" style="1" min="14040" max="14040"/>
    <col hidden="1" width="13" customWidth="1" style="1" min="14041" max="14041"/>
    <col width="17.375" bestFit="1" customWidth="1" style="1" min="14042" max="14042"/>
    <col width="13.875" customWidth="1" style="1" min="14043" max="14050"/>
    <col width="31.125" customWidth="1" style="1" min="14051" max="14051"/>
    <col width="9" customWidth="1" style="1" min="14052" max="14294"/>
    <col width="8.375" customWidth="1" style="1" min="14295" max="14295"/>
    <col width="18" customWidth="1" style="1" min="14296" max="14296"/>
    <col hidden="1" width="13" customWidth="1" style="1" min="14297" max="14297"/>
    <col width="17.375" bestFit="1" customWidth="1" style="1" min="14298" max="14298"/>
    <col width="13.875" customWidth="1" style="1" min="14299" max="14306"/>
    <col width="31.125" customWidth="1" style="1" min="14307" max="14307"/>
    <col width="9" customWidth="1" style="1" min="14308" max="14550"/>
    <col width="8.375" customWidth="1" style="1" min="14551" max="14551"/>
    <col width="18" customWidth="1" style="1" min="14552" max="14552"/>
    <col hidden="1" width="13" customWidth="1" style="1" min="14553" max="14553"/>
    <col width="17.375" bestFit="1" customWidth="1" style="1" min="14554" max="14554"/>
    <col width="13.875" customWidth="1" style="1" min="14555" max="14562"/>
    <col width="31.125" customWidth="1" style="1" min="14563" max="14563"/>
    <col width="9" customWidth="1" style="1" min="14564" max="14806"/>
    <col width="8.375" customWidth="1" style="1" min="14807" max="14807"/>
    <col width="18" customWidth="1" style="1" min="14808" max="14808"/>
    <col hidden="1" width="13" customWidth="1" style="1" min="14809" max="14809"/>
    <col width="17.375" bestFit="1" customWidth="1" style="1" min="14810" max="14810"/>
    <col width="13.875" customWidth="1" style="1" min="14811" max="14818"/>
    <col width="31.125" customWidth="1" style="1" min="14819" max="14819"/>
    <col width="9" customWidth="1" style="1" min="14820" max="15062"/>
    <col width="8.375" customWidth="1" style="1" min="15063" max="15063"/>
    <col width="18" customWidth="1" style="1" min="15064" max="15064"/>
    <col hidden="1" width="13" customWidth="1" style="1" min="15065" max="15065"/>
    <col width="17.375" bestFit="1" customWidth="1" style="1" min="15066" max="15066"/>
    <col width="13.875" customWidth="1" style="1" min="15067" max="15074"/>
    <col width="31.125" customWidth="1" style="1" min="15075" max="15075"/>
    <col width="9" customWidth="1" style="1" min="15076" max="15318"/>
    <col width="8.375" customWidth="1" style="1" min="15319" max="15319"/>
    <col width="18" customWidth="1" style="1" min="15320" max="15320"/>
    <col hidden="1" width="13" customWidth="1" style="1" min="15321" max="15321"/>
    <col width="17.375" bestFit="1" customWidth="1" style="1" min="15322" max="15322"/>
    <col width="13.875" customWidth="1" style="1" min="15323" max="15330"/>
    <col width="31.125" customWidth="1" style="1" min="15331" max="15331"/>
    <col width="9" customWidth="1" style="1" min="15332" max="15574"/>
    <col width="8.375" customWidth="1" style="1" min="15575" max="15575"/>
    <col width="18" customWidth="1" style="1" min="15576" max="15576"/>
    <col hidden="1" width="13" customWidth="1" style="1" min="15577" max="15577"/>
    <col width="17.375" bestFit="1" customWidth="1" style="1" min="15578" max="15578"/>
    <col width="13.875" customWidth="1" style="1" min="15579" max="15586"/>
    <col width="31.125" customWidth="1" style="1" min="15587" max="15587"/>
    <col width="9" customWidth="1" style="1" min="15588" max="15830"/>
    <col width="8.375" customWidth="1" style="1" min="15831" max="15831"/>
    <col width="18" customWidth="1" style="1" min="15832" max="15832"/>
    <col hidden="1" width="13" customWidth="1" style="1" min="15833" max="15833"/>
    <col width="17.375" bestFit="1" customWidth="1" style="1" min="15834" max="15834"/>
    <col width="13.875" customWidth="1" style="1" min="15835" max="15842"/>
    <col width="31.125" customWidth="1" style="1" min="15843" max="15843"/>
    <col width="9" customWidth="1" style="1" min="15844" max="16086"/>
    <col width="8.375" customWidth="1" style="1" min="16087" max="16087"/>
    <col width="18" customWidth="1" style="1" min="16088" max="16088"/>
    <col hidden="1" width="13" customWidth="1" style="1" min="16089" max="16089"/>
    <col width="17.375" bestFit="1" customWidth="1" style="1" min="16090" max="16090"/>
    <col width="13.875" customWidth="1" style="1" min="16091" max="16098"/>
    <col width="31.125" customWidth="1" style="1" min="16099" max="16099"/>
    <col width="9" customWidth="1" style="1" min="16100" max="16341"/>
    <col width="11.125" customWidth="1" style="1" min="16342" max="16350"/>
    <col width="9" customWidth="1" style="1" min="16351" max="16384"/>
  </cols>
  <sheetData>
    <row r="1" ht="43.2" customHeight="1" s="169">
      <c r="A1" s="122" t="inlineStr">
        <is>
          <t>전년동월대비 인원증감 현황(말일기준)</t>
        </is>
      </c>
    </row>
    <row r="2" ht="15.45" customHeight="1" s="169" thickBot="1">
      <c r="D2" s="2" t="n"/>
      <c r="L2" s="109" t="n"/>
    </row>
    <row r="3" ht="33" customFormat="1" customHeight="1" s="2">
      <c r="A3" s="0" t="n"/>
      <c r="B3" s="170" t="inlineStr">
        <is>
          <t>부 서 명</t>
        </is>
      </c>
      <c r="C3" s="171" t="n"/>
      <c r="D3" s="172" t="n"/>
      <c r="E3" s="130">
        <f>TEXT(EDATE($L$2,-12),"yyyy년 mm월")</f>
        <v/>
      </c>
      <c r="F3" s="173" t="n"/>
      <c r="G3" s="174">
        <f>TEXT($L$2,"yyyy년 mm월")</f>
        <v/>
      </c>
      <c r="H3" s="173" t="n"/>
      <c r="I3" s="175" t="inlineStr">
        <is>
          <t>증 감 현 황</t>
        </is>
      </c>
      <c r="J3" s="176" t="n"/>
      <c r="K3" s="176" t="n"/>
      <c r="L3" s="177" t="n"/>
    </row>
    <row r="4" ht="33" customFormat="1" customHeight="1" s="2" thickBot="1">
      <c r="A4" s="0" t="n"/>
      <c r="B4" s="178" t="n"/>
      <c r="C4" s="179" t="n"/>
      <c r="D4" s="180" t="n"/>
      <c r="E4" s="3" t="inlineStr">
        <is>
          <t>일반</t>
        </is>
      </c>
      <c r="F4" s="4" t="inlineStr">
        <is>
          <t>판매</t>
        </is>
      </c>
      <c r="G4" s="5" t="inlineStr">
        <is>
          <t>일반</t>
        </is>
      </c>
      <c r="H4" s="4" t="inlineStr">
        <is>
          <t>판매</t>
        </is>
      </c>
      <c r="I4" s="6" t="inlineStr">
        <is>
          <t>일반</t>
        </is>
      </c>
      <c r="J4" s="7" t="inlineStr">
        <is>
          <t>증감율</t>
        </is>
      </c>
      <c r="K4" s="181" t="inlineStr">
        <is>
          <t>판매</t>
        </is>
      </c>
      <c r="L4" s="4" t="inlineStr">
        <is>
          <t>증감율</t>
        </is>
      </c>
    </row>
    <row r="5" ht="33" customFormat="1" customHeight="1" s="2">
      <c r="A5" s="0" t="n"/>
      <c r="B5" s="182" t="inlineStr">
        <is>
          <t>브랜드 
사업부문</t>
        </is>
      </c>
      <c r="C5" s="113" t="inlineStr">
        <is>
          <t>임원</t>
        </is>
      </c>
      <c r="D5" s="114" t="n"/>
      <c r="E5" s="183">
        <f t="array" ref="E5">IFERROR(
    SUMIFS(
        인원비교보고서!$C$2:$C$74,
        인원비교보고서!$A$2:$A$74, LOOKUP(2,1/($C$5:C5&lt;&gt;""),$C$5:C5),
        인원비교보고서!$B$2:$B$74, IF($D5&lt;&gt;"",$D5,LOOKUP(2,1/($C$5:C5&lt;&gt;""),$C$5:C5))
    ),
0)</f>
        <v/>
      </c>
      <c r="F5" s="184" t="n"/>
      <c r="G5" s="183">
        <f t="array" ref="G5">IFERROR(
    SUMIFS(
        인원비교보고서!$E$2:$E$74,
        인원비교보고서!$A$2:$A$74, LOOKUP(2,1/($C$5:C5&lt;&gt;""),$C$5:C5),
        인원비교보고서!$B$2:$B$74, IF($D5&lt;&gt;"",$D5,LOOKUP(2,1/($C$5:C5&lt;&gt;""),$C$5:C5))
    ),
0)</f>
        <v/>
      </c>
      <c r="H5" s="184" t="n"/>
      <c r="I5" s="185">
        <f>G5-E5</f>
        <v/>
      </c>
      <c r="J5" s="186">
        <f>IFERROR(I5/E5,"")</f>
        <v/>
      </c>
      <c r="K5" s="187">
        <f>H5-F5</f>
        <v/>
      </c>
      <c r="L5" s="14">
        <f>IFERROR(K5/F5,"")</f>
        <v/>
      </c>
      <c r="P5" s="15" t="inlineStr">
        <is>
          <t>김창수</t>
        </is>
      </c>
      <c r="Q5" s="15" t="inlineStr">
        <is>
          <t>김진경</t>
        </is>
      </c>
      <c r="R5" s="15" t="inlineStr">
        <is>
          <t>김현식</t>
        </is>
      </c>
      <c r="S5" s="15" t="inlineStr">
        <is>
          <t>김경은</t>
        </is>
      </c>
    </row>
    <row r="6" ht="33" customFormat="1" customHeight="1" s="2">
      <c r="A6" s="0" t="n"/>
      <c r="B6" s="188" t="n"/>
      <c r="C6" s="137" t="inlineStr">
        <is>
          <t>영업본부</t>
        </is>
      </c>
      <c r="D6" s="16" t="inlineStr">
        <is>
          <t>총괄</t>
        </is>
      </c>
      <c r="E6" s="189">
        <f t="array" ref="E6">IFERROR(
    SUMIFS(
        인원비교보고서!$C$2:$C$74,
        인원비교보고서!$A$2:$A$74, LOOKUP(2,1/($C$5:C6&lt;&gt;""),$C$5:C6),
        인원비교보고서!$B$2:$B$74, IF($D6&lt;&gt;"",$D6,LOOKUP(2,1/($C$5:C6&lt;&gt;""),$C$5:C6))
    ),
0)</f>
        <v/>
      </c>
      <c r="F6" s="190" t="n"/>
      <c r="G6" s="189">
        <f t="array" ref="G6">IFERROR(
    SUMIFS(
        인원비교보고서!$E$2:$E$74,
        인원비교보고서!$A$2:$A$74, LOOKUP(2,1/($C$5:C6&lt;&gt;""),$C$5:C6),
        인원비교보고서!$B$2:$B$74, IF($D6&lt;&gt;"",$D6,LOOKUP(2,1/($C$5:C6&lt;&gt;""),$C$5:C6))
    ),
0)</f>
        <v/>
      </c>
      <c r="H6" s="190" t="n"/>
      <c r="I6" s="191">
        <f>G6-E6</f>
        <v/>
      </c>
      <c r="J6" s="192">
        <f>IFERROR(I6/E6,"")</f>
        <v/>
      </c>
      <c r="K6" s="193">
        <f>H6-F6</f>
        <v/>
      </c>
      <c r="L6" s="22">
        <f>IFERROR(K6/F6,"")</f>
        <v/>
      </c>
      <c r="P6" s="2" t="inlineStr">
        <is>
          <t>허용덕</t>
        </is>
      </c>
    </row>
    <row r="7" ht="33" customFormat="1" customHeight="1" s="2">
      <c r="A7" s="0" t="n"/>
      <c r="B7" s="188" t="n"/>
      <c r="C7" s="194" t="n"/>
      <c r="D7" s="23" t="inlineStr">
        <is>
          <t>백화점</t>
        </is>
      </c>
      <c r="E7" s="195">
        <f t="array" ref="E7">IFERROR(
    SUMIFS(
        인원비교보고서!$C$2:$C$74,
        인원비교보고서!$A$2:$A$74, LOOKUP(2,1/($C$5:C7&lt;&gt;""),$C$5:C7),
        인원비교보고서!$B$2:$B$74, IF($D7&lt;&gt;"",$D7,LOOKUP(2,1/($C$5:C7&lt;&gt;""),$C$5:C7))
    ),
0)</f>
        <v/>
      </c>
      <c r="F7" s="196">
        <f>SUMIFS(
    인원비교보고서!$D$2:$D$74,
    인원비교보고서!$A$2:$A$74, "영업본부"
)</f>
        <v/>
      </c>
      <c r="G7" s="195">
        <f t="array" ref="G7">IFERROR(
    SUMIFS(
        인원비교보고서!$E$2:$E$74,
        인원비교보고서!$A$2:$A$74, LOOKUP(2,1/($C$5:C7&lt;&gt;""),$C$5:C7),
        인원비교보고서!$B$2:$B$74, IF($D7&lt;&gt;"",$D7,LOOKUP(2,1/($C$5:C7&lt;&gt;""),$C$5:C7))
    ),
0)</f>
        <v/>
      </c>
      <c r="H7" s="197">
        <f>SUMIFS(
    인원비교보고서!$F$2:$F$74,
    인원비교보고서!$A$2:$A$74, "영업본부"
)</f>
        <v/>
      </c>
      <c r="I7" s="198">
        <f>G7-E7</f>
        <v/>
      </c>
      <c r="J7" s="199">
        <f>IFERROR(I7/E7,"")</f>
        <v/>
      </c>
      <c r="K7" s="200">
        <f>H7-F7</f>
        <v/>
      </c>
      <c r="L7" s="29">
        <f>IFERROR(K7/F7,"")</f>
        <v/>
      </c>
      <c r="P7" s="2" t="inlineStr">
        <is>
          <t>안정우</t>
        </is>
      </c>
      <c r="Q7" s="2" t="inlineStr">
        <is>
          <t>유동혁</t>
        </is>
      </c>
      <c r="R7" s="2" t="inlineStr">
        <is>
          <t>김영완</t>
        </is>
      </c>
      <c r="S7" s="2" t="inlineStr">
        <is>
          <t>원태윤</t>
        </is>
      </c>
      <c r="T7" s="2" t="inlineStr">
        <is>
          <t>김경훈</t>
        </is>
      </c>
    </row>
    <row r="8" ht="33" customFormat="1" customHeight="1" s="2">
      <c r="A8" s="0" t="n"/>
      <c r="B8" s="188" t="n"/>
      <c r="C8" s="194" t="n"/>
      <c r="D8" s="30" t="inlineStr">
        <is>
          <t>SMD</t>
        </is>
      </c>
      <c r="E8" s="201">
        <f t="array" ref="E8">IFERROR(
    SUMIFS(
        인원비교보고서!$C$2:$C$74,
        인원비교보고서!$A$2:$A$74, LOOKUP(2,1/($C$5:C8&lt;&gt;""),$C$5:C8),
        인원비교보고서!$B$2:$B$74, IF($D8&lt;&gt;"",$D8,LOOKUP(2,1/($C$5:C8&lt;&gt;""),$C$5:C8))
    ),
0)</f>
        <v/>
      </c>
      <c r="F8" s="202" t="n"/>
      <c r="G8" s="201">
        <f t="array" ref="G8">IFERROR(
    SUMIFS(
        인원비교보고서!$E$2:$E$74,
        인원비교보고서!$A$2:$A$74, LOOKUP(2,1/($C$5:C8&lt;&gt;""),$C$5:C8),
        인원비교보고서!$B$2:$B$74, IF($D8&lt;&gt;"",$D8,LOOKUP(2,1/($C$5:C8&lt;&gt;""),$C$5:C8))
    ),
0)</f>
        <v/>
      </c>
      <c r="H8" s="202" t="n"/>
      <c r="I8" s="198">
        <f>G8-E8</f>
        <v/>
      </c>
      <c r="J8" s="199">
        <f>IFERROR(I8/E8,"")</f>
        <v/>
      </c>
      <c r="K8" s="200">
        <f>H8-F8</f>
        <v/>
      </c>
      <c r="L8" s="29">
        <f>IFERROR(K8/F8,"")</f>
        <v/>
      </c>
      <c r="M8" s="33" t="n"/>
      <c r="P8" s="2" t="inlineStr">
        <is>
          <t>양현모</t>
        </is>
      </c>
      <c r="Q8" s="2" t="inlineStr">
        <is>
          <t>강대성</t>
        </is>
      </c>
      <c r="R8" s="2" t="inlineStr">
        <is>
          <t>박인태</t>
        </is>
      </c>
    </row>
    <row r="9" ht="33" customFormat="1" customHeight="1" s="2">
      <c r="A9" s="0" t="n"/>
      <c r="B9" s="188" t="n"/>
      <c r="C9" s="194" t="n"/>
      <c r="D9" s="30" t="inlineStr">
        <is>
          <t>영업지원</t>
        </is>
      </c>
      <c r="E9" s="201">
        <f t="array" ref="E9">IFERROR(
    SUMIFS(
        인원비교보고서!$C$2:$C$74,
        인원비교보고서!$A$2:$A$74, LOOKUP(2,1/($C$5:C9&lt;&gt;""),$C$5:C9),
        인원비교보고서!$B$2:$B$74, IF($D9&lt;&gt;"",$D9,LOOKUP(2,1/($C$5:C9&lt;&gt;""),$C$5:C9))
    ),
0)</f>
        <v/>
      </c>
      <c r="F9" s="202" t="n"/>
      <c r="G9" s="201">
        <f t="array" ref="G9">IFERROR(
    SUMIFS(
        인원비교보고서!$E$2:$E$74,
        인원비교보고서!$A$2:$A$74, LOOKUP(2,1/($C$5:C9&lt;&gt;""),$C$5:C9),
        인원비교보고서!$B$2:$B$74, IF($D9&lt;&gt;"",$D9,LOOKUP(2,1/($C$5:C9&lt;&gt;""),$C$5:C9))
    ),
0)</f>
        <v/>
      </c>
      <c r="H9" s="202" t="n"/>
      <c r="I9" s="203">
        <f>G9-E9</f>
        <v/>
      </c>
      <c r="J9" s="204">
        <f>IFERROR(I9/E9,"")</f>
        <v/>
      </c>
      <c r="K9" s="205">
        <f>H9-F9</f>
        <v/>
      </c>
      <c r="L9" s="37">
        <f>IFERROR(K9/F9,"")</f>
        <v/>
      </c>
      <c r="P9" s="2" t="inlineStr">
        <is>
          <t>김혜선</t>
        </is>
      </c>
      <c r="Q9" s="2" t="inlineStr">
        <is>
          <t>임병선</t>
        </is>
      </c>
    </row>
    <row r="10" ht="33" customFormat="1" customHeight="1" s="2">
      <c r="A10" s="0" t="n"/>
      <c r="B10" s="188" t="n"/>
      <c r="C10" s="112" t="inlineStr">
        <is>
          <t>온라인사업부</t>
        </is>
      </c>
      <c r="D10" s="38" t="n"/>
      <c r="E10" s="206">
        <f t="array" ref="E10">IFERROR(
    SUMIFS(
        인원비교보고서!$C$2:$C$74,
        인원비교보고서!$A$2:$A$74, LOOKUP(2,1/($C$5:C10&lt;&gt;""),$C$5:C10),
        인원비교보고서!$B$2:$B$74, IF($D10&lt;&gt;"",$D10,LOOKUP(2,1/($C$5:C10&lt;&gt;""),$C$5:C10))
    ),
0)</f>
        <v/>
      </c>
      <c r="F10" s="207" t="n"/>
      <c r="G10" s="206">
        <f t="array" ref="G10">IFERROR(
    SUMIFS(
        인원비교보고서!$E$2:$E$74,
        인원비교보고서!$A$2:$A$74, LOOKUP(2,1/($C$5:C10&lt;&gt;""),$C$5:C10),
        인원비교보고서!$B$2:$B$74, IF($D10&lt;&gt;"",$D10,LOOKUP(2,1/($C$5:C10&lt;&gt;""),$C$5:C10))
    ),
0)</f>
        <v/>
      </c>
      <c r="H10" s="207" t="n"/>
      <c r="I10" s="208">
        <f>G10-E10</f>
        <v/>
      </c>
      <c r="J10" s="209">
        <f>IFERROR(I10/E10,"")</f>
        <v/>
      </c>
      <c r="K10" s="210">
        <f>H10-F10</f>
        <v/>
      </c>
      <c r="L10" s="44">
        <f>IFERROR(K10/F10,"")</f>
        <v/>
      </c>
      <c r="M10" s="45" t="n"/>
      <c r="N10" s="46" t="n"/>
      <c r="P10" s="47" t="inlineStr">
        <is>
          <t>변혜정</t>
        </is>
      </c>
      <c r="Q10" s="2" t="inlineStr">
        <is>
          <t>김명기</t>
        </is>
      </c>
      <c r="R10" s="2" t="inlineStr">
        <is>
          <t>이보라</t>
        </is>
      </c>
      <c r="S10" s="47" t="inlineStr">
        <is>
          <t>박영우</t>
        </is>
      </c>
      <c r="T10" s="2" t="inlineStr">
        <is>
          <t>이효준</t>
        </is>
      </c>
      <c r="U10" s="2" t="inlineStr">
        <is>
          <t>김창환</t>
        </is>
      </c>
      <c r="V10" s="47" t="inlineStr">
        <is>
          <t>이성원</t>
        </is>
      </c>
      <c r="W10" s="47" t="inlineStr">
        <is>
          <t>김보미</t>
        </is>
      </c>
      <c r="X10" s="2" t="inlineStr">
        <is>
          <t>유민아</t>
        </is>
      </c>
      <c r="Y10" s="2" t="inlineStr">
        <is>
          <t>장한나</t>
        </is>
      </c>
    </row>
    <row r="11" ht="33" customFormat="1" customHeight="1" s="2">
      <c r="A11" s="0" t="n"/>
      <c r="B11" s="188" t="n"/>
      <c r="C11" s="211" t="inlineStr">
        <is>
          <t>상품본부</t>
        </is>
      </c>
      <c r="D11" s="16" t="inlineStr">
        <is>
          <t>총괄</t>
        </is>
      </c>
      <c r="E11" s="189">
        <f t="array" ref="E11">IFERROR(
    SUMIFS(
        인원비교보고서!$C$2:$C$74,
        인원비교보고서!$A$2:$A$74, LOOKUP(2,1/($C$5:C11&lt;&gt;""),$C$5:C11),
        인원비교보고서!$B$2:$B$74, IF($D11&lt;&gt;"",$D11,LOOKUP(2,1/($C$5:C11&lt;&gt;""),$C$5:C11))
    ),
0)</f>
        <v/>
      </c>
      <c r="F11" s="190" t="n"/>
      <c r="G11" s="189">
        <f t="array" ref="G11">IFERROR(
    SUMIFS(
        인원비교보고서!$E$2:$E$74,
        인원비교보고서!$A$2:$A$74, LOOKUP(2,1/($C$5:C11&lt;&gt;""),$C$5:C11),
        인원비교보고서!$B$2:$B$74, IF($D11&lt;&gt;"",$D11,LOOKUP(2,1/($C$5:C11&lt;&gt;""),$C$5:C11))
    ),
0)</f>
        <v/>
      </c>
      <c r="H11" s="190" t="n"/>
      <c r="I11" s="191">
        <f>G11-E11</f>
        <v/>
      </c>
      <c r="J11" s="192">
        <f>IFERROR(I11/E11,"")</f>
        <v/>
      </c>
      <c r="K11" s="193">
        <f>H11-F11</f>
        <v/>
      </c>
      <c r="L11" s="22">
        <f>IFERROR(K11/F11,"")</f>
        <v/>
      </c>
      <c r="M11" s="45" t="n"/>
      <c r="P11" s="2" t="inlineStr">
        <is>
          <t>김동규</t>
        </is>
      </c>
    </row>
    <row r="12" ht="33" customFormat="1" customHeight="1" s="2">
      <c r="A12" s="0" t="n"/>
      <c r="B12" s="188" t="n"/>
      <c r="C12" s="194" t="n"/>
      <c r="D12" s="48" t="inlineStr">
        <is>
          <t>PDD</t>
        </is>
      </c>
      <c r="E12" s="212">
        <f t="array" ref="E12">IFERROR(
    SUMIFS(
        인원비교보고서!$C$2:$C$74,
        인원비교보고서!$A$2:$A$74, LOOKUP(2,1/($C$5:C12&lt;&gt;""),$C$5:C12),
        인원비교보고서!$B$2:$B$74, IF($D12&lt;&gt;"",$D12,LOOKUP(2,1/($C$5:C12&lt;&gt;""),$C$5:C12))
    ),
0)</f>
        <v/>
      </c>
      <c r="F12" s="213" t="n"/>
      <c r="G12" s="212">
        <f t="array" ref="G12">IFERROR(
    SUMIFS(
        인원비교보고서!$E$2:$E$74,
        인원비교보고서!$A$2:$A$74, LOOKUP(2,1/($C$5:C12&lt;&gt;""),$C$5:C12),
        인원비교보고서!$B$2:$B$74, IF($D12&lt;&gt;"",$D12,LOOKUP(2,1/($C$5:C12&lt;&gt;""),$C$5:C12))
    ),
0)</f>
        <v/>
      </c>
      <c r="H12" s="213" t="n"/>
      <c r="I12" s="198">
        <f>G12-E12</f>
        <v/>
      </c>
      <c r="J12" s="199">
        <f>IF(I12/E12=0,"",I12/E12)</f>
        <v/>
      </c>
      <c r="K12" s="200">
        <f>H12-F12</f>
        <v/>
      </c>
      <c r="L12" s="29">
        <f>IFERROR(K12/F12,"")</f>
        <v/>
      </c>
      <c r="M12" s="45" t="inlineStr">
        <is>
          <t>(감)김은정</t>
        </is>
      </c>
      <c r="P12" s="2" t="inlineStr">
        <is>
          <t>박대경</t>
        </is>
      </c>
      <c r="Q12" s="2" t="inlineStr">
        <is>
          <t>최선정</t>
        </is>
      </c>
      <c r="R12" s="2" t="inlineStr">
        <is>
          <t>이미현</t>
        </is>
      </c>
      <c r="S12" s="2" t="inlineStr">
        <is>
          <t>조아름</t>
        </is>
      </c>
    </row>
    <row r="13" ht="33" customFormat="1" customHeight="1" s="2">
      <c r="A13" s="0" t="n"/>
      <c r="B13" s="188" t="n"/>
      <c r="C13" s="214" t="n"/>
      <c r="D13" s="52" t="inlineStr">
        <is>
          <t>MMD</t>
        </is>
      </c>
      <c r="E13" s="215">
        <f t="array" ref="E13">IFERROR(
    SUMIFS(
        인원비교보고서!$C$2:$C$74,
        인원비교보고서!$A$2:$A$74, LOOKUP(2,1/($C$5:C13&lt;&gt;""),$C$5:C13),
        인원비교보고서!$B$2:$B$74, IF($D13&lt;&gt;"",$D13,LOOKUP(2,1/($C$5:C13&lt;&gt;""),$C$5:C13))
    ),
0)</f>
        <v/>
      </c>
      <c r="F13" s="216" t="n"/>
      <c r="G13" s="215">
        <f t="array" ref="G13">IFERROR(
    SUMIFS(
        인원비교보고서!$E$2:$E$74,
        인원비교보고서!$A$2:$A$74, LOOKUP(2,1/($C$5:C13&lt;&gt;""),$C$5:C13),
        인원비교보고서!$B$2:$B$74, IF($D13&lt;&gt;"",$D13,LOOKUP(2,1/($C$5:C13&lt;&gt;""),$C$5:C13))
    ),
0)</f>
        <v/>
      </c>
      <c r="H13" s="216" t="n"/>
      <c r="I13" s="203">
        <f>G13-E13</f>
        <v/>
      </c>
      <c r="J13" s="204">
        <f>IF(I13/E13=0,"",I13/E13)</f>
        <v/>
      </c>
      <c r="K13" s="205">
        <f>H13-F13</f>
        <v/>
      </c>
      <c r="L13" s="37">
        <f>IFERROR(K13/F13,"")</f>
        <v/>
      </c>
      <c r="M13" s="51" t="n"/>
      <c r="P13" s="2" t="inlineStr">
        <is>
          <t>송현영</t>
        </is>
      </c>
      <c r="Q13" s="2" t="inlineStr">
        <is>
          <t>김병언</t>
        </is>
      </c>
      <c r="R13" s="2" t="inlineStr">
        <is>
          <t>권혜민</t>
        </is>
      </c>
    </row>
    <row r="14" ht="33" customFormat="1" customHeight="1" s="2">
      <c r="A14" s="0" t="n"/>
      <c r="B14" s="188" t="n"/>
      <c r="C14" s="211" t="inlineStr">
        <is>
          <t>RND</t>
        </is>
      </c>
      <c r="D14" s="55" t="inlineStr">
        <is>
          <t>총괄</t>
        </is>
      </c>
      <c r="E14" s="189">
        <f t="array" ref="E14">IFERROR(
    SUMIFS(
        인원비교보고서!$C$2:$C$74,
        인원비교보고서!$A$2:$A$74, LOOKUP(2,1/($C$5:C14&lt;&gt;""),$C$5:C14),
        인원비교보고서!$B$2:$B$74, IF($D14&lt;&gt;"",$D14,LOOKUP(2,1/($C$5:C14&lt;&gt;""),$C$5:C14))
    ),
0)</f>
        <v/>
      </c>
      <c r="F14" s="190" t="n"/>
      <c r="G14" s="189">
        <f t="array" ref="G14">IFERROR(
    SUMIFS(
        인원비교보고서!$E$2:$E$74,
        인원비교보고서!$A$2:$A$74, LOOKUP(2,1/($C$5:C14&lt;&gt;""),$C$5:C14),
        인원비교보고서!$B$2:$B$74, IF($D14&lt;&gt;"",$D14,LOOKUP(2,1/($C$5:C14&lt;&gt;""),$C$5:C14))
    ),
0)</f>
        <v/>
      </c>
      <c r="H14" s="190" t="n"/>
      <c r="I14" s="191">
        <f>G14-E14</f>
        <v/>
      </c>
      <c r="J14" s="192">
        <f>IFERROR(I14/E14,"")</f>
        <v/>
      </c>
      <c r="K14" s="193">
        <f>H14-F14</f>
        <v/>
      </c>
      <c r="L14" s="22">
        <f>IFERROR(K14/F14,"")</f>
        <v/>
      </c>
      <c r="P14" s="2" t="inlineStr">
        <is>
          <t>한혜주</t>
        </is>
      </c>
    </row>
    <row r="15" ht="33" customFormat="1" customHeight="1" s="2">
      <c r="A15" s="0" t="n"/>
      <c r="B15" s="188" t="n"/>
      <c r="C15" s="194" t="n"/>
      <c r="D15" s="160" t="inlineStr">
        <is>
          <t>RND</t>
        </is>
      </c>
      <c r="E15" s="212">
        <f t="array" ref="E15">IFERROR(
    SUMIFS(
        인원비교보고서!$C$2:$C$74,
        인원비교보고서!$A$2:$A$74, LOOKUP(2,1/($C$5:C15&lt;&gt;""),$C$5:C15),
        인원비교보고서!$B$2:$B$74, IF($D15&lt;&gt;"",$D15,LOOKUP(2,1/($C$5:C15&lt;&gt;""),$C$5:C15))
    ),
0)</f>
        <v/>
      </c>
      <c r="F15" s="213" t="n"/>
      <c r="G15" s="212">
        <f t="array" ref="G15">IFERROR(
    SUMIFS(
        인원비교보고서!$E$2:$E$74,
        인원비교보고서!$A$2:$A$74, LOOKUP(2,1/($C$5:C15&lt;&gt;""),$C$5:C15),
        인원비교보고서!$B$2:$B$74, IF($D15&lt;&gt;"",$D15,LOOKUP(2,1/($C$5:C15&lt;&gt;""),$C$5:C15))
    ),
0)</f>
        <v/>
      </c>
      <c r="H15" s="213" t="n"/>
      <c r="I15" s="198">
        <f>G15-E15</f>
        <v/>
      </c>
      <c r="J15" s="199">
        <f>IFERROR(I15/E15,"")</f>
        <v/>
      </c>
      <c r="K15" s="200">
        <f>H15-F15</f>
        <v/>
      </c>
      <c r="L15" s="29">
        <f>IFERROR(K15/F15,"")</f>
        <v/>
      </c>
      <c r="M15" s="51" t="n"/>
      <c r="P15" s="2" t="inlineStr">
        <is>
          <t>박지영</t>
        </is>
      </c>
      <c r="Q15" s="2" t="inlineStr">
        <is>
          <t>이슬비</t>
        </is>
      </c>
      <c r="R15" s="2" t="inlineStr">
        <is>
          <t>황지영</t>
        </is>
      </c>
      <c r="S15" s="2" t="inlineStr">
        <is>
          <t>박정자</t>
        </is>
      </c>
      <c r="T15" s="47" t="inlineStr">
        <is>
          <t>한아름</t>
        </is>
      </c>
      <c r="U15" s="2" t="inlineStr">
        <is>
          <t>주찬미</t>
        </is>
      </c>
      <c r="V15" s="2" t="inlineStr">
        <is>
          <t>정재희</t>
        </is>
      </c>
      <c r="W15" s="2" t="inlineStr">
        <is>
          <t>이지혜</t>
        </is>
      </c>
    </row>
    <row r="16" ht="33" customFormat="1" customHeight="1" s="2">
      <c r="A16" s="0" t="n"/>
      <c r="B16" s="188" t="n"/>
      <c r="C16" s="214" t="n"/>
      <c r="D16" s="160" t="inlineStr">
        <is>
          <t>VMD</t>
        </is>
      </c>
      <c r="E16" s="212">
        <f t="array" ref="E16">IFERROR(
    SUMIFS(
        인원비교보고서!$C$2:$C$74,
        인원비교보고서!$A$2:$A$74, LOOKUP(2,1/($C$5:C16&lt;&gt;""),$C$5:C16),
        인원비교보고서!$B$2:$B$74, IF($D16&lt;&gt;"",$D16,LOOKUP(2,1/($C$5:C16&lt;&gt;""),$C$5:C16))
    ),
0)</f>
        <v/>
      </c>
      <c r="F16" s="213" t="n"/>
      <c r="G16" s="212">
        <f t="array" ref="G16">IFERROR(
    SUMIFS(
        인원비교보고서!$E$2:$E$74,
        인원비교보고서!$A$2:$A$74, LOOKUP(2,1/($C$5:C16&lt;&gt;""),$C$5:C16),
        인원비교보고서!$B$2:$B$74, IF($D16&lt;&gt;"",$D16,LOOKUP(2,1/($C$5:C16&lt;&gt;""),$C$5:C16))
    ),
0)</f>
        <v/>
      </c>
      <c r="H16" s="213" t="n"/>
      <c r="I16" s="203">
        <f>G16-E16</f>
        <v/>
      </c>
      <c r="J16" s="204">
        <f>IFERROR(I16/E16,"")</f>
        <v/>
      </c>
      <c r="K16" s="205">
        <f>H16-F16</f>
        <v/>
      </c>
      <c r="L16" s="37">
        <f>IFERROR(K16/F16,"")</f>
        <v/>
      </c>
      <c r="M16" s="45" t="n"/>
      <c r="P16" s="2" t="inlineStr">
        <is>
          <t>박민희</t>
        </is>
      </c>
    </row>
    <row r="17" ht="33" customFormat="1" customHeight="1" s="2">
      <c r="A17" s="0" t="n"/>
      <c r="B17" s="188" t="n"/>
      <c r="C17" s="112" t="inlineStr">
        <is>
          <t>AMD</t>
        </is>
      </c>
      <c r="D17" s="38" t="n"/>
      <c r="E17" s="206">
        <f t="array" ref="E17">IFERROR(
    SUMIFS(
        인원비교보고서!$C$2:$C$74,
        인원비교보고서!$A$2:$A$74, LOOKUP(2,1/($C$5:C17&lt;&gt;""),$C$5:C17),
        인원비교보고서!$B$2:$B$74, IF($D17&lt;&gt;"",$D17,LOOKUP(2,1/($C$5:C17&lt;&gt;""),$C$5:C17))
    ),
0)</f>
        <v/>
      </c>
      <c r="F17" s="207" t="n"/>
      <c r="G17" s="206">
        <f t="array" ref="G17">IFERROR(
    SUMIFS(
        인원비교보고서!$E$2:$E$74,
        인원비교보고서!$A$2:$A$74, LOOKUP(2,1/($C$5:C17&lt;&gt;""),$C$5:C17),
        인원비교보고서!$B$2:$B$74, IF($D17&lt;&gt;"",$D17,LOOKUP(2,1/($C$5:C17&lt;&gt;""),$C$5:C17))
    ),
0)</f>
        <v/>
      </c>
      <c r="H17" s="207" t="n"/>
      <c r="I17" s="208">
        <f>G17-E17</f>
        <v/>
      </c>
      <c r="J17" s="209">
        <f>IFERROR(I17/E17,"")</f>
        <v/>
      </c>
      <c r="K17" s="210">
        <f>H17-F17</f>
        <v/>
      </c>
      <c r="L17" s="44">
        <f>IFERROR(K17/F17,"")</f>
        <v/>
      </c>
      <c r="M17" s="57" t="inlineStr">
        <is>
          <t>인수인계중</t>
        </is>
      </c>
      <c r="P17" s="2" t="inlineStr">
        <is>
          <t>이경나</t>
        </is>
      </c>
      <c r="Q17" s="2" t="inlineStr">
        <is>
          <t>정윤식</t>
        </is>
      </c>
      <c r="R17" s="2" t="inlineStr">
        <is>
          <t>김주아</t>
        </is>
      </c>
      <c r="S17" s="2" t="inlineStr">
        <is>
          <t>박은영</t>
        </is>
      </c>
      <c r="T17" s="115" t="inlineStr">
        <is>
          <t>안현정</t>
        </is>
      </c>
    </row>
    <row r="18" ht="33" customFormat="1" customHeight="1" s="2">
      <c r="A18" s="0" t="n"/>
      <c r="B18" s="188" t="n"/>
      <c r="C18" s="112" t="inlineStr">
        <is>
          <t>CXD</t>
        </is>
      </c>
      <c r="D18" s="38" t="n"/>
      <c r="E18" s="206">
        <f t="array" ref="E18">IFERROR(
    SUMIFS(
        인원비교보고서!$C$2:$C$74,
        인원비교보고서!$A$2:$A$74, LOOKUP(2,1/($C$5:C18&lt;&gt;""),$C$5:C18),
        인원비교보고서!$B$2:$B$74, IF($D18&lt;&gt;"",$D18,LOOKUP(2,1/($C$5:C18&lt;&gt;""),$C$5:C18))
    ),
0)</f>
        <v/>
      </c>
      <c r="F18" s="207" t="n"/>
      <c r="G18" s="206">
        <f t="array" ref="G18">IFERROR(
    SUMIFS(
        인원비교보고서!$E$2:$E$74,
        인원비교보고서!$A$2:$A$74, LOOKUP(2,1/($C$5:C18&lt;&gt;""),$C$5:C18),
        인원비교보고서!$B$2:$B$74, IF($D18&lt;&gt;"",$D18,LOOKUP(2,1/($C$5:C18&lt;&gt;""),$C$5:C18))
    ),
0)</f>
        <v/>
      </c>
      <c r="H18" s="207" t="n"/>
      <c r="I18" s="208">
        <f>G18-E18</f>
        <v/>
      </c>
      <c r="J18" s="209">
        <f>IFERROR(I18/E18,"")</f>
        <v/>
      </c>
      <c r="K18" s="210">
        <f>H18-F18</f>
        <v/>
      </c>
      <c r="L18" s="44">
        <f>IFERROR(K18/F18,"")</f>
        <v/>
      </c>
      <c r="M18" s="45" t="n"/>
      <c r="N18" s="45" t="n"/>
      <c r="P18" s="2" t="inlineStr">
        <is>
          <t>김형진</t>
        </is>
      </c>
      <c r="Q18" s="2" t="inlineStr">
        <is>
          <t>이도향</t>
        </is>
      </c>
      <c r="R18" s="2" t="inlineStr">
        <is>
          <t>서정은</t>
        </is>
      </c>
    </row>
    <row r="19" ht="33" customFormat="1" customHeight="1" s="2" thickBot="1">
      <c r="A19" s="0" t="n"/>
      <c r="B19" s="188" t="n"/>
      <c r="C19" s="112" t="inlineStr">
        <is>
          <t>ETC</t>
        </is>
      </c>
      <c r="D19" s="38" t="n"/>
      <c r="E19" s="206">
        <f t="array" ref="E19">IFERROR(
    SUMIFS(
        인원비교보고서!$C$2:$C$74,
        인원비교보고서!$A$2:$A$74, LOOKUP(2,1/($C$5:C19&lt;&gt;""),$C$5:C19),
        인원비교보고서!$B$2:$B$74, IF($D19&lt;&gt;"",$D19,LOOKUP(2,1/($C$5:C19&lt;&gt;""),$C$5:C19))
    ),
0)</f>
        <v/>
      </c>
      <c r="F19" s="207" t="n"/>
      <c r="G19" s="206">
        <f t="array" ref="G19">IFERROR(
    SUMIFS(
        인원비교보고서!$E$2:$E$74,
        인원비교보고서!$A$2:$A$74, LOOKUP(2,1/($C$5:C19&lt;&gt;""),$C$5:C19),
        인원비교보고서!$B$2:$B$74, IF($D19&lt;&gt;"",$D19,LOOKUP(2,1/($C$5:C19&lt;&gt;""),$C$5:C19))
    ),
0)</f>
        <v/>
      </c>
      <c r="H19" s="207" t="n"/>
      <c r="I19" s="217">
        <f>G19-E19</f>
        <v/>
      </c>
      <c r="J19" s="218">
        <f>IFERROR(I19/E19,"")</f>
        <v/>
      </c>
      <c r="K19" s="219">
        <f>H19-F19</f>
        <v/>
      </c>
      <c r="L19" s="61">
        <f>IFERROR(K19/F19,"")</f>
        <v/>
      </c>
      <c r="P19" s="2" t="inlineStr">
        <is>
          <t>한근석</t>
        </is>
      </c>
    </row>
    <row r="20" ht="33" customFormat="1" customHeight="1" s="2" thickBot="1">
      <c r="A20" s="0" t="n"/>
      <c r="B20" s="220" t="n"/>
      <c r="C20" s="143" t="inlineStr">
        <is>
          <t>소  계</t>
        </is>
      </c>
      <c r="D20" s="221" t="n"/>
      <c r="E20" s="222">
        <f>SUM(E5:E19)</f>
        <v/>
      </c>
      <c r="F20" s="223">
        <f>SUM(F5:F19)</f>
        <v/>
      </c>
      <c r="G20" s="222">
        <f>SUM(G5:G19)</f>
        <v/>
      </c>
      <c r="H20" s="223">
        <f>SUM(H5:H19)</f>
        <v/>
      </c>
      <c r="I20" s="224">
        <f>SUM(I5:I19)</f>
        <v/>
      </c>
      <c r="J20" s="65">
        <f>IFERROR(I20/E20,"")</f>
        <v/>
      </c>
      <c r="K20" s="225">
        <f>SUM(K5:K19)</f>
        <v/>
      </c>
      <c r="L20" s="67">
        <f>IFERROR(K20/F20,"")</f>
        <v/>
      </c>
    </row>
    <row r="21" ht="33" customFormat="1" customHeight="1" s="2">
      <c r="A21" s="0" t="n"/>
      <c r="B21" s="226" t="inlineStr">
        <is>
          <t>직영점</t>
        </is>
      </c>
      <c r="C21" s="135" t="inlineStr">
        <is>
          <t>양재점</t>
        </is>
      </c>
      <c r="D21" s="227" t="n"/>
      <c r="E21" s="228" t="n"/>
      <c r="F21" s="229">
        <f>IFERROR(
    SUMIFS(
        인원비교보고서!$D$2:$D$74,
        인원비교보고서!$A$2:$A$74, "직영점",
        인원비교보고서!$B$2:$B$74, $C21
    ),
0)</f>
        <v/>
      </c>
      <c r="G21" s="228" t="n"/>
      <c r="H21" s="229">
        <f>IFERROR(
    SUMIFS(
        인원비교보고서!$F$2:$F$74,
        인원비교보고서!$A$2:$A$74, "직영점",
        인원비교보고서!$B$2:$B$74, $C21
    ),
0)</f>
        <v/>
      </c>
      <c r="I21" s="208" t="n"/>
      <c r="J21" s="209" t="n"/>
      <c r="K21" s="210">
        <f>H21-F21</f>
        <v/>
      </c>
      <c r="L21" s="44">
        <f>IFERROR(K21/F21,"")</f>
        <v/>
      </c>
      <c r="M21" s="46" t="n"/>
      <c r="P21" s="70" t="inlineStr">
        <is>
          <t>최은희</t>
        </is>
      </c>
      <c r="Q21" s="70" t="inlineStr">
        <is>
          <t>김은주</t>
        </is>
      </c>
      <c r="R21" s="2" t="inlineStr">
        <is>
          <t>이정희</t>
        </is>
      </c>
      <c r="S21" s="2" t="inlineStr">
        <is>
          <t>지은숙</t>
        </is>
      </c>
    </row>
    <row r="22" ht="33" customFormat="1" customHeight="1" s="2">
      <c r="A22" s="0" t="n"/>
      <c r="B22" s="188" t="n"/>
      <c r="C22" s="135" t="inlineStr">
        <is>
          <t>일산점</t>
        </is>
      </c>
      <c r="D22" s="227" t="n"/>
      <c r="E22" s="228" t="n"/>
      <c r="F22" s="229">
        <f>IFERROR(
    SUMIFS(
        인원비교보고서!$D$2:$D$74,
        인원비교보고서!$A$2:$A$74, "직영점",
        인원비교보고서!$B$2:$B$74, $C22
    ),
0)</f>
        <v/>
      </c>
      <c r="G22" s="228" t="n"/>
      <c r="H22" s="229">
        <f>IFERROR(
    SUMIFS(
        인원비교보고서!$F$2:$F$74,
        인원비교보고서!$A$2:$A$74, "직영점",
        인원비교보고서!$B$2:$B$74, $C22
    ),
0)</f>
        <v/>
      </c>
      <c r="I22" s="208" t="n"/>
      <c r="J22" s="209" t="n"/>
      <c r="K22" s="210">
        <f>H22-F22</f>
        <v/>
      </c>
      <c r="L22" s="44">
        <f>IFERROR(K22/F22,"")</f>
        <v/>
      </c>
      <c r="M22" s="45" t="inlineStr">
        <is>
          <t>(증)주성민</t>
        </is>
      </c>
      <c r="N22" s="46" t="n"/>
      <c r="P22" s="2" t="inlineStr">
        <is>
          <t>조선영</t>
        </is>
      </c>
      <c r="Q22" s="2" t="inlineStr">
        <is>
          <t>김규리</t>
        </is>
      </c>
      <c r="R22" s="2" t="inlineStr">
        <is>
          <t>손향순</t>
        </is>
      </c>
      <c r="S22" s="2" t="inlineStr">
        <is>
          <t>주성민</t>
        </is>
      </c>
    </row>
    <row r="23" ht="33" customFormat="1" customHeight="1" s="2">
      <c r="A23" s="0" t="n"/>
      <c r="B23" s="188" t="n"/>
      <c r="C23" s="135" t="inlineStr">
        <is>
          <t>경기광주점</t>
        </is>
      </c>
      <c r="D23" s="227" t="n"/>
      <c r="E23" s="228" t="n"/>
      <c r="F23" s="229">
        <f>IFERROR(
    SUMIFS(
        인원비교보고서!$D$2:$D$74,
        인원비교보고서!$A$2:$A$74, "직영점",
        인원비교보고서!$B$2:$B$74, $C23
    ),
0)</f>
        <v/>
      </c>
      <c r="G23" s="228" t="n"/>
      <c r="H23" s="229">
        <f>IFERROR(
    SUMIFS(
        인원비교보고서!$F$2:$F$74,
        인원비교보고서!$A$2:$A$74, "직영점",
        인원비교보고서!$B$2:$B$74, $C23
    ),
0)</f>
        <v/>
      </c>
      <c r="I23" s="208" t="n"/>
      <c r="J23" s="209" t="n"/>
      <c r="K23" s="210">
        <f>H23-F23</f>
        <v/>
      </c>
      <c r="L23" s="44">
        <f>IFERROR(K23/F23,"")</f>
        <v/>
      </c>
      <c r="M23" s="46" t="n"/>
      <c r="P23" s="2" t="inlineStr">
        <is>
          <t>진서경</t>
        </is>
      </c>
      <c r="Q23" s="2" t="inlineStr">
        <is>
          <t>김화영</t>
        </is>
      </c>
      <c r="R23" s="2" t="inlineStr">
        <is>
          <t>서은석</t>
        </is>
      </c>
      <c r="S23" s="2" t="inlineStr">
        <is>
          <t>이승현</t>
        </is>
      </c>
    </row>
    <row r="24" ht="33" customFormat="1" customHeight="1" s="2">
      <c r="A24" s="0" t="n"/>
      <c r="B24" s="188" t="n"/>
      <c r="C24" s="135" t="inlineStr">
        <is>
          <t>전주점</t>
        </is>
      </c>
      <c r="D24" s="227" t="n"/>
      <c r="E24" s="228" t="n"/>
      <c r="F24" s="229">
        <f>IFERROR(
    SUMIFS(
        인원비교보고서!$D$2:$D$74,
        인원비교보고서!$A$2:$A$74, "직영점",
        인원비교보고서!$B$2:$B$74, $C24
    ),
0)</f>
        <v/>
      </c>
      <c r="G24" s="228" t="n"/>
      <c r="H24" s="229">
        <f>IFERROR(
    SUMIFS(
        인원비교보고서!$F$2:$F$74,
        인원비교보고서!$A$2:$A$74, "직영점",
        인원비교보고서!$B$2:$B$74, $C24
    ),
0)</f>
        <v/>
      </c>
      <c r="I24" s="208" t="n"/>
      <c r="J24" s="209" t="n"/>
      <c r="K24" s="210">
        <f>H24-F24</f>
        <v/>
      </c>
      <c r="L24" s="44">
        <f>IFERROR(K24/F24,"")</f>
        <v/>
      </c>
      <c r="M24" s="46" t="n"/>
      <c r="P24" s="2" t="inlineStr">
        <is>
          <t>장윤의</t>
        </is>
      </c>
      <c r="Q24" s="2" t="inlineStr">
        <is>
          <t>정미선</t>
        </is>
      </c>
    </row>
    <row r="25" ht="33" customFormat="1" customHeight="1" s="2">
      <c r="A25" s="0" t="n"/>
      <c r="B25" s="188" t="n"/>
      <c r="C25" s="135" t="inlineStr">
        <is>
          <t>NC충장점</t>
        </is>
      </c>
      <c r="D25" s="227" t="n"/>
      <c r="E25" s="228" t="n"/>
      <c r="F25" s="229">
        <f>IFERROR(
    SUMIFS(
        인원비교보고서!$D$2:$D$74,
        인원비교보고서!$A$2:$A$74, "직영점",
        인원비교보고서!$B$2:$B$74, $C25
    ),
0)</f>
        <v/>
      </c>
      <c r="G25" s="228" t="n"/>
      <c r="H25" s="229">
        <f>IFERROR(
    SUMIFS(
        인원비교보고서!$F$2:$F$74,
        인원비교보고서!$A$2:$A$74, "직영점",
        인원비교보고서!$B$2:$B$74, $C25
    ),
0)</f>
        <v/>
      </c>
      <c r="I25" s="208" t="n"/>
      <c r="J25" s="209" t="n"/>
      <c r="K25" s="210">
        <f>H25-F25</f>
        <v/>
      </c>
      <c r="L25" s="44">
        <f>IFERROR(K25/F25,"")</f>
        <v/>
      </c>
      <c r="P25" s="2" t="inlineStr">
        <is>
          <t>정해숙</t>
        </is>
      </c>
      <c r="Q25" s="2" t="inlineStr">
        <is>
          <t>조성숙</t>
        </is>
      </c>
    </row>
    <row r="26" ht="33" customFormat="1" customHeight="1" s="2">
      <c r="A26" s="0" t="n"/>
      <c r="B26" s="188" t="n"/>
      <c r="C26" s="135" t="inlineStr">
        <is>
          <t>NC불광점</t>
        </is>
      </c>
      <c r="D26" s="227" t="n"/>
      <c r="E26" s="228" t="n"/>
      <c r="F26" s="229">
        <f>IFERROR(
    SUMIFS(
        인원비교보고서!$D$2:$D$74,
        인원비교보고서!$A$2:$A$74, "직영점",
        인원비교보고서!$B$2:$B$74, $C26
    ),
0)</f>
        <v/>
      </c>
      <c r="G26" s="228" t="n"/>
      <c r="H26" s="229">
        <f>IFERROR(
    SUMIFS(
        인원비교보고서!$F$2:$F$74,
        인원비교보고서!$A$2:$A$74, "직영점",
        인원비교보고서!$B$2:$B$74, $C26
    ),
0)</f>
        <v/>
      </c>
      <c r="I26" s="208" t="n"/>
      <c r="J26" s="209" t="n"/>
      <c r="K26" s="210">
        <f>H26-F26</f>
        <v/>
      </c>
      <c r="L26" s="44">
        <f>IFERROR(K26/F26,"")</f>
        <v/>
      </c>
      <c r="P26" s="2" t="inlineStr">
        <is>
          <t>이영양</t>
        </is>
      </c>
      <c r="Q26" s="2" t="inlineStr">
        <is>
          <t>김남주</t>
        </is>
      </c>
    </row>
    <row r="27" ht="33" customFormat="1" customHeight="1" s="2">
      <c r="A27" s="0" t="n"/>
      <c r="B27" s="188" t="n"/>
      <c r="C27" s="135" t="inlineStr">
        <is>
          <t>청주점</t>
        </is>
      </c>
      <c r="D27" s="227" t="n"/>
      <c r="E27" s="228" t="n"/>
      <c r="F27" s="229">
        <f>IFERROR(
    SUMIFS(
        인원비교보고서!$D$2:$D$74,
        인원비교보고서!$A$2:$A$74, "직영점",
        인원비교보고서!$B$2:$B$74, $C27
    ),
0)</f>
        <v/>
      </c>
      <c r="G27" s="228" t="n"/>
      <c r="H27" s="229">
        <f>IFERROR(
    SUMIFS(
        인원비교보고서!$F$2:$F$74,
        인원비교보고서!$A$2:$A$74, "직영점",
        인원비교보고서!$B$2:$B$74, $C27
    ),
0)</f>
        <v/>
      </c>
      <c r="I27" s="208" t="n"/>
      <c r="J27" s="209" t="n"/>
      <c r="K27" s="210">
        <f>H27-F27</f>
        <v/>
      </c>
      <c r="L27" s="44">
        <f>IFERROR(K27/F27,"")</f>
        <v/>
      </c>
      <c r="P27" s="2" t="inlineStr">
        <is>
          <t>강인숙</t>
        </is>
      </c>
      <c r="Q27" s="2" t="inlineStr">
        <is>
          <t>박주희</t>
        </is>
      </c>
    </row>
    <row r="28" ht="33" customFormat="1" customHeight="1" s="2">
      <c r="A28" s="0" t="n"/>
      <c r="B28" s="188" t="n"/>
      <c r="C28" s="135" t="inlineStr">
        <is>
          <t>NC해운대점</t>
        </is>
      </c>
      <c r="D28" s="227" t="n"/>
      <c r="E28" s="228" t="n"/>
      <c r="F28" s="229">
        <f>IFERROR(
    SUMIFS(
        인원비교보고서!$D$2:$D$74,
        인원비교보고서!$A$2:$A$74, "직영점",
        인원비교보고서!$B$2:$B$74, $C28
    ),
0)</f>
        <v/>
      </c>
      <c r="G28" s="228" t="n"/>
      <c r="H28" s="229">
        <f>IFERROR(
    SUMIFS(
        인원비교보고서!$F$2:$F$74,
        인원비교보고서!$A$2:$A$74, "직영점",
        인원비교보고서!$B$2:$B$74, $C28
    ),
0)</f>
        <v/>
      </c>
      <c r="I28" s="208" t="n"/>
      <c r="J28" s="209" t="n"/>
      <c r="K28" s="210">
        <f>H28-F28</f>
        <v/>
      </c>
      <c r="L28" s="44">
        <f>IFERROR(K28/F28,"")</f>
        <v/>
      </c>
      <c r="P28" s="2" t="inlineStr">
        <is>
          <t>박연수</t>
        </is>
      </c>
      <c r="Q28" s="2" t="inlineStr">
        <is>
          <t>박둘금</t>
        </is>
      </c>
    </row>
    <row r="29" ht="33" customFormat="1" customHeight="1" s="2">
      <c r="A29" s="0" t="n"/>
      <c r="B29" s="188" t="n"/>
      <c r="C29" s="135" t="inlineStr">
        <is>
          <t>NC일산점</t>
        </is>
      </c>
      <c r="D29" s="227" t="n"/>
      <c r="E29" s="230" t="n"/>
      <c r="F29" s="231">
        <f>IFERROR(
    SUMIFS(
        인원비교보고서!$D$2:$D$74,
        인원비교보고서!$A$2:$A$74, "직영점",
        인원비교보고서!$B$2:$B$74, $C29
    ),
0)</f>
        <v/>
      </c>
      <c r="G29" s="230" t="n"/>
      <c r="H29" s="231">
        <f>IFERROR(
    SUMIFS(
        인원비교보고서!$F$2:$F$74,
        인원비교보고서!$A$2:$A$74, "직영점",
        인원비교보고서!$B$2:$B$74, $C29
    ),
0)</f>
        <v/>
      </c>
      <c r="I29" s="208" t="n"/>
      <c r="J29" s="209" t="n"/>
      <c r="K29" s="210">
        <f>H29-F29</f>
        <v/>
      </c>
      <c r="L29" s="44">
        <f>IFERROR(K29/F29,"")</f>
        <v/>
      </c>
      <c r="M29" s="45" t="inlineStr">
        <is>
          <t>(증)전선희</t>
        </is>
      </c>
      <c r="P29" s="70" t="inlineStr">
        <is>
          <t>장석순</t>
        </is>
      </c>
      <c r="Q29" s="70" t="inlineStr">
        <is>
          <t>전선희</t>
        </is>
      </c>
    </row>
    <row r="30" ht="33" customFormat="1" customHeight="1" s="2">
      <c r="A30" s="0" t="n"/>
      <c r="B30" s="188" t="n"/>
      <c r="C30" s="146" t="inlineStr">
        <is>
          <t>고양점(롯데아울렛)</t>
        </is>
      </c>
      <c r="D30" s="232" t="n"/>
      <c r="E30" s="230" t="n"/>
      <c r="F30" s="231">
        <f>IFERROR(
    SUMIFS(
        인원비교보고서!$D$2:$D$74,
        인원비교보고서!$A$2:$A$74, "직영점",
        인원비교보고서!$B$2:$B$74, $C30
    ),
0)</f>
        <v/>
      </c>
      <c r="G30" s="230" t="n"/>
      <c r="H30" s="231">
        <f>IFERROR(
    SUMIFS(
        인원비교보고서!$F$2:$F$74,
        인원비교보고서!$A$2:$A$74, "직영점",
        인원비교보고서!$B$2:$B$74, $C30
    ),
0)</f>
        <v/>
      </c>
      <c r="I30" s="208" t="n"/>
      <c r="J30" s="209" t="n"/>
      <c r="K30" s="210">
        <f>H30-F30</f>
        <v/>
      </c>
      <c r="L30" s="44">
        <f>IFERROR(K30/F30,"")</f>
        <v/>
      </c>
      <c r="M30" s="46" t="n"/>
      <c r="P30" s="70" t="inlineStr">
        <is>
          <t>이윤정</t>
        </is>
      </c>
    </row>
    <row r="31" ht="33" customFormat="1" customHeight="1" s="2">
      <c r="A31" s="0" t="n"/>
      <c r="B31" s="188" t="n"/>
      <c r="C31" s="146" t="inlineStr">
        <is>
          <t>가든5점_현대아울렛</t>
        </is>
      </c>
      <c r="D31" s="232" t="n"/>
      <c r="E31" s="230" t="n"/>
      <c r="F31" s="231">
        <f>IFERROR(
    SUMIFS(
        인원비교보고서!$D$2:$D$74,
        인원비교보고서!$A$2:$A$74, "직영점",
        인원비교보고서!$B$2:$B$74, $C31
    ),
0)</f>
        <v/>
      </c>
      <c r="G31" s="230" t="n"/>
      <c r="H31" s="231">
        <f>IFERROR(
    SUMIFS(
        인원비교보고서!$F$2:$F$74,
        인원비교보고서!$A$2:$A$74, "직영점",
        인원비교보고서!$B$2:$B$74, $C31
    ),
0)</f>
        <v/>
      </c>
      <c r="I31" s="208" t="n"/>
      <c r="J31" s="209" t="n"/>
      <c r="K31" s="210">
        <f>H31-F31</f>
        <v/>
      </c>
      <c r="L31" s="44">
        <f>IFERROR(K31/F31,"")</f>
        <v/>
      </c>
      <c r="M31" s="46" t="n"/>
      <c r="P31" s="70" t="inlineStr">
        <is>
          <t>김영란</t>
        </is>
      </c>
    </row>
    <row r="32" ht="33" customFormat="1" customHeight="1" s="2" thickBot="1">
      <c r="A32" s="0" t="n"/>
      <c r="B32" s="188" t="n"/>
      <c r="C32" s="150" t="inlineStr">
        <is>
          <t>현대커넥트부산점</t>
        </is>
      </c>
      <c r="D32" s="233" t="n"/>
      <c r="E32" s="234" t="n"/>
      <c r="F32" s="235">
        <f>IFERROR(
    SUMIFS(
        인원비교보고서!$D$2:$D$74,
        인원비교보고서!$A$2:$A$74, "직영점",
        인원비교보고서!$B$2:$B$74, $C32
    ),
0)</f>
        <v/>
      </c>
      <c r="G32" s="234" t="n"/>
      <c r="H32" s="235">
        <f>IFERROR(
    SUMIFS(
        인원비교보고서!$F$2:$F$74,
        인원비교보고서!$A$2:$A$74, "직영점",
        인원비교보고서!$B$2:$B$74, $C32
    ),
0)</f>
        <v/>
      </c>
      <c r="I32" s="208" t="n"/>
      <c r="J32" s="209" t="n"/>
      <c r="K32" s="210">
        <f>H32-F32</f>
        <v/>
      </c>
      <c r="L32" s="44">
        <f>IFERROR(K32/F32,"")</f>
        <v/>
      </c>
      <c r="M32" s="46" t="n"/>
      <c r="P32" s="70" t="n"/>
    </row>
    <row r="33" ht="33" customFormat="1" customHeight="1" s="2" thickBot="1">
      <c r="A33" s="0" t="n"/>
      <c r="B33" s="220" t="n"/>
      <c r="C33" s="236" t="inlineStr">
        <is>
          <t>소  계</t>
        </is>
      </c>
      <c r="D33" s="237" t="n"/>
      <c r="E33" s="238">
        <f>SUM(E21:E32)</f>
        <v/>
      </c>
      <c r="F33" s="239">
        <f>SUM(F21:F32)</f>
        <v/>
      </c>
      <c r="G33" s="238">
        <f>SUM(G21:G32)</f>
        <v/>
      </c>
      <c r="H33" s="239">
        <f>SUM(H21:H32)</f>
        <v/>
      </c>
      <c r="I33" s="224">
        <f>G33-E33</f>
        <v/>
      </c>
      <c r="J33" s="240">
        <f>IFERROR(I33/E33,"")</f>
        <v/>
      </c>
      <c r="K33" s="225">
        <f>SUM(K21:K31)</f>
        <v/>
      </c>
      <c r="L33" s="67">
        <f>IFERROR(K33/F33,"")</f>
        <v/>
      </c>
    </row>
    <row r="34" ht="33" customFormat="1" customHeight="1" s="2">
      <c r="A34" s="0" t="n"/>
      <c r="B34" s="226" t="inlineStr">
        <is>
          <t>중간관리</t>
        </is>
      </c>
      <c r="C34" s="241" t="inlineStr">
        <is>
          <t>롯데</t>
        </is>
      </c>
      <c r="D34" s="242" t="n"/>
      <c r="E34" s="243" t="n"/>
      <c r="F34" s="244" t="n">
        <v>8</v>
      </c>
      <c r="G34" s="243" t="n"/>
      <c r="H34" s="245" t="n">
        <v>11</v>
      </c>
      <c r="I34" s="246" t="n"/>
      <c r="J34" s="247">
        <f>IFERROR(I34/E34,"")</f>
        <v/>
      </c>
      <c r="K34" s="248">
        <f>H34-F34</f>
        <v/>
      </c>
      <c r="L34" s="84">
        <f>IFERROR(K34/F34,"")</f>
        <v/>
      </c>
      <c r="M34" s="45" t="inlineStr">
        <is>
          <t>(증)동래
(증)울산</t>
        </is>
      </c>
      <c r="N34" s="45" t="inlineStr">
        <is>
          <t xml:space="preserve">(증)대구
</t>
        </is>
      </c>
      <c r="P34" s="2" t="inlineStr">
        <is>
          <t>광주점</t>
        </is>
      </c>
      <c r="Q34" s="2" t="inlineStr">
        <is>
          <t>포항점</t>
        </is>
      </c>
      <c r="R34" s="85" t="inlineStr">
        <is>
          <t>창원점</t>
        </is>
      </c>
      <c r="S34" s="2" t="inlineStr">
        <is>
          <t>영등포</t>
        </is>
      </c>
      <c r="T34" s="2" t="inlineStr">
        <is>
          <t>평촌점</t>
        </is>
      </c>
      <c r="U34" s="2" t="inlineStr">
        <is>
          <t>노원점</t>
        </is>
      </c>
      <c r="V34" s="2" t="inlineStr">
        <is>
          <t>동래점</t>
        </is>
      </c>
      <c r="W34" s="2" t="inlineStr">
        <is>
          <t>울산점</t>
        </is>
      </c>
      <c r="X34" s="2" t="inlineStr">
        <is>
          <t>대구점</t>
        </is>
      </c>
      <c r="Y34" s="2" t="inlineStr">
        <is>
          <t>아울렛김해점</t>
        </is>
      </c>
      <c r="Z34" s="2" t="inlineStr">
        <is>
          <t>아울렛이천점</t>
        </is>
      </c>
    </row>
    <row r="35" ht="33" customFormat="1" customHeight="1" s="2">
      <c r="A35" s="0" t="n"/>
      <c r="B35" s="188" t="n"/>
      <c r="C35" s="249" t="inlineStr">
        <is>
          <t xml:space="preserve">현대 </t>
        </is>
      </c>
      <c r="D35" s="250" t="n"/>
      <c r="E35" s="212" t="n"/>
      <c r="F35" s="213" t="n">
        <v>6</v>
      </c>
      <c r="G35" s="212" t="n"/>
      <c r="H35" s="213" t="n">
        <v>5</v>
      </c>
      <c r="I35" s="198" t="n"/>
      <c r="J35" s="199">
        <f>IFERROR(I35/E35,"")</f>
        <v/>
      </c>
      <c r="K35" s="200">
        <f>H35-F35</f>
        <v/>
      </c>
      <c r="L35" s="29">
        <f>IFERROR(K35/F35,"")</f>
        <v/>
      </c>
      <c r="M35" s="45" t="inlineStr">
        <is>
          <t>(감)미아</t>
        </is>
      </c>
      <c r="P35" s="2" t="inlineStr">
        <is>
          <t>천호점</t>
        </is>
      </c>
      <c r="Q35" s="2" t="inlineStr">
        <is>
          <t>대구점</t>
        </is>
      </c>
      <c r="R35" s="2" t="inlineStr">
        <is>
          <t>판교점</t>
        </is>
      </c>
      <c r="S35" s="2" t="inlineStr">
        <is>
          <t>아울렛대전점</t>
        </is>
      </c>
      <c r="T35" s="2" t="inlineStr">
        <is>
          <t>아울렛남양주점</t>
        </is>
      </c>
    </row>
    <row r="36" ht="33" customFormat="1" customHeight="1" s="2">
      <c r="A36" s="0" t="n"/>
      <c r="B36" s="188" t="n"/>
      <c r="C36" s="249" t="inlineStr">
        <is>
          <t>신세계</t>
        </is>
      </c>
      <c r="D36" s="250" t="n"/>
      <c r="E36" s="212" t="n"/>
      <c r="F36" s="251" t="n">
        <v>6</v>
      </c>
      <c r="G36" s="212" t="n"/>
      <c r="H36" s="213" t="n">
        <v>7</v>
      </c>
      <c r="I36" s="198" t="n"/>
      <c r="J36" s="199">
        <f>IFERROR(I36/E36,"")</f>
        <v/>
      </c>
      <c r="K36" s="200">
        <f>H36-F36</f>
        <v/>
      </c>
      <c r="L36" s="29">
        <f>IFERROR(K36/F36,"")</f>
        <v/>
      </c>
      <c r="M36" s="45" t="inlineStr">
        <is>
          <t>(증)대구</t>
        </is>
      </c>
      <c r="P36" s="2" t="inlineStr">
        <is>
          <t>광주점</t>
        </is>
      </c>
      <c r="Q36" s="85" t="inlineStr">
        <is>
          <t>마산점</t>
        </is>
      </c>
      <c r="R36" s="2" t="inlineStr">
        <is>
          <t>경기점</t>
        </is>
      </c>
      <c r="S36" s="2" t="inlineStr">
        <is>
          <t>센텀점</t>
        </is>
      </c>
      <c r="T36" s="2" t="inlineStr">
        <is>
          <t>타임스퀘어점</t>
        </is>
      </c>
      <c r="U36" s="2" t="inlineStr">
        <is>
          <t>본점</t>
        </is>
      </c>
      <c r="V36" s="2" t="inlineStr">
        <is>
          <t>대구점</t>
        </is>
      </c>
    </row>
    <row r="37" ht="33" customFormat="1" customHeight="1" s="2">
      <c r="A37" s="0" t="n"/>
      <c r="B37" s="188" t="n"/>
      <c r="C37" s="249" t="inlineStr">
        <is>
          <t>갤러리아</t>
        </is>
      </c>
      <c r="D37" s="250" t="n"/>
      <c r="E37" s="212" t="n"/>
      <c r="F37" s="213" t="n">
        <v>1</v>
      </c>
      <c r="G37" s="212" t="n"/>
      <c r="H37" s="213" t="n">
        <v>1</v>
      </c>
      <c r="I37" s="198" t="n"/>
      <c r="J37" s="199">
        <f>IFERROR(I37/E37,"")</f>
        <v/>
      </c>
      <c r="K37" s="200">
        <f>H37-F37</f>
        <v/>
      </c>
      <c r="L37" s="29">
        <f>IFERROR(K37/F37,"")</f>
        <v/>
      </c>
      <c r="P37" s="2" t="inlineStr">
        <is>
          <t>광교점</t>
        </is>
      </c>
    </row>
    <row r="38" ht="33" customFormat="1" customHeight="1" s="2" thickBot="1">
      <c r="A38" s="0" t="n"/>
      <c r="B38" s="188" t="n"/>
      <c r="C38" s="252" t="n"/>
      <c r="D38" s="253" t="n"/>
      <c r="E38" s="254" t="n"/>
      <c r="F38" s="255" t="n"/>
      <c r="G38" s="254" t="n"/>
      <c r="H38" s="255" t="n"/>
      <c r="I38" s="256" t="n"/>
      <c r="J38" s="257">
        <f>IFERROR(H38/F38,"")</f>
        <v/>
      </c>
      <c r="K38" s="258" t="n"/>
      <c r="L38" s="92" t="n"/>
    </row>
    <row r="39" ht="33" customFormat="1" customHeight="1" s="2" thickBot="1">
      <c r="A39" s="0" t="n"/>
      <c r="B39" s="220" t="n"/>
      <c r="C39" s="144" t="inlineStr">
        <is>
          <t>소  계</t>
        </is>
      </c>
      <c r="D39" s="259" t="n"/>
      <c r="E39" s="260">
        <f>SUM(E34:E38)</f>
        <v/>
      </c>
      <c r="F39" s="261">
        <f>SUM(F34:F38)</f>
        <v/>
      </c>
      <c r="G39" s="260">
        <f>SUM(G34:G38)</f>
        <v/>
      </c>
      <c r="H39" s="261">
        <f>SUM(H34:H38)</f>
        <v/>
      </c>
      <c r="I39" s="224">
        <f>SUM(I34:I38)</f>
        <v/>
      </c>
      <c r="J39" s="240">
        <f>IFERROR(I39/E39,"")</f>
        <v/>
      </c>
      <c r="K39" s="225">
        <f>SUM(K34:K38)</f>
        <v/>
      </c>
      <c r="L39" s="67">
        <f>IFERROR(K39/F39,"")</f>
        <v/>
      </c>
    </row>
    <row r="40" ht="33" customFormat="1" customHeight="1" s="2" thickBot="1">
      <c r="A40" s="0" t="n"/>
      <c r="B40" s="262" t="inlineStr">
        <is>
          <t>총   계</t>
        </is>
      </c>
      <c r="C40" s="171" t="n"/>
      <c r="D40" s="171" t="n"/>
      <c r="E40" s="263">
        <f>E20+E33+E39</f>
        <v/>
      </c>
      <c r="F40" s="264">
        <f>F20+F33+F39</f>
        <v/>
      </c>
      <c r="G40" s="263">
        <f>G20+G33+G39</f>
        <v/>
      </c>
      <c r="H40" s="264">
        <f>H20+H33+H39</f>
        <v/>
      </c>
      <c r="I40" s="185">
        <f>I20+I33+I39</f>
        <v/>
      </c>
      <c r="J40" s="186">
        <f>I40/E40</f>
        <v/>
      </c>
      <c r="K40" s="187">
        <f>K20+K33+K39</f>
        <v/>
      </c>
      <c r="L40" s="14">
        <f>K40/F40</f>
        <v/>
      </c>
    </row>
    <row r="41" ht="33" customFormat="1" customHeight="1" s="2" thickBot="1">
      <c r="A41" s="0" t="n"/>
      <c r="B41" s="178" t="n"/>
      <c r="C41" s="179" t="n"/>
      <c r="D41" s="179" t="n"/>
      <c r="E41" s="265">
        <f>SUM(E40:F40)</f>
        <v/>
      </c>
      <c r="F41" s="237" t="n"/>
      <c r="G41" s="265">
        <f>SUM(G40:H40)</f>
        <v/>
      </c>
      <c r="H41" s="237" t="n"/>
      <c r="I41" s="266">
        <f>SUM(I40,K40)</f>
        <v/>
      </c>
      <c r="J41" s="233" t="n"/>
      <c r="K41" s="267" t="n"/>
      <c r="L41" s="101">
        <f>I41/E41</f>
        <v/>
      </c>
    </row>
    <row r="42" ht="18" customFormat="1" customHeight="1" s="2">
      <c r="I42" s="1" t="n"/>
      <c r="J42" s="1" t="n"/>
      <c r="K42" s="1" t="n"/>
      <c r="L42" s="1" t="n"/>
    </row>
    <row r="43" ht="18" customFormat="1" customHeight="1" s="2">
      <c r="B43" s="46" t="inlineStr">
        <is>
          <t>물류센터용역</t>
        </is>
      </c>
      <c r="C43" s="46" t="n">
        <v>16</v>
      </c>
      <c r="E43" s="0" t="n"/>
      <c r="F43" s="0" t="n"/>
      <c r="G43" s="0" t="n"/>
      <c r="H43" s="0" t="n"/>
      <c r="I43" s="0" t="n"/>
      <c r="J43" s="0" t="n"/>
      <c r="K43" s="0" t="n"/>
      <c r="L43" s="0" t="n"/>
      <c r="M43" s="0" t="n"/>
      <c r="N43" s="0" t="n"/>
    </row>
    <row r="44" ht="18" customHeight="1" s="169">
      <c r="B44" s="46" t="inlineStr">
        <is>
          <t>평택점용역</t>
        </is>
      </c>
      <c r="C44" s="46" t="n">
        <v>2</v>
      </c>
      <c r="E44" s="0" t="n"/>
      <c r="F44" s="0" t="n"/>
      <c r="G44" s="0" t="n"/>
      <c r="H44" s="0" t="n"/>
      <c r="I44" s="0" t="n"/>
      <c r="J44" s="0" t="n"/>
      <c r="K44" s="0" t="n"/>
      <c r="L44" s="0" t="n"/>
      <c r="M44" s="0" t="n"/>
      <c r="N44" s="0" t="n"/>
      <c r="P44" s="2" t="n"/>
      <c r="Q44" s="2" t="n"/>
      <c r="R44" s="2" t="n"/>
    </row>
    <row r="45">
      <c r="B45" s="97" t="inlineStr">
        <is>
          <t>인원보고총원</t>
        </is>
      </c>
      <c r="C45" s="268">
        <f>SUM(C43:C44,G41)</f>
        <v/>
      </c>
      <c r="E45" s="0" t="n"/>
      <c r="F45" s="0" t="n"/>
      <c r="G45" s="0" t="n"/>
      <c r="H45" s="0" t="n"/>
      <c r="I45" s="0" t="n"/>
      <c r="J45" s="0" t="n"/>
      <c r="K45" s="0" t="n"/>
      <c r="L45" s="0" t="n"/>
      <c r="M45" s="0" t="n"/>
      <c r="N45" s="0" t="n"/>
      <c r="P45" s="46" t="n"/>
      <c r="Q45" s="46" t="n"/>
      <c r="R45" s="46" t="n"/>
    </row>
    <row r="46">
      <c r="E46" s="0" t="n"/>
      <c r="F46" s="0" t="n"/>
      <c r="G46" s="0" t="n"/>
      <c r="H46" s="0" t="n"/>
      <c r="I46" s="0" t="n"/>
      <c r="J46" s="0" t="n"/>
      <c r="K46" s="0" t="n"/>
      <c r="L46" s="0" t="n"/>
      <c r="M46" s="0" t="n"/>
      <c r="N46" s="0" t="n"/>
      <c r="P46" s="46" t="n"/>
      <c r="Q46" s="46" t="n"/>
      <c r="R46" s="46" t="n"/>
    </row>
    <row r="47">
      <c r="E47" s="0" t="n"/>
      <c r="F47" s="0" t="n"/>
      <c r="G47" s="0" t="n"/>
      <c r="H47" s="0" t="n"/>
      <c r="I47" s="0" t="n"/>
      <c r="J47" s="0" t="n"/>
      <c r="K47" s="0" t="n"/>
      <c r="L47" s="0" t="n"/>
      <c r="M47" s="0" t="n"/>
      <c r="N47" s="0" t="n"/>
      <c r="P47" s="46" t="n"/>
      <c r="Q47" s="46" t="n"/>
      <c r="R47" s="46" t="n"/>
    </row>
    <row r="48">
      <c r="E48" s="0" t="n"/>
      <c r="F48" s="0" t="n"/>
      <c r="G48" s="0" t="n"/>
      <c r="H48" s="0" t="n"/>
      <c r="I48" s="0" t="n"/>
      <c r="J48" s="0" t="n"/>
      <c r="K48" s="0" t="n"/>
      <c r="L48" s="0" t="n"/>
      <c r="M48" s="0" t="n"/>
      <c r="N48" s="0" t="n"/>
      <c r="P48" s="46" t="n"/>
      <c r="Q48" s="46" t="n"/>
      <c r="R48" s="46" t="n"/>
    </row>
    <row r="49">
      <c r="E49" s="0" t="n"/>
      <c r="F49" s="0" t="n"/>
      <c r="G49" s="0" t="n"/>
      <c r="H49" s="0" t="n"/>
      <c r="I49" s="0" t="n"/>
      <c r="J49" s="0" t="n"/>
      <c r="K49" s="0" t="n"/>
      <c r="L49" s="0" t="n"/>
      <c r="M49" s="0" t="n"/>
      <c r="N49" s="0" t="n"/>
      <c r="P49" s="46" t="n"/>
      <c r="Q49" s="46" t="n"/>
      <c r="R49" s="46" t="n"/>
    </row>
    <row r="50">
      <c r="E50" s="0" t="n"/>
      <c r="F50" s="0" t="n"/>
      <c r="G50" s="0" t="n"/>
      <c r="H50" s="0" t="n"/>
      <c r="I50" s="0" t="n"/>
      <c r="J50" s="0" t="n"/>
      <c r="K50" s="0" t="n"/>
      <c r="L50" s="0" t="n"/>
      <c r="M50" s="0" t="n"/>
      <c r="N50" s="0" t="n"/>
      <c r="P50" s="46" t="n"/>
      <c r="Q50" s="46" t="n"/>
      <c r="R50" s="46" t="n"/>
    </row>
    <row r="51">
      <c r="E51" s="0" t="n"/>
      <c r="F51" s="0" t="n"/>
      <c r="G51" s="0" t="n"/>
      <c r="H51" s="0" t="n"/>
      <c r="I51" s="0" t="n"/>
      <c r="J51" s="0" t="n"/>
      <c r="K51" s="0" t="n"/>
      <c r="L51" s="0" t="n"/>
      <c r="M51" s="0" t="n"/>
      <c r="N51" s="0" t="n"/>
      <c r="P51" s="46" t="n"/>
      <c r="Q51" s="46" t="n"/>
      <c r="R51" s="46" t="n"/>
    </row>
    <row r="52">
      <c r="E52" s="0" t="n"/>
      <c r="F52" s="0" t="n"/>
      <c r="G52" s="0" t="n"/>
      <c r="H52" s="0" t="n"/>
      <c r="I52" s="0" t="n"/>
      <c r="J52" s="0" t="n"/>
      <c r="K52" s="0" t="n"/>
      <c r="L52" s="0" t="n"/>
      <c r="M52" s="0" t="n"/>
      <c r="N52" s="0" t="n"/>
      <c r="P52" s="46" t="n"/>
      <c r="Q52" s="46" t="n"/>
      <c r="R52" s="46" t="n"/>
    </row>
    <row r="53">
      <c r="E53" s="0" t="n"/>
      <c r="F53" s="0" t="n"/>
      <c r="G53" s="0" t="n"/>
      <c r="H53" s="0" t="n"/>
      <c r="I53" s="0" t="n"/>
      <c r="J53" s="0" t="n"/>
      <c r="K53" s="0" t="n"/>
      <c r="L53" s="0" t="n"/>
      <c r="M53" s="0" t="n"/>
      <c r="N53" s="0" t="n"/>
      <c r="P53" s="46" t="n"/>
      <c r="Q53" s="46" t="n"/>
      <c r="R53" s="46" t="n"/>
    </row>
    <row r="54">
      <c r="E54" s="0" t="n"/>
      <c r="F54" s="0" t="n"/>
      <c r="G54" s="0" t="n"/>
      <c r="H54" s="0" t="n"/>
      <c r="I54" s="0" t="n"/>
      <c r="J54" s="0" t="n"/>
      <c r="K54" s="0" t="n"/>
      <c r="L54" s="0" t="n"/>
      <c r="M54" s="0" t="n"/>
      <c r="N54" s="0" t="n"/>
      <c r="P54" s="46" t="n"/>
      <c r="Q54" s="46" t="n"/>
      <c r="R54" s="46" t="n"/>
    </row>
    <row r="55">
      <c r="E55" s="0" t="n"/>
      <c r="F55" s="0" t="n"/>
      <c r="G55" s="0" t="n"/>
      <c r="H55" s="0" t="n"/>
      <c r="I55" s="0" t="n"/>
      <c r="J55" s="0" t="n"/>
      <c r="K55" s="0" t="n"/>
      <c r="L55" s="0" t="n"/>
      <c r="M55" s="0" t="n"/>
      <c r="N55" s="0" t="n"/>
      <c r="P55" s="46" t="n"/>
      <c r="Q55" s="46" t="n"/>
      <c r="R55" s="46" t="n"/>
    </row>
    <row r="56">
      <c r="E56" s="0" t="n"/>
      <c r="F56" s="0" t="n"/>
      <c r="G56" s="0" t="n"/>
      <c r="H56" s="0" t="n"/>
      <c r="I56" s="0" t="n"/>
      <c r="J56" s="0" t="n"/>
      <c r="K56" s="0" t="n"/>
      <c r="L56" s="0" t="n"/>
      <c r="M56" s="0" t="n"/>
      <c r="N56" s="0" t="n"/>
      <c r="P56" s="46" t="n"/>
      <c r="Q56" s="46" t="n"/>
      <c r="R56" s="46" t="n"/>
    </row>
    <row r="57">
      <c r="E57" s="0" t="n"/>
      <c r="F57" s="0" t="n"/>
      <c r="G57" s="0" t="n"/>
      <c r="H57" s="0" t="n"/>
      <c r="I57" s="0" t="n"/>
      <c r="J57" s="0" t="n"/>
      <c r="K57" s="0" t="n"/>
      <c r="L57" s="0" t="n"/>
      <c r="M57" s="0" t="n"/>
      <c r="N57" s="0" t="n"/>
      <c r="P57" s="46" t="n"/>
      <c r="Q57" s="46" t="n"/>
      <c r="R57" s="46" t="n"/>
    </row>
    <row r="58">
      <c r="E58" s="0" t="n"/>
      <c r="F58" s="0" t="n"/>
      <c r="G58" s="0" t="n"/>
      <c r="H58" s="0" t="n"/>
      <c r="I58" s="0" t="n"/>
      <c r="J58" s="0" t="n"/>
      <c r="K58" s="0" t="n"/>
      <c r="L58" s="0" t="n"/>
      <c r="M58" s="0" t="n"/>
      <c r="N58" s="0" t="n"/>
      <c r="P58" s="46" t="n"/>
      <c r="Q58" s="46" t="n"/>
      <c r="R58" s="46" t="n"/>
    </row>
    <row r="59">
      <c r="E59" s="0" t="n"/>
      <c r="F59" s="0" t="n"/>
      <c r="G59" s="0" t="n"/>
      <c r="H59" s="0" t="n"/>
      <c r="I59" s="0" t="n"/>
      <c r="J59" s="0" t="n"/>
      <c r="K59" s="0" t="n"/>
      <c r="L59" s="0" t="n"/>
      <c r="M59" s="0" t="n"/>
      <c r="N59" s="0" t="n"/>
      <c r="P59" s="46" t="n"/>
      <c r="Q59" s="46" t="n"/>
      <c r="R59" s="46" t="n"/>
    </row>
    <row r="60">
      <c r="E60" s="0" t="n"/>
      <c r="F60" s="0" t="n"/>
      <c r="G60" s="0" t="n"/>
      <c r="H60" s="0" t="n"/>
      <c r="I60" s="0" t="n"/>
      <c r="J60" s="0" t="n"/>
      <c r="K60" s="0" t="n"/>
      <c r="L60" s="0" t="n"/>
      <c r="M60" s="0" t="n"/>
      <c r="N60" s="0" t="n"/>
      <c r="P60" s="46" t="n"/>
      <c r="Q60" s="46" t="n"/>
      <c r="R60" s="46" t="n"/>
    </row>
    <row r="61">
      <c r="E61" s="0" t="n"/>
      <c r="F61" s="0" t="n"/>
      <c r="G61" s="0" t="n"/>
      <c r="H61" s="0" t="n"/>
      <c r="I61" s="0" t="n"/>
      <c r="J61" s="0" t="n"/>
      <c r="K61" s="0" t="n"/>
      <c r="L61" s="0" t="n"/>
      <c r="M61" s="0" t="n"/>
      <c r="N61" s="0" t="n"/>
      <c r="P61" s="46" t="n"/>
      <c r="Q61" s="46" t="n"/>
      <c r="R61" s="46" t="n"/>
    </row>
    <row r="62">
      <c r="E62" s="0" t="n"/>
      <c r="F62" s="0" t="n"/>
      <c r="G62" s="0" t="n"/>
      <c r="H62" s="0" t="n"/>
      <c r="I62" s="0" t="n"/>
      <c r="J62" s="0" t="n"/>
      <c r="K62" s="0" t="n"/>
      <c r="L62" s="0" t="n"/>
      <c r="M62" s="0" t="n"/>
      <c r="N62" s="0" t="n"/>
      <c r="P62" s="46" t="n"/>
      <c r="Q62" s="46" t="n"/>
      <c r="R62" s="46" t="n"/>
    </row>
    <row r="63">
      <c r="E63" s="0" t="n"/>
      <c r="F63" s="0" t="n"/>
      <c r="G63" s="0" t="n"/>
      <c r="H63" s="0" t="n"/>
      <c r="I63" s="0" t="n"/>
      <c r="J63" s="0" t="n"/>
      <c r="K63" s="0" t="n"/>
      <c r="L63" s="0" t="n"/>
      <c r="M63" s="0" t="n"/>
      <c r="N63" s="0" t="n"/>
      <c r="P63" s="46" t="n"/>
      <c r="Q63" s="46" t="n"/>
      <c r="R63" s="46" t="n"/>
    </row>
    <row r="64">
      <c r="E64" s="0" t="n"/>
      <c r="F64" s="0" t="n"/>
      <c r="G64" s="0" t="n"/>
      <c r="H64" s="0" t="n"/>
      <c r="I64" s="0" t="n"/>
      <c r="J64" s="0" t="n"/>
      <c r="K64" s="0" t="n"/>
      <c r="L64" s="0" t="n"/>
      <c r="M64" s="0" t="n"/>
      <c r="N64" s="0" t="n"/>
      <c r="P64" s="46" t="n"/>
      <c r="Q64" s="46" t="n"/>
      <c r="R64" s="46" t="n"/>
    </row>
    <row r="65">
      <c r="E65" s="0" t="n"/>
      <c r="F65" s="0" t="n"/>
      <c r="G65" s="0" t="n"/>
      <c r="H65" s="0" t="n"/>
      <c r="I65" s="0" t="n"/>
      <c r="J65" s="0" t="n"/>
      <c r="K65" s="0" t="n"/>
      <c r="L65" s="0" t="n"/>
      <c r="M65" s="0" t="n"/>
      <c r="N65" s="0" t="n"/>
      <c r="P65" s="46" t="n"/>
      <c r="Q65" s="46" t="n"/>
      <c r="R65" s="46" t="n"/>
    </row>
    <row r="66">
      <c r="E66" s="0" t="n"/>
      <c r="F66" s="0" t="n"/>
      <c r="G66" s="0" t="n"/>
      <c r="H66" s="0" t="n"/>
      <c r="I66" s="0" t="n"/>
      <c r="J66" s="0" t="n"/>
      <c r="K66" s="0" t="n"/>
      <c r="L66" s="0" t="n"/>
      <c r="M66" s="0" t="n"/>
      <c r="N66" s="0" t="n"/>
      <c r="P66" s="46" t="n"/>
      <c r="Q66" s="46" t="n"/>
      <c r="R66" s="46" t="n"/>
    </row>
    <row r="67">
      <c r="E67" s="0" t="n"/>
      <c r="F67" s="0" t="n"/>
      <c r="G67" s="0" t="n"/>
      <c r="H67" s="0" t="n"/>
      <c r="I67" s="0" t="n"/>
      <c r="J67" s="0" t="n"/>
      <c r="K67" s="0" t="n"/>
      <c r="L67" s="0" t="n"/>
      <c r="M67" s="0" t="n"/>
      <c r="N67" s="0" t="n"/>
      <c r="P67" s="46" t="n"/>
      <c r="Q67" s="46" t="n"/>
      <c r="R67" s="46" t="n"/>
    </row>
    <row r="68">
      <c r="E68" s="0" t="n"/>
      <c r="F68" s="0" t="n"/>
      <c r="G68" s="0" t="n"/>
      <c r="H68" s="0" t="n"/>
      <c r="I68" s="0" t="n"/>
      <c r="J68" s="0" t="n"/>
      <c r="K68" s="0" t="n"/>
      <c r="L68" s="0" t="n"/>
      <c r="M68" s="0" t="n"/>
      <c r="N68" s="0" t="n"/>
      <c r="P68" s="46" t="n"/>
      <c r="Q68" s="46" t="n"/>
      <c r="R68" s="46" t="n"/>
    </row>
    <row r="69">
      <c r="E69" s="0" t="n"/>
      <c r="F69" s="0" t="n"/>
      <c r="G69" s="0" t="n"/>
      <c r="H69" s="0" t="n"/>
      <c r="I69" s="0" t="n"/>
      <c r="J69" s="0" t="n"/>
      <c r="K69" s="0" t="n"/>
      <c r="L69" s="0" t="n"/>
      <c r="M69" s="0" t="n"/>
      <c r="N69" s="0" t="n"/>
      <c r="P69" s="46" t="n"/>
      <c r="Q69" s="46" t="n"/>
      <c r="R69" s="46" t="n"/>
    </row>
    <row r="70">
      <c r="E70" s="0" t="n"/>
      <c r="F70" s="0" t="n"/>
      <c r="G70" s="0" t="n"/>
      <c r="H70" s="0" t="n"/>
      <c r="I70" s="0" t="n"/>
      <c r="J70" s="0" t="n"/>
      <c r="K70" s="0" t="n"/>
      <c r="L70" s="0" t="n"/>
      <c r="M70" s="0" t="n"/>
      <c r="N70" s="0" t="n"/>
      <c r="P70" s="46" t="n"/>
      <c r="Q70" s="46" t="n"/>
      <c r="R70" s="46" t="n"/>
    </row>
    <row r="71">
      <c r="E71" s="0" t="n"/>
      <c r="F71" s="0" t="n"/>
      <c r="G71" s="0" t="n"/>
      <c r="H71" s="0" t="n"/>
      <c r="I71" s="0" t="n"/>
      <c r="J71" s="0" t="n"/>
      <c r="K71" s="0" t="n"/>
      <c r="L71" s="0" t="n"/>
      <c r="M71" s="0" t="n"/>
      <c r="N71" s="0" t="n"/>
      <c r="P71" s="46" t="n"/>
      <c r="Q71" s="46" t="n"/>
      <c r="R71" s="46" t="n"/>
    </row>
    <row r="72">
      <c r="E72" s="0" t="n"/>
      <c r="F72" s="0" t="n"/>
      <c r="G72" s="0" t="n"/>
      <c r="H72" s="0" t="n"/>
      <c r="I72" s="0" t="n"/>
      <c r="J72" s="0" t="n"/>
      <c r="K72" s="0" t="n"/>
      <c r="L72" s="0" t="n"/>
      <c r="M72" s="0" t="n"/>
      <c r="N72" s="0" t="n"/>
      <c r="P72" s="46" t="n"/>
      <c r="Q72" s="46" t="n"/>
      <c r="R72" s="46" t="n"/>
    </row>
    <row r="73">
      <c r="E73" s="0" t="n"/>
      <c r="F73" s="0" t="n"/>
      <c r="G73" s="0" t="n"/>
      <c r="H73" s="0" t="n"/>
      <c r="I73" s="0" t="n"/>
      <c r="J73" s="0" t="n"/>
      <c r="K73" s="0" t="n"/>
      <c r="L73" s="0" t="n"/>
      <c r="M73" s="0" t="n"/>
      <c r="N73" s="0" t="n"/>
      <c r="P73" s="46" t="n"/>
      <c r="Q73" s="46" t="n"/>
      <c r="R73" s="46" t="n"/>
    </row>
    <row r="74">
      <c r="E74" s="0" t="n"/>
      <c r="F74" s="0" t="n"/>
      <c r="G74" s="0" t="n"/>
      <c r="H74" s="0" t="n"/>
      <c r="I74" s="0" t="n"/>
      <c r="J74" s="0" t="n"/>
      <c r="K74" s="0" t="n"/>
      <c r="L74" s="0" t="n"/>
      <c r="M74" s="0" t="n"/>
      <c r="N74" s="0" t="n"/>
      <c r="P74" s="46" t="n"/>
      <c r="Q74" s="46" t="n"/>
      <c r="R74" s="46" t="n"/>
    </row>
    <row r="75">
      <c r="E75" s="0" t="n"/>
      <c r="F75" s="0" t="n"/>
      <c r="G75" s="0" t="n"/>
      <c r="H75" s="0" t="n"/>
      <c r="I75" s="0" t="n"/>
      <c r="J75" s="0" t="n"/>
      <c r="K75" s="0" t="n"/>
      <c r="L75" s="0" t="n"/>
      <c r="M75" s="0" t="n"/>
      <c r="N75" s="0" t="n"/>
      <c r="P75" s="46" t="n"/>
      <c r="Q75" s="46" t="n"/>
      <c r="R75" s="46" t="n"/>
    </row>
    <row r="76">
      <c r="E76" s="0" t="n"/>
      <c r="F76" s="0" t="n"/>
      <c r="G76" s="0" t="n"/>
      <c r="H76" s="0" t="n"/>
      <c r="I76" s="0" t="n"/>
      <c r="J76" s="0" t="n"/>
      <c r="K76" s="0" t="n"/>
      <c r="L76" s="0" t="n"/>
      <c r="M76" s="0" t="n"/>
      <c r="N76" s="0" t="n"/>
      <c r="P76" s="46" t="n"/>
      <c r="Q76" s="46" t="n"/>
      <c r="R76" s="46" t="n"/>
    </row>
    <row r="77">
      <c r="E77" s="0" t="n"/>
      <c r="F77" s="0" t="n"/>
      <c r="G77" s="0" t="n"/>
      <c r="H77" s="0" t="n"/>
      <c r="I77" s="0" t="n"/>
      <c r="J77" s="0" t="n"/>
      <c r="K77" s="0" t="n"/>
      <c r="L77" s="0" t="n"/>
      <c r="M77" s="0" t="n"/>
      <c r="N77" s="0" t="n"/>
      <c r="P77" s="46" t="n"/>
      <c r="Q77" s="46" t="n"/>
      <c r="R77" s="46" t="n"/>
    </row>
    <row r="78">
      <c r="E78" s="0" t="n"/>
      <c r="F78" s="0" t="n"/>
      <c r="G78" s="0" t="n"/>
      <c r="H78" s="0" t="n"/>
      <c r="I78" s="0" t="n"/>
      <c r="J78" s="0" t="n"/>
      <c r="K78" s="0" t="n"/>
      <c r="L78" s="0" t="n"/>
      <c r="M78" s="0" t="n"/>
      <c r="N78" s="0" t="n"/>
      <c r="P78" s="46" t="n"/>
      <c r="Q78" s="46" t="n"/>
      <c r="R78" s="46" t="n"/>
    </row>
    <row r="79">
      <c r="E79" s="0" t="n"/>
      <c r="F79" s="0" t="n"/>
      <c r="G79" s="0" t="n"/>
      <c r="H79" s="0" t="n"/>
      <c r="I79" s="0" t="n"/>
      <c r="J79" s="0" t="n"/>
      <c r="K79" s="0" t="n"/>
      <c r="L79" s="0" t="n"/>
      <c r="M79" s="0" t="n"/>
      <c r="N79" s="0" t="n"/>
      <c r="P79" s="46" t="n"/>
      <c r="Q79" s="46" t="n"/>
      <c r="R79" s="46" t="n"/>
    </row>
    <row r="80">
      <c r="E80" s="0" t="n"/>
      <c r="F80" s="0" t="n"/>
      <c r="G80" s="0" t="n"/>
      <c r="H80" s="0" t="n"/>
      <c r="I80" s="0" t="n"/>
      <c r="J80" s="0" t="n"/>
      <c r="K80" s="0" t="n"/>
      <c r="L80" s="0" t="n"/>
      <c r="M80" s="0" t="n"/>
      <c r="N80" s="0" t="n"/>
      <c r="P80" s="46" t="n"/>
      <c r="Q80" s="46" t="n"/>
      <c r="R80" s="46" t="n"/>
    </row>
    <row r="81">
      <c r="E81" s="0" t="n"/>
      <c r="F81" s="0" t="n"/>
      <c r="G81" s="0" t="n"/>
      <c r="H81" s="0" t="n"/>
      <c r="I81" s="0" t="n"/>
      <c r="J81" s="0" t="n"/>
      <c r="K81" s="0" t="n"/>
      <c r="L81" s="0" t="n"/>
      <c r="M81" s="0" t="n"/>
      <c r="N81" s="0" t="n"/>
      <c r="P81" s="46" t="n"/>
      <c r="Q81" s="46" t="n"/>
      <c r="R81" s="46" t="n"/>
    </row>
    <row r="82">
      <c r="E82" s="0" t="n"/>
      <c r="F82" s="0" t="n"/>
      <c r="G82" s="0" t="n"/>
      <c r="H82" s="0" t="n"/>
      <c r="I82" s="0" t="n"/>
      <c r="J82" s="0" t="n"/>
      <c r="K82" s="0" t="n"/>
      <c r="L82" s="0" t="n"/>
      <c r="M82" s="0" t="n"/>
      <c r="N82" s="0" t="n"/>
      <c r="P82" s="46" t="n"/>
      <c r="Q82" s="46" t="n"/>
      <c r="R82" s="46" t="n"/>
    </row>
    <row r="83">
      <c r="E83" s="0" t="n"/>
      <c r="F83" s="0" t="n"/>
      <c r="G83" s="0" t="n"/>
      <c r="H83" s="0" t="n"/>
      <c r="I83" s="0" t="n"/>
      <c r="J83" s="0" t="n"/>
      <c r="K83" s="0" t="n"/>
      <c r="L83" s="0" t="n"/>
      <c r="M83" s="0" t="n"/>
      <c r="N83" s="0" t="n"/>
      <c r="P83" s="46" t="n"/>
      <c r="Q83" s="46" t="n"/>
      <c r="R83" s="46" t="n"/>
    </row>
    <row r="84">
      <c r="E84" s="0" t="n"/>
      <c r="F84" s="0" t="n"/>
      <c r="G84" s="0" t="n"/>
      <c r="H84" s="0" t="n"/>
      <c r="I84" s="0" t="n"/>
      <c r="J84" s="0" t="n"/>
      <c r="K84" s="0" t="n"/>
      <c r="L84" s="0" t="n"/>
      <c r="M84" s="0" t="n"/>
      <c r="N84" s="0" t="n"/>
      <c r="P84" s="46" t="n"/>
      <c r="Q84" s="46" t="n"/>
      <c r="R84" s="46" t="n"/>
    </row>
    <row r="85">
      <c r="E85" s="0" t="n"/>
      <c r="F85" s="0" t="n"/>
      <c r="G85" s="0" t="n"/>
      <c r="H85" s="0" t="n"/>
      <c r="I85" s="0" t="n"/>
      <c r="J85" s="0" t="n"/>
      <c r="K85" s="0" t="n"/>
      <c r="L85" s="0" t="n"/>
      <c r="M85" s="0" t="n"/>
      <c r="N85" s="0" t="n"/>
      <c r="P85" s="46" t="n"/>
      <c r="Q85" s="46" t="n"/>
      <c r="R85" s="46" t="n"/>
    </row>
    <row r="86">
      <c r="E86" s="0" t="n"/>
      <c r="F86" s="0" t="n"/>
      <c r="G86" s="0" t="n"/>
      <c r="H86" s="0" t="n"/>
      <c r="I86" s="0" t="n"/>
      <c r="J86" s="0" t="n"/>
      <c r="K86" s="0" t="n"/>
      <c r="L86" s="0" t="n"/>
      <c r="M86" s="0" t="n"/>
      <c r="N86" s="0" t="n"/>
      <c r="P86" s="46" t="n"/>
      <c r="Q86" s="46" t="n"/>
      <c r="R86" s="46" t="n"/>
    </row>
    <row r="87">
      <c r="E87" s="0" t="n"/>
      <c r="F87" s="0" t="n"/>
      <c r="G87" s="0" t="n"/>
      <c r="H87" s="0" t="n"/>
      <c r="I87" s="0" t="n"/>
      <c r="J87" s="0" t="n"/>
      <c r="K87" s="0" t="n"/>
      <c r="L87" s="0" t="n"/>
      <c r="M87" s="0" t="n"/>
      <c r="N87" s="0" t="n"/>
      <c r="P87" s="46" t="n"/>
      <c r="Q87" s="46" t="n"/>
      <c r="R87" s="46" t="n"/>
    </row>
    <row r="88">
      <c r="E88" s="0" t="n"/>
      <c r="F88" s="0" t="n"/>
      <c r="G88" s="0" t="n"/>
      <c r="H88" s="0" t="n"/>
      <c r="I88" s="0" t="n"/>
      <c r="J88" s="0" t="n"/>
      <c r="K88" s="0" t="n"/>
      <c r="L88" s="0" t="n"/>
      <c r="M88" s="0" t="n"/>
      <c r="N88" s="0" t="n"/>
      <c r="P88" s="46" t="n"/>
      <c r="Q88" s="46" t="n"/>
      <c r="R88" s="46" t="n"/>
    </row>
    <row r="89">
      <c r="E89" s="0" t="n"/>
      <c r="F89" s="0" t="n"/>
      <c r="G89" s="0" t="n"/>
      <c r="H89" s="0" t="n"/>
      <c r="I89" s="0" t="n"/>
      <c r="J89" s="0" t="n"/>
      <c r="K89" s="0" t="n"/>
      <c r="L89" s="0" t="n"/>
      <c r="M89" s="0" t="n"/>
      <c r="N89" s="0" t="n"/>
      <c r="P89" s="46" t="n"/>
      <c r="Q89" s="46" t="n"/>
      <c r="R89" s="46" t="n"/>
    </row>
    <row r="90">
      <c r="E90" s="0" t="n"/>
      <c r="F90" s="0" t="n"/>
      <c r="G90" s="0" t="n"/>
      <c r="H90" s="0" t="n"/>
      <c r="I90" s="0" t="n"/>
      <c r="J90" s="0" t="n"/>
      <c r="K90" s="0" t="n"/>
      <c r="L90" s="0" t="n"/>
      <c r="M90" s="0" t="n"/>
      <c r="N90" s="0" t="n"/>
      <c r="P90" s="46" t="n"/>
      <c r="Q90" s="46" t="n"/>
      <c r="R90" s="46" t="n"/>
    </row>
    <row r="91">
      <c r="E91" s="0" t="n"/>
      <c r="F91" s="0" t="n"/>
      <c r="G91" s="0" t="n"/>
      <c r="H91" s="0" t="n"/>
      <c r="I91" s="0" t="n"/>
      <c r="J91" s="0" t="n"/>
      <c r="K91" s="0" t="n"/>
      <c r="L91" s="0" t="n"/>
      <c r="M91" s="0" t="n"/>
      <c r="N91" s="0" t="n"/>
      <c r="P91" s="46" t="n"/>
      <c r="Q91" s="46" t="n"/>
      <c r="R91" s="46" t="n"/>
    </row>
    <row r="92">
      <c r="E92" s="0" t="n"/>
      <c r="F92" s="0" t="n"/>
      <c r="G92" s="0" t="n"/>
      <c r="H92" s="0" t="n"/>
      <c r="I92" s="0" t="n"/>
      <c r="J92" s="0" t="n"/>
      <c r="K92" s="0" t="n"/>
      <c r="L92" s="0" t="n"/>
      <c r="M92" s="0" t="n"/>
      <c r="N92" s="0" t="n"/>
      <c r="P92" s="46" t="n"/>
      <c r="Q92" s="46" t="n"/>
      <c r="R92" s="46" t="n"/>
    </row>
    <row r="93"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P93" s="46" t="n"/>
      <c r="Q93" s="46" t="n"/>
      <c r="R93" s="46" t="n"/>
    </row>
    <row r="94"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P94" s="46" t="n"/>
      <c r="Q94" s="46" t="n"/>
      <c r="R94" s="46" t="n"/>
    </row>
    <row r="95"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P95" s="46" t="n"/>
      <c r="Q95" s="46" t="n"/>
      <c r="R95" s="46" t="n"/>
    </row>
    <row r="96"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P96" s="46" t="n"/>
      <c r="Q96" s="46" t="n"/>
      <c r="R96" s="46" t="n"/>
    </row>
    <row r="97"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P97" s="46" t="n"/>
      <c r="Q97" s="46" t="n"/>
      <c r="R97" s="46" t="n"/>
    </row>
    <row r="98"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P98" s="46" t="n"/>
      <c r="Q98" s="46" t="n"/>
      <c r="R98" s="46" t="n"/>
    </row>
    <row r="99"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P99" s="46" t="n"/>
      <c r="Q99" s="46" t="n"/>
      <c r="R99" s="46" t="n"/>
    </row>
    <row r="100" ht="18" customHeight="1" s="169"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P100" s="2" t="n"/>
      <c r="Q100" s="2" t="n"/>
      <c r="R100" s="2" t="n"/>
    </row>
    <row r="101" ht="18" customHeight="1" s="169"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P101" s="2" t="n"/>
      <c r="Q101" s="2" t="n"/>
      <c r="R101" s="2" t="n"/>
    </row>
    <row r="102" ht="18" customHeight="1" s="169"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P102" s="2" t="n"/>
      <c r="Q102" s="2" t="n"/>
      <c r="R102" s="2" t="n"/>
    </row>
    <row r="103" ht="18" customHeight="1" s="169"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P103" s="2" t="n"/>
      <c r="Q103" s="2" t="n"/>
      <c r="R103" s="2" t="n"/>
    </row>
    <row r="104" ht="18" customHeight="1" s="169"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P104" s="2" t="n"/>
      <c r="Q104" s="2" t="n"/>
      <c r="R104" s="2" t="n"/>
    </row>
    <row r="105" ht="18" customHeight="1" s="169"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P105" s="2" t="n"/>
      <c r="Q105" s="2" t="n"/>
      <c r="R105" s="2" t="n"/>
    </row>
    <row r="106" ht="18" customHeight="1" s="169"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P106" s="2" t="n"/>
      <c r="Q106" s="2" t="n"/>
      <c r="R106" s="2" t="n"/>
    </row>
    <row r="107" ht="18" customHeight="1" s="169"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P107" s="2" t="n"/>
      <c r="Q107" s="2" t="n"/>
      <c r="R107" s="2" t="n"/>
    </row>
    <row r="108" ht="18" customHeight="1" s="169"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P108" s="2" t="n"/>
      <c r="Q108" s="2" t="n"/>
      <c r="R108" s="2" t="n"/>
    </row>
    <row r="109" ht="18" customHeight="1" s="169"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P109" s="2" t="n"/>
      <c r="Q109" s="2" t="n"/>
      <c r="R109" s="2" t="n"/>
    </row>
    <row r="110" ht="18" customHeight="1" s="169"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P110" s="2" t="n"/>
      <c r="Q110" s="2" t="n"/>
      <c r="R110" s="2" t="n"/>
    </row>
    <row r="111" ht="18" customHeight="1" s="169"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P111" s="2" t="n"/>
      <c r="Q111" s="2" t="n"/>
      <c r="R111" s="2" t="n"/>
    </row>
    <row r="112" ht="18" customHeight="1" s="169"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P112" s="2" t="n"/>
      <c r="Q112" s="2" t="n"/>
      <c r="R112" s="2" t="n"/>
    </row>
    <row r="113" ht="18" customHeight="1" s="169"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P113" s="2" t="n"/>
      <c r="Q113" s="2" t="n"/>
      <c r="R113" s="2" t="n"/>
    </row>
    <row r="114" ht="18" customHeight="1" s="169"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P114" s="2" t="n"/>
      <c r="Q114" s="2" t="n"/>
      <c r="R114" s="2" t="n"/>
    </row>
    <row r="115" ht="18" customHeight="1" s="169"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P115" s="2" t="n"/>
      <c r="Q115" s="2" t="n"/>
      <c r="R115" s="2" t="n"/>
    </row>
    <row r="116" ht="18" customHeight="1" s="169"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P116" s="2" t="n"/>
      <c r="Q116" s="2" t="n"/>
      <c r="R116" s="2" t="n"/>
    </row>
    <row r="117" ht="18" customHeight="1" s="169"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P117" s="2" t="n"/>
      <c r="Q117" s="2" t="n"/>
      <c r="R117" s="2" t="n"/>
    </row>
    <row r="118" ht="18" customHeight="1" s="169"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P118" s="2" t="n"/>
      <c r="Q118" s="2" t="n"/>
      <c r="R118" s="2" t="n"/>
    </row>
    <row r="119" ht="18" customHeight="1" s="169"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P119" s="2" t="n"/>
      <c r="Q119" s="2" t="n"/>
      <c r="R119" s="2" t="n"/>
    </row>
    <row r="120" ht="18" customHeight="1" s="169"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P120" s="2" t="n"/>
      <c r="Q120" s="2" t="n"/>
      <c r="R120" s="2" t="n"/>
    </row>
    <row r="121" ht="18" customHeight="1" s="169"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P121" s="2" t="n"/>
      <c r="Q121" s="2" t="n"/>
      <c r="R121" s="2" t="n"/>
    </row>
    <row r="122" ht="18" customHeight="1" s="169"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P122" s="2" t="n"/>
      <c r="Q122" s="2" t="n"/>
      <c r="R122" s="2" t="n"/>
    </row>
    <row r="123" ht="18" customHeight="1" s="169"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P123" s="2" t="n"/>
      <c r="Q123" s="2" t="n"/>
      <c r="R123" s="2" t="n"/>
    </row>
    <row r="124" ht="18" customHeight="1" s="169"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P124" s="2" t="n"/>
      <c r="Q124" s="2" t="n"/>
      <c r="R124" s="2" t="n"/>
    </row>
    <row r="125" ht="18" customHeight="1" s="169"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P125" s="2" t="n"/>
      <c r="Q125" s="2" t="n"/>
      <c r="R125" s="2" t="n"/>
    </row>
    <row r="126" ht="18" customHeight="1" s="169">
      <c r="F126" s="99" t="n"/>
      <c r="G126" s="99" t="n"/>
      <c r="H126" s="99" t="n"/>
      <c r="I126" s="99" t="n"/>
      <c r="J126" s="46" t="n"/>
      <c r="K126" s="46" t="n"/>
      <c r="L126" s="46" t="n"/>
      <c r="M126" s="46" t="n"/>
      <c r="N126" s="46" t="n"/>
      <c r="P126" s="2" t="n"/>
      <c r="Q126" s="2" t="n"/>
      <c r="R126" s="2" t="n"/>
    </row>
    <row r="127" ht="18" customHeight="1" s="169">
      <c r="F127" s="99" t="n"/>
      <c r="G127" s="99" t="n"/>
      <c r="H127" s="99" t="n"/>
      <c r="I127" s="99" t="n"/>
      <c r="J127" s="46" t="n"/>
      <c r="K127" s="46" t="n"/>
      <c r="L127" s="46" t="n"/>
      <c r="M127" s="46" t="n"/>
      <c r="N127" s="46" t="n"/>
      <c r="P127" s="2" t="n"/>
      <c r="Q127" s="2" t="n"/>
      <c r="R127" s="2" t="n"/>
    </row>
    <row r="128" ht="18" customHeight="1" s="169">
      <c r="F128" s="99" t="n"/>
      <c r="G128" s="99" t="n"/>
      <c r="H128" s="99" t="n"/>
      <c r="I128" s="99" t="n"/>
      <c r="J128" s="46" t="n"/>
      <c r="K128" s="46" t="n"/>
      <c r="L128" s="46" t="n"/>
      <c r="M128" s="46" t="n"/>
      <c r="N128" s="46" t="n"/>
      <c r="P128" s="2" t="n"/>
      <c r="Q128" s="2" t="n"/>
      <c r="R128" s="2" t="n"/>
    </row>
    <row r="129" ht="18" customHeight="1" s="169">
      <c r="F129" s="99" t="n"/>
      <c r="G129" s="99" t="n"/>
      <c r="H129" s="99" t="n"/>
      <c r="I129" s="99" t="n"/>
      <c r="K129" s="46" t="n"/>
      <c r="L129" s="46" t="n"/>
      <c r="M129" s="46" t="n"/>
      <c r="N129" s="46" t="n"/>
      <c r="P129" s="2" t="n"/>
      <c r="Q129" s="2" t="n"/>
      <c r="R129" s="2" t="n"/>
    </row>
    <row r="130" ht="18" customHeight="1" s="169">
      <c r="F130" s="99" t="n"/>
      <c r="G130" s="99" t="n"/>
      <c r="H130" s="99" t="n"/>
      <c r="I130" s="99" t="n"/>
      <c r="K130" s="46" t="n"/>
      <c r="L130" s="46" t="n"/>
      <c r="M130" s="46" t="n"/>
      <c r="N130" s="46" t="n"/>
      <c r="P130" s="2" t="n"/>
      <c r="Q130" s="2" t="n"/>
      <c r="R130" s="2" t="n"/>
    </row>
    <row r="131" ht="18" customHeight="1" s="169">
      <c r="F131" s="99" t="n"/>
      <c r="G131" s="99" t="n"/>
      <c r="H131" s="99" t="n"/>
      <c r="I131" s="99" t="n"/>
      <c r="K131" s="46" t="n"/>
      <c r="L131" s="46" t="n"/>
      <c r="M131" s="46" t="n"/>
      <c r="N131" s="46" t="n"/>
      <c r="P131" s="2" t="n"/>
      <c r="Q131" s="2" t="n"/>
      <c r="R131" s="2" t="n"/>
    </row>
    <row r="132" ht="18" customHeight="1" s="169">
      <c r="F132" s="99" t="n"/>
      <c r="G132" s="99" t="n"/>
      <c r="H132" s="99" t="n"/>
      <c r="I132" s="99" t="n"/>
      <c r="K132" s="46" t="n"/>
      <c r="L132" s="100" t="n"/>
      <c r="M132" s="46" t="n"/>
      <c r="N132" s="46" t="n"/>
      <c r="P132" s="2" t="n"/>
      <c r="Q132" s="2" t="n"/>
      <c r="R132" s="2" t="n"/>
    </row>
    <row r="133" ht="18" customHeight="1" s="169">
      <c r="F133" s="99" t="n"/>
      <c r="G133" s="99" t="n"/>
      <c r="H133" s="99" t="n"/>
      <c r="I133" s="99" t="n"/>
      <c r="K133" s="46" t="n"/>
      <c r="L133" s="100" t="n"/>
      <c r="M133" s="46" t="n"/>
      <c r="N133" s="46" t="n"/>
      <c r="P133" s="2" t="n"/>
      <c r="Q133" s="2" t="n"/>
      <c r="R133" s="2" t="n"/>
    </row>
    <row r="134" ht="18" customHeight="1" s="169">
      <c r="F134" s="99" t="n"/>
      <c r="G134" s="99" t="n"/>
      <c r="H134" s="99" t="n"/>
      <c r="I134" s="99" t="n"/>
      <c r="K134" s="46" t="n"/>
      <c r="L134" s="100" t="n"/>
      <c r="M134" s="46" t="n"/>
      <c r="N134" s="46" t="n"/>
      <c r="P134" s="2" t="n"/>
      <c r="Q134" s="2" t="n"/>
      <c r="R134" s="2" t="n"/>
    </row>
    <row r="135" ht="18" customHeight="1" s="169">
      <c r="F135" s="99" t="n"/>
      <c r="G135" s="99" t="n"/>
      <c r="H135" s="99" t="n"/>
      <c r="I135" s="99" t="n"/>
      <c r="K135" s="46" t="n"/>
      <c r="L135" s="100" t="n"/>
      <c r="M135" s="46" t="n"/>
      <c r="N135" s="46" t="n"/>
      <c r="P135" s="2" t="n"/>
      <c r="Q135" s="2" t="n"/>
      <c r="R135" s="2" t="n"/>
    </row>
    <row r="136" ht="18" customHeight="1" s="169">
      <c r="F136" s="99" t="n"/>
      <c r="G136" s="99" t="n"/>
      <c r="H136" s="99" t="n"/>
      <c r="I136" s="99" t="n"/>
      <c r="K136" s="46" t="n"/>
      <c r="L136" s="100" t="n"/>
      <c r="M136" s="46" t="n"/>
      <c r="N136" s="46" t="n"/>
      <c r="P136" s="2" t="n"/>
      <c r="Q136" s="2" t="n"/>
      <c r="R136" s="2" t="n"/>
    </row>
    <row r="137" ht="18" customHeight="1" s="169">
      <c r="F137" s="99" t="n"/>
      <c r="G137" s="99" t="n"/>
      <c r="H137" s="99" t="n"/>
      <c r="I137" s="99" t="n"/>
      <c r="K137" s="46" t="n"/>
      <c r="L137" s="100" t="n"/>
      <c r="M137" s="46" t="n"/>
      <c r="N137" s="46" t="n"/>
      <c r="P137" s="2" t="n"/>
      <c r="Q137" s="2" t="n"/>
      <c r="R137" s="2" t="n"/>
    </row>
    <row r="138" ht="18" customHeight="1" s="169">
      <c r="F138" s="99" t="n"/>
      <c r="G138" s="99" t="n"/>
      <c r="H138" s="99" t="n"/>
      <c r="I138" s="99" t="n"/>
      <c r="K138" s="46" t="n"/>
      <c r="L138" s="100" t="n"/>
      <c r="M138" s="46" t="n"/>
      <c r="N138" s="46" t="n"/>
      <c r="P138" s="2" t="n"/>
      <c r="Q138" s="2" t="n"/>
      <c r="R138" s="2" t="n"/>
    </row>
    <row r="139" ht="18" customHeight="1" s="169">
      <c r="K139" s="46" t="n"/>
      <c r="L139" s="100" t="n"/>
      <c r="M139" s="46" t="n"/>
      <c r="N139" s="46" t="n"/>
      <c r="P139" s="2" t="n"/>
      <c r="Q139" s="2" t="n"/>
      <c r="R139" s="2" t="n"/>
    </row>
    <row r="140" ht="18" customHeight="1" s="169">
      <c r="K140" s="46" t="n"/>
      <c r="L140" s="100" t="n"/>
      <c r="M140" s="46" t="n"/>
      <c r="N140" s="46" t="n"/>
      <c r="P140" s="2" t="n"/>
      <c r="Q140" s="2" t="n"/>
      <c r="R140" s="2" t="n"/>
    </row>
    <row r="141" ht="18" customHeight="1" s="169">
      <c r="K141" s="46" t="n"/>
      <c r="L141" s="100" t="n"/>
      <c r="M141" s="46" t="n"/>
      <c r="N141" s="46" t="n"/>
      <c r="P141" s="2" t="n"/>
      <c r="Q141" s="2" t="n"/>
      <c r="R141" s="2" t="n"/>
    </row>
    <row r="142" ht="18" customHeight="1" s="169">
      <c r="K142" s="46" t="n"/>
      <c r="L142" s="100" t="n"/>
      <c r="M142" s="46" t="n"/>
      <c r="N142" s="46" t="n"/>
      <c r="P142" s="2" t="n"/>
      <c r="Q142" s="2" t="n"/>
      <c r="R142" s="2" t="n"/>
    </row>
    <row r="143" ht="18" customHeight="1" s="169">
      <c r="K143" s="46" t="n"/>
      <c r="L143" s="100" t="n"/>
      <c r="M143" s="46" t="n"/>
      <c r="N143" s="46" t="n"/>
      <c r="P143" s="2" t="n"/>
      <c r="Q143" s="2" t="n"/>
      <c r="R143" s="2" t="n"/>
    </row>
    <row r="144" ht="18" customHeight="1" s="169">
      <c r="K144" s="46" t="n"/>
      <c r="L144" s="100" t="n"/>
      <c r="M144" s="46" t="n"/>
      <c r="N144" s="46" t="n"/>
      <c r="P144" s="2" t="n"/>
      <c r="Q144" s="2" t="n"/>
      <c r="R144" s="2" t="n"/>
    </row>
    <row r="145" ht="18" customHeight="1" s="169">
      <c r="K145" s="46" t="n"/>
      <c r="L145" s="100" t="n"/>
      <c r="M145" s="46" t="n"/>
      <c r="N145" s="46" t="n"/>
      <c r="P145" s="2" t="n"/>
      <c r="Q145" s="2" t="n"/>
      <c r="R145" s="2" t="n"/>
    </row>
    <row r="146" ht="18" customHeight="1" s="169">
      <c r="K146" s="46" t="n"/>
      <c r="L146" s="100" t="n"/>
      <c r="M146" s="46" t="n"/>
      <c r="N146" s="46" t="n"/>
      <c r="P146" s="2" t="n"/>
      <c r="Q146" s="2" t="n"/>
      <c r="R146" s="2" t="n"/>
    </row>
    <row r="147" ht="18" customHeight="1" s="169">
      <c r="K147" s="46" t="n"/>
      <c r="L147" s="100" t="n"/>
      <c r="M147" s="46" t="n"/>
      <c r="N147" s="46" t="n"/>
      <c r="P147" s="2" t="n"/>
      <c r="Q147" s="2" t="n"/>
      <c r="R147" s="2" t="n"/>
    </row>
    <row r="148" ht="18" customHeight="1" s="169">
      <c r="K148" s="46" t="n"/>
      <c r="L148" s="100" t="n"/>
      <c r="M148" s="46" t="n"/>
      <c r="N148" s="46" t="n"/>
      <c r="P148" s="2" t="n"/>
      <c r="Q148" s="2" t="n"/>
      <c r="R148" s="2" t="n"/>
    </row>
    <row r="149" ht="18" customHeight="1" s="169">
      <c r="K149" s="46" t="n"/>
      <c r="L149" s="100" t="n"/>
      <c r="M149" s="46" t="n"/>
      <c r="N149" s="46" t="n"/>
      <c r="P149" s="2" t="n"/>
      <c r="Q149" s="2" t="n"/>
      <c r="R149" s="2" t="n"/>
    </row>
    <row r="150" ht="18" customHeight="1" s="169">
      <c r="K150" s="46" t="n"/>
      <c r="L150" s="100" t="n"/>
      <c r="M150" s="46" t="n"/>
      <c r="N150" s="46" t="n"/>
      <c r="P150" s="2" t="n"/>
      <c r="Q150" s="2" t="n"/>
      <c r="R150" s="2" t="n"/>
    </row>
    <row r="151" ht="18" customHeight="1" s="169">
      <c r="K151" s="46" t="n"/>
      <c r="L151" s="100" t="n"/>
      <c r="M151" s="46" t="n"/>
      <c r="N151" s="46" t="n"/>
      <c r="P151" s="2" t="n"/>
      <c r="Q151" s="2" t="n"/>
      <c r="R151" s="2" t="n"/>
    </row>
    <row r="152">
      <c r="K152" s="46" t="n"/>
      <c r="L152" s="100" t="n"/>
      <c r="M152" s="46" t="n"/>
      <c r="N152" s="46" t="n"/>
    </row>
    <row r="153">
      <c r="K153" s="46" t="n"/>
      <c r="L153" s="100" t="n"/>
      <c r="M153" s="46" t="n"/>
      <c r="N153" s="46" t="n"/>
    </row>
    <row r="154">
      <c r="K154" s="46" t="n"/>
      <c r="L154" s="100" t="n"/>
      <c r="M154" s="46" t="n"/>
      <c r="N154" s="46" t="n"/>
    </row>
    <row r="155">
      <c r="K155" s="46" t="n"/>
      <c r="L155" s="100" t="n"/>
      <c r="M155" s="46" t="n"/>
      <c r="N155" s="46" t="n"/>
    </row>
    <row r="156">
      <c r="K156" s="46" t="n"/>
      <c r="L156" s="100" t="n"/>
      <c r="M156" s="46" t="n"/>
      <c r="N156" s="46" t="n"/>
    </row>
    <row r="157">
      <c r="K157" s="46" t="n"/>
      <c r="L157" s="100" t="n"/>
      <c r="M157" s="46" t="n"/>
      <c r="N157" s="46" t="n"/>
    </row>
    <row r="158">
      <c r="K158" s="46" t="n"/>
      <c r="L158" s="100" t="n"/>
      <c r="M158" s="46" t="n"/>
      <c r="N158" s="46" t="n"/>
    </row>
    <row r="159">
      <c r="K159" s="46" t="n"/>
      <c r="L159" s="100" t="n"/>
      <c r="M159" s="46" t="n"/>
      <c r="N159" s="46" t="n"/>
    </row>
  </sheetData>
  <autoFilter ref="A4:L42">
    <filterColumn colId="1" hiddenButton="0" showButton="0"/>
    <filterColumn colId="2" hiddenButton="0" showButton="0"/>
  </autoFilter>
  <mergeCells count="35">
    <mergeCell ref="I41:K41"/>
    <mergeCell ref="C34:D34"/>
    <mergeCell ref="B40:D41"/>
    <mergeCell ref="C30:D30"/>
    <mergeCell ref="C24:D24"/>
    <mergeCell ref="C33:D33"/>
    <mergeCell ref="B21:B33"/>
    <mergeCell ref="C11:C13"/>
    <mergeCell ref="C26:D26"/>
    <mergeCell ref="B5:B20"/>
    <mergeCell ref="C35:D35"/>
    <mergeCell ref="C20:D20"/>
    <mergeCell ref="C29:D29"/>
    <mergeCell ref="C25:D25"/>
    <mergeCell ref="C22:D22"/>
    <mergeCell ref="B3:D4"/>
    <mergeCell ref="C31:D31"/>
    <mergeCell ref="G3:H3"/>
    <mergeCell ref="C21:D21"/>
    <mergeCell ref="C27:D27"/>
    <mergeCell ref="C14:C16"/>
    <mergeCell ref="C36:D36"/>
    <mergeCell ref="B34:B39"/>
    <mergeCell ref="C23:D23"/>
    <mergeCell ref="C39:D39"/>
    <mergeCell ref="C32:D32"/>
    <mergeCell ref="C38:D38"/>
    <mergeCell ref="I3:L3"/>
    <mergeCell ref="E41:F41"/>
    <mergeCell ref="A1:L1"/>
    <mergeCell ref="G41:H41"/>
    <mergeCell ref="C37:D37"/>
    <mergeCell ref="C28:D28"/>
    <mergeCell ref="C6:C9"/>
    <mergeCell ref="E3:F3"/>
  </mergeCells>
  <printOptions horizontalCentered="1" verticalCentered="1"/>
  <pageMargins left="0.1574803149606299" right="0.2362204724409449" top="0.3543307086614174" bottom="0.2362204724409449" header="0.2362204724409449" footer="0.1574803149606299"/>
  <pageSetup orientation="portrait" paperSize="9" scale="5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9"/>
  <sheetViews>
    <sheetView workbookViewId="0">
      <selection activeCell="C1" sqref="C1:D1048576"/>
    </sheetView>
  </sheetViews>
  <sheetFormatPr baseColWidth="8" defaultRowHeight="10.8"/>
  <cols>
    <col width="13.875" bestFit="1" customWidth="1" style="169" min="1" max="1"/>
    <col width="8.125" bestFit="1" customWidth="1" style="169" min="2" max="2"/>
    <col width="22.75" bestFit="1" customWidth="1" style="169" min="3" max="3"/>
    <col width="12.375" bestFit="1" customWidth="1" style="169" min="4" max="4"/>
    <col width="13.875" bestFit="1" customWidth="1" style="169" min="5" max="5"/>
    <col width="16.125" bestFit="1" customWidth="1" style="169" min="6" max="6"/>
    <col width="11.625" bestFit="1" customWidth="1" style="169" min="7" max="8"/>
    <col width="12.375" bestFit="1" customWidth="1" style="169" min="9" max="9"/>
    <col width="15" bestFit="1" customWidth="1" style="169" min="10" max="10"/>
  </cols>
  <sheetData>
    <row r="1">
      <c r="A1" s="0" t="inlineStr">
        <is>
          <t>성명</t>
        </is>
      </c>
      <c r="B1" s="0" t="inlineStr">
        <is>
          <t>사번</t>
        </is>
      </c>
      <c r="C1" s="0" t="inlineStr">
        <is>
          <t>부서</t>
        </is>
      </c>
      <c r="D1" s="0" t="inlineStr">
        <is>
          <t>부서코드</t>
        </is>
      </c>
      <c r="E1" s="0" t="inlineStr">
        <is>
          <t>직책/호</t>
        </is>
      </c>
      <c r="F1" s="0" t="inlineStr">
        <is>
          <t>주민번호</t>
        </is>
      </c>
      <c r="G1" s="0" t="inlineStr">
        <is>
          <t>입사일</t>
        </is>
      </c>
      <c r="H1" s="0" t="inlineStr">
        <is>
          <t>퇴사일</t>
        </is>
      </c>
      <c r="I1" s="0" t="inlineStr">
        <is>
          <t>사원구분</t>
        </is>
      </c>
      <c r="J1" s="0" t="inlineStr">
        <is>
          <t>핸드폰번호</t>
        </is>
      </c>
    </row>
    <row r="2">
      <c r="A2" s="0" t="inlineStr">
        <is>
          <t>KIM JINKYUNG</t>
        </is>
      </c>
      <c r="B2" s="0" t="n">
        <v>347</v>
      </c>
      <c r="C2" s="0" t="inlineStr">
        <is>
          <t>임원-광주점</t>
        </is>
      </c>
      <c r="D2" s="0" t="inlineStr">
        <is>
          <t>AR1003</t>
        </is>
      </c>
      <c r="E2" s="0" t="inlineStr">
        <is>
          <t>부사장1/006</t>
        </is>
      </c>
      <c r="F2" s="0" t="inlineStr">
        <is>
          <t>570614-6100179</t>
        </is>
      </c>
      <c r="G2" s="111" t="n">
        <v>42552</v>
      </c>
      <c r="H2" s="111" t="n"/>
      <c r="I2" s="0" t="inlineStr">
        <is>
          <t>호봉직</t>
        </is>
      </c>
      <c r="J2" s="0" t="inlineStr">
        <is>
          <t>010-8464-0027</t>
        </is>
      </c>
    </row>
    <row r="3">
      <c r="A3" s="0" t="inlineStr">
        <is>
          <t>KIM HYUNSIK</t>
        </is>
      </c>
      <c r="B3" s="0" t="n">
        <v>323</v>
      </c>
      <c r="C3" s="0" t="inlineStr">
        <is>
          <t>임원-일산점</t>
        </is>
      </c>
      <c r="D3" s="0" t="inlineStr">
        <is>
          <t>AR1005</t>
        </is>
      </c>
      <c r="E3" s="0" t="inlineStr">
        <is>
          <t>대표이사/009</t>
        </is>
      </c>
      <c r="F3" s="0" t="inlineStr">
        <is>
          <t>861023-5100573</t>
        </is>
      </c>
      <c r="G3" s="111" t="n">
        <v>42416</v>
      </c>
      <c r="H3" s="111" t="n"/>
      <c r="I3" s="0" t="inlineStr">
        <is>
          <t>호봉직</t>
        </is>
      </c>
      <c r="J3" s="0" t="inlineStr">
        <is>
          <t>010-5036-0027</t>
        </is>
      </c>
    </row>
    <row r="4">
      <c r="A4" s="0" t="inlineStr">
        <is>
          <t>김창수</t>
        </is>
      </c>
      <c r="B4" s="0" t="n">
        <v>98</v>
      </c>
      <c r="C4" s="0" t="inlineStr">
        <is>
          <t>임원-양재점</t>
        </is>
      </c>
      <c r="D4" s="0" t="inlineStr">
        <is>
          <t>AR1006</t>
        </is>
      </c>
      <c r="E4" s="0" t="inlineStr">
        <is>
          <t>회장/001</t>
        </is>
      </c>
      <c r="F4" s="0" t="inlineStr">
        <is>
          <t>571229-1019611</t>
        </is>
      </c>
      <c r="G4" s="111" t="n">
        <v>38718</v>
      </c>
      <c r="H4" s="111" t="n"/>
      <c r="I4" s="0" t="inlineStr">
        <is>
          <t>호봉직</t>
        </is>
      </c>
      <c r="J4" s="0" t="inlineStr">
        <is>
          <t>010-5273-0027</t>
        </is>
      </c>
    </row>
    <row r="5">
      <c r="A5" s="0" t="inlineStr">
        <is>
          <t>KIM KYUNGEUN</t>
        </is>
      </c>
      <c r="B5" s="0" t="n">
        <v>117</v>
      </c>
      <c r="C5" s="0" t="inlineStr">
        <is>
          <t>임원-양재점</t>
        </is>
      </c>
      <c r="D5" s="0" t="inlineStr">
        <is>
          <t>AR1006</t>
        </is>
      </c>
      <c r="E5" s="0" t="inlineStr">
        <is>
          <t>부사장2/006</t>
        </is>
      </c>
      <c r="F5" s="0" t="inlineStr">
        <is>
          <t>831023-6100010</t>
        </is>
      </c>
      <c r="G5" s="111" t="n">
        <v>39448</v>
      </c>
      <c r="H5" s="111" t="n"/>
      <c r="I5" s="0" t="inlineStr">
        <is>
          <t>호봉직</t>
        </is>
      </c>
      <c r="J5" s="0" t="inlineStr">
        <is>
          <t>010-9197-0027</t>
        </is>
      </c>
    </row>
    <row r="6">
      <c r="A6" s="0" t="inlineStr">
        <is>
          <t>한혜주</t>
        </is>
      </c>
      <c r="B6" s="0" t="n">
        <v>60</v>
      </c>
      <c r="C6" s="0" t="inlineStr">
        <is>
          <t>RND</t>
        </is>
      </c>
      <c r="D6" s="0" t="inlineStr">
        <is>
          <t>AR1101</t>
        </is>
      </c>
      <c r="E6" s="0" t="inlineStr">
        <is>
          <t>수석</t>
        </is>
      </c>
      <c r="F6" s="0" t="inlineStr">
        <is>
          <t>750821-2030219</t>
        </is>
      </c>
      <c r="G6" s="111" t="n">
        <v>37473</v>
      </c>
      <c r="H6" s="111" t="n"/>
      <c r="I6" s="0" t="inlineStr">
        <is>
          <t>연봉직</t>
        </is>
      </c>
      <c r="J6" s="0" t="inlineStr">
        <is>
          <t>010-4289-0444</t>
        </is>
      </c>
    </row>
    <row r="7">
      <c r="A7" s="0" t="inlineStr">
        <is>
          <t>박민희</t>
        </is>
      </c>
      <c r="B7" s="0" t="n">
        <v>3568</v>
      </c>
      <c r="C7" s="0" t="inlineStr">
        <is>
          <t>RND_VMD팀</t>
        </is>
      </c>
      <c r="D7" s="0" t="inlineStr">
        <is>
          <t>AR1117</t>
        </is>
      </c>
      <c r="E7" s="0" t="inlineStr">
        <is>
          <t>선임</t>
        </is>
      </c>
      <c r="F7" s="0" t="inlineStr">
        <is>
          <t>890812-2251212</t>
        </is>
      </c>
      <c r="G7" s="111" t="n">
        <v>44207</v>
      </c>
      <c r="H7" s="111" t="n"/>
      <c r="I7" s="0" t="inlineStr">
        <is>
          <t>연봉직</t>
        </is>
      </c>
      <c r="J7" s="0" t="inlineStr">
        <is>
          <t>010-4789-7745</t>
        </is>
      </c>
    </row>
    <row r="8">
      <c r="A8" s="0" t="inlineStr">
        <is>
          <t>박지영</t>
        </is>
      </c>
      <c r="B8" s="0" t="n">
        <v>348</v>
      </c>
      <c r="C8" s="0" t="inlineStr">
        <is>
          <t>RND_1팀</t>
        </is>
      </c>
      <c r="D8" s="0" t="inlineStr">
        <is>
          <t>AR1121</t>
        </is>
      </c>
      <c r="E8" s="0" t="inlineStr">
        <is>
          <t>책임</t>
        </is>
      </c>
      <c r="F8" s="0" t="inlineStr">
        <is>
          <t>810722-2067441</t>
        </is>
      </c>
      <c r="G8" s="111" t="n">
        <v>42660</v>
      </c>
      <c r="H8" s="111" t="n"/>
      <c r="I8" s="0" t="inlineStr">
        <is>
          <t>연봉직</t>
        </is>
      </c>
      <c r="J8" s="0" t="inlineStr">
        <is>
          <t>010-8938-6651</t>
        </is>
      </c>
    </row>
    <row r="9">
      <c r="A9" s="0" t="inlineStr">
        <is>
          <t>황지영</t>
        </is>
      </c>
      <c r="B9" s="0" t="n">
        <v>3643</v>
      </c>
      <c r="C9" s="0" t="inlineStr">
        <is>
          <t>RND_1팀</t>
        </is>
      </c>
      <c r="D9" s="0" t="inlineStr">
        <is>
          <t>AR1121</t>
        </is>
      </c>
      <c r="E9" s="0" t="inlineStr">
        <is>
          <t>선임</t>
        </is>
      </c>
      <c r="F9" s="0" t="inlineStr">
        <is>
          <t>920823-2006210</t>
        </is>
      </c>
      <c r="G9" s="111" t="n">
        <v>44866</v>
      </c>
      <c r="H9" s="111" t="n"/>
      <c r="I9" s="0" t="inlineStr">
        <is>
          <t>연봉직</t>
        </is>
      </c>
      <c r="J9" s="0" t="inlineStr">
        <is>
          <t>010-5701-7808</t>
        </is>
      </c>
    </row>
    <row r="10">
      <c r="A10" s="0" t="inlineStr">
        <is>
          <t>이슬비</t>
        </is>
      </c>
      <c r="B10" s="0" t="n">
        <v>3582</v>
      </c>
      <c r="C10" s="0" t="inlineStr">
        <is>
          <t>RND_1팀</t>
        </is>
      </c>
      <c r="D10" s="0" t="inlineStr">
        <is>
          <t>AR1121</t>
        </is>
      </c>
      <c r="E10" s="0" t="inlineStr">
        <is>
          <t>선임</t>
        </is>
      </c>
      <c r="F10" s="0" t="inlineStr">
        <is>
          <t>870325-2248016</t>
        </is>
      </c>
      <c r="G10" s="111" t="n">
        <v>44348</v>
      </c>
      <c r="H10" s="111" t="n"/>
      <c r="I10" s="0" t="inlineStr">
        <is>
          <t>연봉직</t>
        </is>
      </c>
      <c r="J10" s="0" t="inlineStr">
        <is>
          <t>010-2513-7720</t>
        </is>
      </c>
    </row>
    <row r="11">
      <c r="A11" s="0" t="inlineStr">
        <is>
          <t>박정자</t>
        </is>
      </c>
      <c r="B11" s="0" t="n">
        <v>434</v>
      </c>
      <c r="C11" s="0" t="inlineStr">
        <is>
          <t>RND_2팀</t>
        </is>
      </c>
      <c r="D11" s="0" t="inlineStr">
        <is>
          <t>AR1122</t>
        </is>
      </c>
      <c r="E11" s="0" t="inlineStr">
        <is>
          <t>책임</t>
        </is>
      </c>
      <c r="F11" s="0" t="inlineStr">
        <is>
          <t>791012-2070116</t>
        </is>
      </c>
      <c r="G11" s="111" t="n">
        <v>43346</v>
      </c>
      <c r="H11" s="111" t="n"/>
      <c r="I11" s="0" t="inlineStr">
        <is>
          <t>연봉직</t>
        </is>
      </c>
      <c r="J11" s="0" t="inlineStr">
        <is>
          <t>010-5068-7580</t>
        </is>
      </c>
    </row>
    <row r="12">
      <c r="A12" s="0" t="inlineStr">
        <is>
          <t>한아름</t>
        </is>
      </c>
      <c r="B12" s="0" t="n">
        <v>3642</v>
      </c>
      <c r="C12" s="0" t="inlineStr">
        <is>
          <t>RND_2팀</t>
        </is>
      </c>
      <c r="D12" s="0" t="inlineStr">
        <is>
          <t>AR1122</t>
        </is>
      </c>
      <c r="E12" s="0" t="inlineStr">
        <is>
          <t>주임</t>
        </is>
      </c>
      <c r="F12" s="0" t="inlineStr">
        <is>
          <t>930202-2047211</t>
        </is>
      </c>
      <c r="G12" s="111" t="n">
        <v>44866</v>
      </c>
      <c r="H12" s="111" t="n"/>
      <c r="I12" s="0" t="inlineStr">
        <is>
          <t>연봉직</t>
        </is>
      </c>
      <c r="J12" s="0" t="inlineStr">
        <is>
          <t>010-6731-9157</t>
        </is>
      </c>
    </row>
    <row r="13">
      <c r="A13" s="0" t="inlineStr">
        <is>
          <t>주찬미</t>
        </is>
      </c>
      <c r="B13" s="0" t="n">
        <v>3671</v>
      </c>
      <c r="C13" s="0" t="inlineStr">
        <is>
          <t>RND_2팀</t>
        </is>
      </c>
      <c r="D13" s="0" t="inlineStr">
        <is>
          <t>AR1122</t>
        </is>
      </c>
      <c r="E13" s="0" t="inlineStr">
        <is>
          <t>주임</t>
        </is>
      </c>
      <c r="F13" s="0" t="inlineStr">
        <is>
          <t>941130-2822613</t>
        </is>
      </c>
      <c r="G13" s="111" t="n">
        <v>45173</v>
      </c>
      <c r="H13" s="111" t="n"/>
      <c r="I13" s="0" t="inlineStr">
        <is>
          <t>연봉직</t>
        </is>
      </c>
      <c r="J13" s="0" t="inlineStr">
        <is>
          <t>010-9117-5903</t>
        </is>
      </c>
    </row>
    <row r="14">
      <c r="A14" s="0" t="inlineStr">
        <is>
          <t>고동희</t>
        </is>
      </c>
      <c r="B14" s="0" t="n">
        <v>3748</v>
      </c>
      <c r="C14" s="0" t="inlineStr">
        <is>
          <t>RND_2팀</t>
        </is>
      </c>
      <c r="D14" s="0" t="inlineStr">
        <is>
          <t>AR1122</t>
        </is>
      </c>
      <c r="E14" s="0" t="inlineStr">
        <is>
          <t>연구원</t>
        </is>
      </c>
      <c r="F14" s="0" t="inlineStr">
        <is>
          <t>970912-2353111</t>
        </is>
      </c>
      <c r="G14" s="111" t="n">
        <v>46076</v>
      </c>
      <c r="H14" s="111" t="n"/>
      <c r="I14" s="0" t="inlineStr">
        <is>
          <t>연봉직</t>
        </is>
      </c>
      <c r="J14" s="0" t="inlineStr">
        <is>
          <t>010-5455-9934</t>
        </is>
      </c>
    </row>
    <row r="15">
      <c r="A15" s="0" t="inlineStr">
        <is>
          <t>정재희</t>
        </is>
      </c>
      <c r="B15" s="0" t="n">
        <v>404</v>
      </c>
      <c r="C15" s="0" t="inlineStr">
        <is>
          <t>RND_3팀</t>
        </is>
      </c>
      <c r="D15" s="0" t="inlineStr">
        <is>
          <t>AR1123</t>
        </is>
      </c>
      <c r="E15" s="0" t="inlineStr">
        <is>
          <t>책임</t>
        </is>
      </c>
      <c r="F15" s="0" t="inlineStr">
        <is>
          <t>830203-2222517</t>
        </is>
      </c>
      <c r="G15" s="111" t="n">
        <v>43138</v>
      </c>
      <c r="H15" s="111" t="n"/>
      <c r="I15" s="0" t="inlineStr">
        <is>
          <t>연봉직</t>
        </is>
      </c>
      <c r="J15" s="0" t="inlineStr">
        <is>
          <t>010-8913-0203</t>
        </is>
      </c>
    </row>
    <row r="16">
      <c r="A16" s="0" t="inlineStr">
        <is>
          <t>이지혜</t>
        </is>
      </c>
      <c r="B16" s="0" t="n">
        <v>474</v>
      </c>
      <c r="C16" s="0" t="inlineStr">
        <is>
          <t>RND_3팀</t>
        </is>
      </c>
      <c r="D16" s="0" t="inlineStr">
        <is>
          <t>AR1123</t>
        </is>
      </c>
      <c r="E16" s="0" t="inlineStr">
        <is>
          <t>책임</t>
        </is>
      </c>
      <c r="F16" s="0" t="inlineStr">
        <is>
          <t>830427-2519936</t>
        </is>
      </c>
      <c r="G16" s="111" t="n">
        <v>43773</v>
      </c>
      <c r="H16" s="111" t="n"/>
      <c r="I16" s="0" t="inlineStr">
        <is>
          <t>연봉직</t>
        </is>
      </c>
      <c r="J16" s="0" t="inlineStr">
        <is>
          <t>010-2655-2599</t>
        </is>
      </c>
    </row>
    <row r="17" hidden="1" s="169">
      <c r="A17" s="0" t="inlineStr">
        <is>
          <t>전예린</t>
        </is>
      </c>
      <c r="B17" s="0" t="n">
        <v>3626</v>
      </c>
      <c r="C17" s="0" t="inlineStr">
        <is>
          <t>RND_3팀</t>
        </is>
      </c>
      <c r="D17" s="0" t="inlineStr">
        <is>
          <t>AR1123</t>
        </is>
      </c>
      <c r="E17" s="0" t="inlineStr">
        <is>
          <t>연구원</t>
        </is>
      </c>
      <c r="F17" s="0" t="inlineStr">
        <is>
          <t>970203-2052911</t>
        </is>
      </c>
      <c r="G17" s="111" t="n">
        <v>44767</v>
      </c>
      <c r="H17" s="111" t="n">
        <v>45777</v>
      </c>
      <c r="I17" s="0" t="inlineStr">
        <is>
          <t>연봉직</t>
        </is>
      </c>
      <c r="J17" s="0" t="inlineStr">
        <is>
          <t>010-6325-6553</t>
        </is>
      </c>
    </row>
    <row r="18">
      <c r="A18" s="0" t="inlineStr">
        <is>
          <t>이경나</t>
        </is>
      </c>
      <c r="B18" s="0" t="n">
        <v>158</v>
      </c>
      <c r="C18" s="0" t="inlineStr">
        <is>
          <t>AMD</t>
        </is>
      </c>
      <c r="D18" s="0" t="inlineStr">
        <is>
          <t>AR1200</t>
        </is>
      </c>
      <c r="E18" s="0" t="inlineStr">
        <is>
          <t>상무</t>
        </is>
      </c>
      <c r="F18" s="0" t="inlineStr">
        <is>
          <t>671225-2052214</t>
        </is>
      </c>
      <c r="G18" s="111" t="n">
        <v>34578</v>
      </c>
      <c r="H18" s="111" t="n"/>
      <c r="I18" s="0" t="inlineStr">
        <is>
          <t>연봉직</t>
        </is>
      </c>
      <c r="J18" s="0" t="inlineStr">
        <is>
          <t>010-3000-6725</t>
        </is>
      </c>
    </row>
    <row r="19">
      <c r="A19" s="0" t="inlineStr">
        <is>
          <t>정윤식</t>
        </is>
      </c>
      <c r="B19" s="0" t="n">
        <v>56</v>
      </c>
      <c r="C19" s="0" t="inlineStr">
        <is>
          <t>AMD</t>
        </is>
      </c>
      <c r="D19" s="0" t="inlineStr">
        <is>
          <t>AR1200</t>
        </is>
      </c>
      <c r="E19" s="0" t="inlineStr">
        <is>
          <t>이사</t>
        </is>
      </c>
      <c r="F19" s="0" t="inlineStr">
        <is>
          <t>720912-1235016</t>
        </is>
      </c>
      <c r="G19" s="111" t="n">
        <v>37420</v>
      </c>
      <c r="H19" s="111" t="n"/>
      <c r="I19" s="0" t="inlineStr">
        <is>
          <t>연봉직</t>
        </is>
      </c>
      <c r="J19" s="0" t="inlineStr">
        <is>
          <t>010-8719-1751</t>
        </is>
      </c>
    </row>
    <row r="20">
      <c r="A20" s="0" t="inlineStr">
        <is>
          <t>김주아</t>
        </is>
      </c>
      <c r="B20" s="0" t="n">
        <v>3609</v>
      </c>
      <c r="C20" s="0" t="inlineStr">
        <is>
          <t>AMD</t>
        </is>
      </c>
      <c r="D20" s="0" t="inlineStr">
        <is>
          <t>AR1200</t>
        </is>
      </c>
      <c r="E20" s="0" t="inlineStr">
        <is>
          <t>과장</t>
        </is>
      </c>
      <c r="F20" s="0" t="inlineStr">
        <is>
          <t>851229-2637019</t>
        </is>
      </c>
      <c r="G20" s="111" t="n">
        <v>44581</v>
      </c>
      <c r="H20" s="111" t="n"/>
      <c r="I20" s="0" t="inlineStr">
        <is>
          <t>연봉직</t>
        </is>
      </c>
      <c r="J20" s="0" t="inlineStr">
        <is>
          <t>010-5185-8835</t>
        </is>
      </c>
    </row>
    <row r="21">
      <c r="A21" s="0" t="inlineStr">
        <is>
          <t>박은영</t>
        </is>
      </c>
      <c r="B21" s="0" t="n">
        <v>451</v>
      </c>
      <c r="C21" s="0" t="inlineStr">
        <is>
          <t>AMD</t>
        </is>
      </c>
      <c r="D21" s="0" t="inlineStr">
        <is>
          <t>AR1200</t>
        </is>
      </c>
      <c r="E21" s="0" t="inlineStr">
        <is>
          <t>과장</t>
        </is>
      </c>
      <c r="F21" s="0" t="inlineStr">
        <is>
          <t>890708-2182529</t>
        </is>
      </c>
      <c r="G21" s="111" t="n">
        <v>43570</v>
      </c>
      <c r="H21" s="111" t="n"/>
      <c r="I21" s="0" t="inlineStr">
        <is>
          <t>연봉직</t>
        </is>
      </c>
      <c r="J21" s="0" t="inlineStr">
        <is>
          <t>010-9982-1941</t>
        </is>
      </c>
    </row>
    <row r="22" hidden="1" s="169">
      <c r="A22" s="0" t="inlineStr">
        <is>
          <t>정재훈</t>
        </is>
      </c>
      <c r="B22" s="0" t="n">
        <v>3519</v>
      </c>
      <c r="C22" s="0" t="inlineStr">
        <is>
          <t>AMD</t>
        </is>
      </c>
      <c r="D22" s="0" t="inlineStr">
        <is>
          <t>AR1200</t>
        </is>
      </c>
      <c r="E22" s="0" t="inlineStr">
        <is>
          <t>사원</t>
        </is>
      </c>
      <c r="F22" s="0" t="inlineStr">
        <is>
          <t>740515-1030121</t>
        </is>
      </c>
      <c r="G22" s="111" t="n">
        <v>43871</v>
      </c>
      <c r="H22" s="111" t="n">
        <v>46022</v>
      </c>
      <c r="I22" s="0" t="inlineStr">
        <is>
          <t>연봉직</t>
        </is>
      </c>
      <c r="J22" s="0" t="inlineStr">
        <is>
          <t>010-2730-9154</t>
        </is>
      </c>
    </row>
    <row r="23" hidden="1" s="169">
      <c r="A23" s="0" t="inlineStr">
        <is>
          <t>안현정</t>
        </is>
      </c>
      <c r="B23" s="0" t="n">
        <v>3746</v>
      </c>
      <c r="C23" s="0" t="inlineStr">
        <is>
          <t>AMD</t>
        </is>
      </c>
      <c r="D23" s="0" t="inlineStr">
        <is>
          <t>AR1200</t>
        </is>
      </c>
      <c r="E23" s="0" t="inlineStr">
        <is>
          <t>사원</t>
        </is>
      </c>
      <c r="F23" s="0" t="inlineStr">
        <is>
          <t>950517-2179125</t>
        </is>
      </c>
      <c r="G23" s="111" t="n">
        <v>46020</v>
      </c>
      <c r="H23" s="111" t="n">
        <v>46081</v>
      </c>
      <c r="I23" s="0" t="inlineStr">
        <is>
          <t>연봉직</t>
        </is>
      </c>
      <c r="J23" s="0" t="inlineStr">
        <is>
          <t>010-4304-1381</t>
        </is>
      </c>
    </row>
    <row r="24">
      <c r="A24" s="0" t="inlineStr">
        <is>
          <t>김형진</t>
        </is>
      </c>
      <c r="B24" s="0" t="n">
        <v>3581</v>
      </c>
      <c r="C24" s="0" t="inlineStr">
        <is>
          <t>CXD</t>
        </is>
      </c>
      <c r="D24" s="0" t="inlineStr">
        <is>
          <t>AR1510</t>
        </is>
      </c>
      <c r="E24" s="0" t="inlineStr">
        <is>
          <t>부장</t>
        </is>
      </c>
      <c r="F24" s="0" t="inlineStr">
        <is>
          <t>790625-1029611</t>
        </is>
      </c>
      <c r="G24" s="111" t="n">
        <v>44333</v>
      </c>
      <c r="H24" s="111" t="n"/>
      <c r="I24" s="0" t="inlineStr">
        <is>
          <t>연봉직</t>
        </is>
      </c>
      <c r="J24" s="0" t="inlineStr">
        <is>
          <t>010-3230-2706</t>
        </is>
      </c>
    </row>
    <row r="25">
      <c r="A25" s="0" t="inlineStr">
        <is>
          <t>이도향</t>
        </is>
      </c>
      <c r="B25" s="0" t="n">
        <v>3714</v>
      </c>
      <c r="C25" s="0" t="inlineStr">
        <is>
          <t>CXD</t>
        </is>
      </c>
      <c r="D25" s="0" t="inlineStr">
        <is>
          <t>AR1510</t>
        </is>
      </c>
      <c r="E25" s="0" t="inlineStr">
        <is>
          <t>사원</t>
        </is>
      </c>
      <c r="F25" s="0" t="inlineStr">
        <is>
          <t>971004-2222422</t>
        </is>
      </c>
      <c r="G25" s="111" t="n">
        <v>45656</v>
      </c>
      <c r="H25" s="111" t="n"/>
      <c r="I25" s="0" t="inlineStr">
        <is>
          <t>연봉직</t>
        </is>
      </c>
      <c r="J25" s="0" t="inlineStr">
        <is>
          <t>010-2037-7490</t>
        </is>
      </c>
    </row>
    <row r="26">
      <c r="A26" s="0" t="inlineStr">
        <is>
          <t>서정은</t>
        </is>
      </c>
      <c r="B26" s="0" t="n">
        <v>3716</v>
      </c>
      <c r="C26" s="0" t="inlineStr">
        <is>
          <t>CXD</t>
        </is>
      </c>
      <c r="D26" s="0" t="inlineStr">
        <is>
          <t>AR1510</t>
        </is>
      </c>
      <c r="E26" s="0" t="inlineStr">
        <is>
          <t>사원</t>
        </is>
      </c>
      <c r="F26" s="0" t="inlineStr">
        <is>
          <t>970320-2469312</t>
        </is>
      </c>
      <c r="G26" s="111" t="n">
        <v>45691</v>
      </c>
      <c r="H26" s="111" t="n"/>
      <c r="I26" s="0" t="inlineStr">
        <is>
          <t>연봉직</t>
        </is>
      </c>
      <c r="J26" s="0" t="inlineStr">
        <is>
          <t>010-4658-7928</t>
        </is>
      </c>
    </row>
    <row r="27">
      <c r="A27" s="0" t="inlineStr">
        <is>
          <t>변혜정</t>
        </is>
      </c>
      <c r="B27" s="0" t="n">
        <v>3704</v>
      </c>
      <c r="C27" s="0" t="inlineStr">
        <is>
          <t>온라인사업부</t>
        </is>
      </c>
      <c r="D27" s="0" t="inlineStr">
        <is>
          <t>AR1700</t>
        </is>
      </c>
      <c r="E27" s="0" t="inlineStr">
        <is>
          <t>차장</t>
        </is>
      </c>
      <c r="F27" s="0" t="inlineStr">
        <is>
          <t>820321-2012328</t>
        </is>
      </c>
      <c r="G27" s="111" t="n">
        <v>45567</v>
      </c>
      <c r="H27" s="111" t="n"/>
      <c r="I27" s="0" t="inlineStr">
        <is>
          <t>연봉직</t>
        </is>
      </c>
      <c r="J27" s="0" t="inlineStr">
        <is>
          <t>010-7479-8582</t>
        </is>
      </c>
    </row>
    <row r="28">
      <c r="A28" s="0" t="inlineStr">
        <is>
          <t>김명기</t>
        </is>
      </c>
      <c r="B28" s="0" t="n">
        <v>403</v>
      </c>
      <c r="C28" s="0" t="inlineStr">
        <is>
          <t>온라인사업부</t>
        </is>
      </c>
      <c r="D28" s="0" t="inlineStr">
        <is>
          <t>AR1700</t>
        </is>
      </c>
      <c r="E28" s="0" t="inlineStr">
        <is>
          <t>과장</t>
        </is>
      </c>
      <c r="F28" s="0" t="inlineStr">
        <is>
          <t>890601-2055315</t>
        </is>
      </c>
      <c r="G28" s="111" t="n">
        <v>43136</v>
      </c>
      <c r="H28" s="111" t="n"/>
      <c r="I28" s="0" t="inlineStr">
        <is>
          <t>연봉직</t>
        </is>
      </c>
      <c r="J28" s="0" t="inlineStr">
        <is>
          <t>010-9162-2846</t>
        </is>
      </c>
    </row>
    <row r="29">
      <c r="A29" s="0" t="inlineStr">
        <is>
          <t>이보라</t>
        </is>
      </c>
      <c r="B29" s="0" t="n">
        <v>3719</v>
      </c>
      <c r="C29" s="0" t="inlineStr">
        <is>
          <t>온라인사업부</t>
        </is>
      </c>
      <c r="D29" s="0" t="inlineStr">
        <is>
          <t>AR1700</t>
        </is>
      </c>
      <c r="E29" s="0" t="inlineStr">
        <is>
          <t>과장</t>
        </is>
      </c>
      <c r="F29" s="0" t="inlineStr">
        <is>
          <t>861117-2071017</t>
        </is>
      </c>
      <c r="G29" s="111" t="n">
        <v>45705</v>
      </c>
      <c r="H29" s="111" t="n"/>
      <c r="I29" s="0" t="inlineStr">
        <is>
          <t>연봉직</t>
        </is>
      </c>
      <c r="J29" s="0" t="inlineStr">
        <is>
          <t>010-4669-5958</t>
        </is>
      </c>
    </row>
    <row r="30">
      <c r="A30" s="0" t="inlineStr">
        <is>
          <t>박영우</t>
        </is>
      </c>
      <c r="B30" s="0" t="n">
        <v>3641</v>
      </c>
      <c r="C30" s="0" t="inlineStr">
        <is>
          <t>온라인사업부</t>
        </is>
      </c>
      <c r="D30" s="0" t="inlineStr">
        <is>
          <t>AR1700</t>
        </is>
      </c>
      <c r="E30" s="0" t="inlineStr">
        <is>
          <t>대리</t>
        </is>
      </c>
      <c r="F30" s="0" t="inlineStr">
        <is>
          <t>900706-1621818</t>
        </is>
      </c>
      <c r="G30" s="111" t="n">
        <v>44858</v>
      </c>
      <c r="H30" s="111" t="n"/>
      <c r="I30" s="0" t="inlineStr">
        <is>
          <t>연봉직</t>
        </is>
      </c>
      <c r="J30" s="0" t="inlineStr">
        <is>
          <t>010-4125-6966</t>
        </is>
      </c>
    </row>
    <row r="31">
      <c r="A31" s="0" t="inlineStr">
        <is>
          <t>유민아</t>
        </is>
      </c>
      <c r="B31" s="0" t="n">
        <v>3669</v>
      </c>
      <c r="C31" s="0" t="inlineStr">
        <is>
          <t>온라인사업부</t>
        </is>
      </c>
      <c r="D31" s="0" t="inlineStr">
        <is>
          <t>AR1700</t>
        </is>
      </c>
      <c r="E31" s="0" t="inlineStr">
        <is>
          <t>대리</t>
        </is>
      </c>
      <c r="F31" s="0" t="inlineStr">
        <is>
          <t>990224-2057321</t>
        </is>
      </c>
      <c r="G31" s="111" t="n">
        <v>45139</v>
      </c>
      <c r="H31" s="111" t="n"/>
      <c r="I31" s="0" t="inlineStr">
        <is>
          <t>연봉직</t>
        </is>
      </c>
      <c r="J31" s="0" t="inlineStr">
        <is>
          <t>010-2756-2838</t>
        </is>
      </c>
    </row>
    <row r="32">
      <c r="A32" s="0" t="inlineStr">
        <is>
          <t>이효준</t>
        </is>
      </c>
      <c r="B32" s="0" t="n">
        <v>3740</v>
      </c>
      <c r="C32" s="0" t="inlineStr">
        <is>
          <t>온라인사업부</t>
        </is>
      </c>
      <c r="D32" s="0" t="inlineStr">
        <is>
          <t>AR1700</t>
        </is>
      </c>
      <c r="E32" s="0" t="inlineStr">
        <is>
          <t>대리</t>
        </is>
      </c>
      <c r="F32" s="0" t="inlineStr">
        <is>
          <t>901228-1691811</t>
        </is>
      </c>
      <c r="G32" s="111" t="n">
        <v>45915</v>
      </c>
      <c r="H32" s="111" t="n"/>
      <c r="I32" s="0" t="inlineStr">
        <is>
          <t>연봉직</t>
        </is>
      </c>
      <c r="J32" s="0" t="inlineStr">
        <is>
          <t>010-8949-8072</t>
        </is>
      </c>
    </row>
    <row r="33">
      <c r="A33" s="0" t="inlineStr">
        <is>
          <t>김창환</t>
        </is>
      </c>
      <c r="B33" s="0" t="n">
        <v>3562</v>
      </c>
      <c r="C33" s="0" t="inlineStr">
        <is>
          <t>온라인사업부</t>
        </is>
      </c>
      <c r="D33" s="0" t="inlineStr">
        <is>
          <t>AR1700</t>
        </is>
      </c>
      <c r="E33" s="0" t="inlineStr">
        <is>
          <t>대리</t>
        </is>
      </c>
      <c r="F33" s="0" t="inlineStr">
        <is>
          <t>881110-1401013</t>
        </is>
      </c>
      <c r="G33" s="111" t="n">
        <v>44144</v>
      </c>
      <c r="H33" s="111" t="n"/>
      <c r="I33" s="0" t="inlineStr">
        <is>
          <t>연봉직</t>
        </is>
      </c>
      <c r="J33" s="0" t="inlineStr">
        <is>
          <t>010-9192-6610</t>
        </is>
      </c>
    </row>
    <row r="34">
      <c r="A34" s="0" t="inlineStr">
        <is>
          <t>이성원</t>
        </is>
      </c>
      <c r="B34" s="0" t="n">
        <v>471</v>
      </c>
      <c r="C34" s="0" t="inlineStr">
        <is>
          <t>온라인사업부</t>
        </is>
      </c>
      <c r="D34" s="0" t="inlineStr">
        <is>
          <t>AR1700</t>
        </is>
      </c>
      <c r="E34" s="0" t="inlineStr">
        <is>
          <t>대리</t>
        </is>
      </c>
      <c r="F34" s="0" t="inlineStr">
        <is>
          <t>890325-1030525</t>
        </is>
      </c>
      <c r="G34" s="111" t="n">
        <v>43739</v>
      </c>
      <c r="H34" s="111" t="n"/>
      <c r="I34" s="0" t="inlineStr">
        <is>
          <t>연봉직</t>
        </is>
      </c>
      <c r="J34" s="0" t="inlineStr">
        <is>
          <t>010-8884-1576</t>
        </is>
      </c>
    </row>
    <row r="35">
      <c r="A35" s="0" t="inlineStr">
        <is>
          <t>김보미</t>
        </is>
      </c>
      <c r="B35" s="0" t="n">
        <v>3615</v>
      </c>
      <c r="C35" s="0" t="inlineStr">
        <is>
          <t>온라인사업부</t>
        </is>
      </c>
      <c r="D35" s="0" t="inlineStr">
        <is>
          <t>AR1700</t>
        </is>
      </c>
      <c r="E35" s="0" t="inlineStr">
        <is>
          <t>주임</t>
        </is>
      </c>
      <c r="F35" s="0" t="inlineStr">
        <is>
          <t>920425-2419415</t>
        </is>
      </c>
      <c r="G35" s="111" t="n">
        <v>44593</v>
      </c>
      <c r="H35" s="111" t="n"/>
      <c r="I35" s="0" t="inlineStr">
        <is>
          <t>연봉직</t>
        </is>
      </c>
      <c r="J35" s="0" t="inlineStr">
        <is>
          <t>010-4131-0885</t>
        </is>
      </c>
    </row>
    <row r="36" hidden="1" s="169">
      <c r="A36" s="0" t="inlineStr">
        <is>
          <t>반소명</t>
        </is>
      </c>
      <c r="B36" s="0" t="n">
        <v>3708</v>
      </c>
      <c r="C36" s="0" t="inlineStr">
        <is>
          <t>온라인사업부</t>
        </is>
      </c>
      <c r="D36" s="0" t="inlineStr">
        <is>
          <t>AR1700</t>
        </is>
      </c>
      <c r="E36" s="0" t="inlineStr">
        <is>
          <t>주임</t>
        </is>
      </c>
      <c r="F36" s="0" t="inlineStr">
        <is>
          <t>970122-2079624</t>
        </is>
      </c>
      <c r="G36" s="111" t="n">
        <v>45603</v>
      </c>
      <c r="H36" s="111" t="n">
        <v>45943</v>
      </c>
      <c r="I36" s="0" t="inlineStr">
        <is>
          <t>연봉직</t>
        </is>
      </c>
      <c r="J36" s="0" t="inlineStr">
        <is>
          <t>010-4755-3793</t>
        </is>
      </c>
    </row>
    <row r="37">
      <c r="A37" s="0" t="inlineStr">
        <is>
          <t>장한나</t>
        </is>
      </c>
      <c r="B37" s="0" t="n">
        <v>3742</v>
      </c>
      <c r="C37" s="0" t="inlineStr">
        <is>
          <t>온라인사업부</t>
        </is>
      </c>
      <c r="D37" s="0" t="inlineStr">
        <is>
          <t>AR1700</t>
        </is>
      </c>
      <c r="E37" s="0" t="inlineStr">
        <is>
          <t>주임</t>
        </is>
      </c>
      <c r="F37" s="0" t="inlineStr">
        <is>
          <t>980907-2352916</t>
        </is>
      </c>
      <c r="G37" s="111" t="n">
        <v>45944</v>
      </c>
      <c r="H37" s="111" t="n"/>
      <c r="I37" s="0" t="inlineStr">
        <is>
          <t>연봉직</t>
        </is>
      </c>
      <c r="J37" s="0" t="inlineStr">
        <is>
          <t>010-7158-2610</t>
        </is>
      </c>
    </row>
    <row r="38" hidden="1" s="169">
      <c r="A38" s="0" t="inlineStr">
        <is>
          <t>박혜원</t>
        </is>
      </c>
      <c r="B38" s="0" t="n">
        <v>3628</v>
      </c>
      <c r="C38" s="0" t="inlineStr">
        <is>
          <t>온라인사업부</t>
        </is>
      </c>
      <c r="D38" s="0" t="inlineStr">
        <is>
          <t>AR1700</t>
        </is>
      </c>
      <c r="E38" s="0" t="inlineStr">
        <is>
          <t>주임</t>
        </is>
      </c>
      <c r="F38" s="0" t="inlineStr">
        <is>
          <t>990818-2151616</t>
        </is>
      </c>
      <c r="G38" s="111" t="n">
        <v>44768</v>
      </c>
      <c r="H38" s="111" t="n">
        <v>45726</v>
      </c>
      <c r="I38" s="0" t="inlineStr">
        <is>
          <t>연봉직</t>
        </is>
      </c>
      <c r="J38" s="0" t="inlineStr">
        <is>
          <t>010-2599-9378</t>
        </is>
      </c>
    </row>
    <row r="39">
      <c r="A39" s="0" t="inlineStr">
        <is>
          <t>진서경</t>
        </is>
      </c>
      <c r="B39" s="0" t="n">
        <v>318</v>
      </c>
      <c r="C39" s="0" t="inlineStr">
        <is>
          <t>경기광주점</t>
        </is>
      </c>
      <c r="D39" s="0" t="inlineStr">
        <is>
          <t>AR1790</t>
        </is>
      </c>
      <c r="E39" s="0" t="inlineStr">
        <is>
          <t>과장</t>
        </is>
      </c>
      <c r="F39" s="0" t="inlineStr">
        <is>
          <t>680307-2652920</t>
        </is>
      </c>
      <c r="G39" s="111" t="n">
        <v>42371</v>
      </c>
      <c r="H39" s="111" t="n"/>
      <c r="I39" s="0" t="inlineStr">
        <is>
          <t>매장직1</t>
        </is>
      </c>
      <c r="J39" s="0" t="inlineStr">
        <is>
          <t>010-8680-6196</t>
        </is>
      </c>
    </row>
    <row r="40">
      <c r="A40" s="0" t="inlineStr">
        <is>
          <t>김화영</t>
        </is>
      </c>
      <c r="B40" s="0" t="n">
        <v>3634</v>
      </c>
      <c r="C40" s="0" t="inlineStr">
        <is>
          <t>경기광주점</t>
        </is>
      </c>
      <c r="D40" s="0" t="inlineStr">
        <is>
          <t>AR1790</t>
        </is>
      </c>
      <c r="E40" s="0" t="inlineStr">
        <is>
          <t>주임</t>
        </is>
      </c>
      <c r="F40" s="0" t="inlineStr">
        <is>
          <t>641201-2637246</t>
        </is>
      </c>
      <c r="G40" s="111" t="n">
        <v>44818</v>
      </c>
      <c r="H40" s="111" t="n"/>
      <c r="I40" s="0" t="inlineStr">
        <is>
          <t>매장직1</t>
        </is>
      </c>
      <c r="J40" s="0" t="inlineStr">
        <is>
          <t>010-8777-2628</t>
        </is>
      </c>
    </row>
    <row r="41">
      <c r="A41" s="0" t="inlineStr">
        <is>
          <t>서은석</t>
        </is>
      </c>
      <c r="B41" s="0" t="n">
        <v>3668</v>
      </c>
      <c r="C41" s="0" t="inlineStr">
        <is>
          <t>경기광주점</t>
        </is>
      </c>
      <c r="D41" s="0" t="inlineStr">
        <is>
          <t>AR1790</t>
        </is>
      </c>
      <c r="E41" s="0" t="inlineStr">
        <is>
          <t>주임</t>
        </is>
      </c>
      <c r="F41" s="0" t="inlineStr">
        <is>
          <t>670220-2251216</t>
        </is>
      </c>
      <c r="G41" s="111" t="n">
        <v>45139</v>
      </c>
      <c r="H41" s="111" t="n"/>
      <c r="I41" s="0" t="inlineStr">
        <is>
          <t>매장직1</t>
        </is>
      </c>
      <c r="J41" s="0" t="inlineStr">
        <is>
          <t>010-2805-6242</t>
        </is>
      </c>
    </row>
    <row r="42">
      <c r="A42" s="0" t="inlineStr">
        <is>
          <t>이승현</t>
        </is>
      </c>
      <c r="B42" s="0" t="n">
        <v>473</v>
      </c>
      <c r="C42" s="0" t="inlineStr">
        <is>
          <t>경기광주점</t>
        </is>
      </c>
      <c r="D42" s="0" t="inlineStr">
        <is>
          <t>AR1790</t>
        </is>
      </c>
      <c r="E42" s="0" t="inlineStr">
        <is>
          <t>주임</t>
        </is>
      </c>
      <c r="F42" s="0" t="inlineStr">
        <is>
          <t>650803-2380813</t>
        </is>
      </c>
      <c r="G42" s="111" t="n">
        <v>43770</v>
      </c>
      <c r="H42" s="111" t="n"/>
      <c r="I42" s="0" t="inlineStr">
        <is>
          <t>매장직1</t>
        </is>
      </c>
      <c r="J42" s="0" t="inlineStr">
        <is>
          <t>010-4288-1203</t>
        </is>
      </c>
    </row>
    <row r="43">
      <c r="A43" s="0" t="inlineStr">
        <is>
          <t>조선영</t>
        </is>
      </c>
      <c r="B43" s="0" t="n">
        <v>290</v>
      </c>
      <c r="C43" s="0" t="inlineStr">
        <is>
          <t>일산점</t>
        </is>
      </c>
      <c r="D43" s="0" t="inlineStr">
        <is>
          <t>AR1800</t>
        </is>
      </c>
      <c r="E43" s="0" t="inlineStr">
        <is>
          <t>차장</t>
        </is>
      </c>
      <c r="F43" s="0" t="inlineStr">
        <is>
          <t>750310-2471413</t>
        </is>
      </c>
      <c r="G43" s="111" t="n">
        <v>42219</v>
      </c>
      <c r="H43" s="111" t="n"/>
      <c r="I43" s="0" t="inlineStr">
        <is>
          <t>매장직1</t>
        </is>
      </c>
      <c r="J43" s="0" t="inlineStr">
        <is>
          <t>010-5357-7809</t>
        </is>
      </c>
    </row>
    <row r="44">
      <c r="A44" s="0" t="inlineStr">
        <is>
          <t>김규리</t>
        </is>
      </c>
      <c r="B44" s="0" t="n">
        <v>300</v>
      </c>
      <c r="C44" s="0" t="inlineStr">
        <is>
          <t>일산점</t>
        </is>
      </c>
      <c r="D44" s="0" t="inlineStr">
        <is>
          <t>AR1800</t>
        </is>
      </c>
      <c r="E44" s="0" t="inlineStr">
        <is>
          <t>과장</t>
        </is>
      </c>
      <c r="F44" s="0" t="inlineStr">
        <is>
          <t>671227-2030525</t>
        </is>
      </c>
      <c r="G44" s="111" t="n">
        <v>42251</v>
      </c>
      <c r="H44" s="111" t="n"/>
      <c r="I44" s="0" t="inlineStr">
        <is>
          <t>매장직1</t>
        </is>
      </c>
      <c r="J44" s="0" t="inlineStr">
        <is>
          <t>010-8393-5780</t>
        </is>
      </c>
    </row>
    <row r="45">
      <c r="A45" s="0" t="inlineStr">
        <is>
          <t>손향순</t>
        </is>
      </c>
      <c r="B45" s="0" t="n">
        <v>442</v>
      </c>
      <c r="C45" s="0" t="inlineStr">
        <is>
          <t>일산점</t>
        </is>
      </c>
      <c r="D45" s="0" t="inlineStr">
        <is>
          <t>AR1800</t>
        </is>
      </c>
      <c r="E45" s="0" t="inlineStr">
        <is>
          <t>대리</t>
        </is>
      </c>
      <c r="F45" s="0" t="inlineStr">
        <is>
          <t>690422-2052010</t>
        </is>
      </c>
      <c r="G45" s="111" t="n">
        <v>43475</v>
      </c>
      <c r="H45" s="111" t="n"/>
      <c r="I45" s="0" t="inlineStr">
        <is>
          <t>매장직1</t>
        </is>
      </c>
      <c r="J45" s="0" t="inlineStr">
        <is>
          <t>010-8947-0180</t>
        </is>
      </c>
    </row>
    <row r="46">
      <c r="A46" s="0" t="inlineStr">
        <is>
          <t>이윤정</t>
        </is>
      </c>
      <c r="B46" s="0" t="n">
        <v>465</v>
      </c>
      <c r="C46" s="0" t="inlineStr">
        <is>
          <t>일산점</t>
        </is>
      </c>
      <c r="D46" s="0" t="inlineStr">
        <is>
          <t>AR1800</t>
        </is>
      </c>
      <c r="E46" s="0" t="inlineStr">
        <is>
          <t>대리</t>
        </is>
      </c>
      <c r="F46" s="0" t="inlineStr">
        <is>
          <t>650907-2079521</t>
        </is>
      </c>
      <c r="G46" s="111" t="n">
        <v>43654</v>
      </c>
      <c r="H46" s="111" t="n"/>
      <c r="I46" s="0" t="inlineStr">
        <is>
          <t>매장직1</t>
        </is>
      </c>
      <c r="J46" s="0" t="inlineStr">
        <is>
          <t>010-2669-8977</t>
        </is>
      </c>
    </row>
    <row r="47" hidden="1" s="169">
      <c r="A47" s="0" t="inlineStr">
        <is>
          <t>민경소</t>
        </is>
      </c>
      <c r="B47" s="0" t="n">
        <v>3729</v>
      </c>
      <c r="C47" s="0" t="inlineStr">
        <is>
          <t>일산점</t>
        </is>
      </c>
      <c r="D47" s="0" t="inlineStr">
        <is>
          <t>AR1800</t>
        </is>
      </c>
      <c r="E47" s="0" t="inlineStr">
        <is>
          <t>주임</t>
        </is>
      </c>
      <c r="F47" s="0" t="inlineStr">
        <is>
          <t>690924-2037329</t>
        </is>
      </c>
      <c r="G47" s="111" t="n">
        <v>45825</v>
      </c>
      <c r="H47" s="111" t="n">
        <v>45847</v>
      </c>
      <c r="I47" s="0" t="inlineStr">
        <is>
          <t>매장직1</t>
        </is>
      </c>
      <c r="J47" s="0" t="inlineStr">
        <is>
          <t>010-8867-7303</t>
        </is>
      </c>
    </row>
    <row r="48">
      <c r="A48" s="0" t="inlineStr">
        <is>
          <t>주성민</t>
        </is>
      </c>
      <c r="B48" s="0" t="n">
        <v>3731</v>
      </c>
      <c r="C48" s="0" t="inlineStr">
        <is>
          <t>일산점</t>
        </is>
      </c>
      <c r="D48" s="0" t="inlineStr">
        <is>
          <t>AR1800</t>
        </is>
      </c>
      <c r="E48" s="0" t="inlineStr">
        <is>
          <t>주임</t>
        </is>
      </c>
      <c r="F48" s="0" t="inlineStr">
        <is>
          <t>700324-2042711</t>
        </is>
      </c>
      <c r="G48" s="111" t="n">
        <v>45859</v>
      </c>
      <c r="H48" s="111" t="n"/>
      <c r="I48" s="0" t="inlineStr">
        <is>
          <t>매장직1</t>
        </is>
      </c>
      <c r="J48" s="0" t="inlineStr">
        <is>
          <t>010-2955-0324</t>
        </is>
      </c>
    </row>
    <row r="49">
      <c r="A49" s="0" t="inlineStr">
        <is>
          <t>장윤의</t>
        </is>
      </c>
      <c r="B49" s="0" t="n">
        <v>3588</v>
      </c>
      <c r="C49" s="0" t="inlineStr">
        <is>
          <t>전주점</t>
        </is>
      </c>
      <c r="D49" s="0" t="inlineStr">
        <is>
          <t>AR1910</t>
        </is>
      </c>
      <c r="E49" s="0" t="inlineStr">
        <is>
          <t>과장</t>
        </is>
      </c>
      <c r="F49" s="0" t="inlineStr">
        <is>
          <t>730601-2480938</t>
        </is>
      </c>
      <c r="G49" s="111" t="n">
        <v>44378</v>
      </c>
      <c r="H49" s="111" t="n"/>
      <c r="I49" s="0" t="inlineStr">
        <is>
          <t>매장직1</t>
        </is>
      </c>
      <c r="J49" s="0" t="inlineStr">
        <is>
          <t>010-6216-6262</t>
        </is>
      </c>
    </row>
    <row r="50">
      <c r="A50" s="0" t="inlineStr">
        <is>
          <t>정미선</t>
        </is>
      </c>
      <c r="B50" s="0" t="n">
        <v>3589</v>
      </c>
      <c r="C50" s="0" t="inlineStr">
        <is>
          <t>전주점</t>
        </is>
      </c>
      <c r="D50" s="0" t="inlineStr">
        <is>
          <t>AR1910</t>
        </is>
      </c>
      <c r="E50" s="0" t="inlineStr">
        <is>
          <t>대리</t>
        </is>
      </c>
      <c r="F50" s="0" t="inlineStr">
        <is>
          <t>630814-2625825</t>
        </is>
      </c>
      <c r="G50" s="111" t="n">
        <v>44378</v>
      </c>
      <c r="H50" s="111" t="n"/>
      <c r="I50" s="0" t="inlineStr">
        <is>
          <t>매장직1</t>
        </is>
      </c>
      <c r="J50" s="0" t="inlineStr">
        <is>
          <t>010-2821-0028</t>
        </is>
      </c>
    </row>
    <row r="51" hidden="1" s="169">
      <c r="A51" s="0" t="inlineStr">
        <is>
          <t>김은주</t>
        </is>
      </c>
      <c r="B51" s="0" t="n">
        <v>3590</v>
      </c>
      <c r="C51" s="0" t="inlineStr">
        <is>
          <t>전주점</t>
        </is>
      </c>
      <c r="D51" s="0" t="inlineStr">
        <is>
          <t>AR1910</t>
        </is>
      </c>
      <c r="E51" s="0" t="inlineStr">
        <is>
          <t>주임</t>
        </is>
      </c>
      <c r="F51" s="0" t="inlineStr">
        <is>
          <t>750510-2155934</t>
        </is>
      </c>
      <c r="G51" s="111" t="n">
        <v>44378</v>
      </c>
      <c r="H51" s="111" t="n">
        <v>45688</v>
      </c>
      <c r="I51" s="0" t="inlineStr">
        <is>
          <t>매장직1</t>
        </is>
      </c>
      <c r="J51" s="0" t="inlineStr">
        <is>
          <t>010-5630-1674</t>
        </is>
      </c>
    </row>
    <row r="52">
      <c r="A52" s="0" t="inlineStr">
        <is>
          <t>정해숙</t>
        </is>
      </c>
      <c r="B52" s="0" t="n">
        <v>3665</v>
      </c>
      <c r="C52" s="0" t="inlineStr">
        <is>
          <t>NC충장점</t>
        </is>
      </c>
      <c r="D52" s="0" t="inlineStr">
        <is>
          <t>AR1940</t>
        </is>
      </c>
      <c r="E52" s="0" t="inlineStr">
        <is>
          <t>과장</t>
        </is>
      </c>
      <c r="F52" s="0" t="inlineStr">
        <is>
          <t>670613-2657717</t>
        </is>
      </c>
      <c r="G52" s="111" t="n">
        <v>45126</v>
      </c>
      <c r="H52" s="111" t="n"/>
      <c r="I52" s="0" t="inlineStr">
        <is>
          <t>매장직1</t>
        </is>
      </c>
      <c r="J52" s="0" t="inlineStr">
        <is>
          <t>010-5005-0081</t>
        </is>
      </c>
    </row>
    <row r="53">
      <c r="A53" s="0" t="inlineStr">
        <is>
          <t>조성숙</t>
        </is>
      </c>
      <c r="B53" s="0" t="n">
        <v>3666</v>
      </c>
      <c r="C53" s="0" t="inlineStr">
        <is>
          <t>NC충장점</t>
        </is>
      </c>
      <c r="D53" s="0" t="inlineStr">
        <is>
          <t>AR1940</t>
        </is>
      </c>
      <c r="E53" s="0" t="inlineStr">
        <is>
          <t>대리</t>
        </is>
      </c>
      <c r="F53" s="0" t="inlineStr">
        <is>
          <t>690317-2628413</t>
        </is>
      </c>
      <c r="G53" s="111" t="n">
        <v>45139</v>
      </c>
      <c r="H53" s="111" t="n"/>
      <c r="I53" s="0" t="inlineStr">
        <is>
          <t>매장직1</t>
        </is>
      </c>
      <c r="J53" s="0" t="inlineStr">
        <is>
          <t>010-3713-1635</t>
        </is>
      </c>
    </row>
    <row r="54">
      <c r="A54" s="0" t="inlineStr">
        <is>
          <t>이영양</t>
        </is>
      </c>
      <c r="B54" s="0" t="n">
        <v>3605</v>
      </c>
      <c r="C54" s="0" t="inlineStr">
        <is>
          <t>NC불광점</t>
        </is>
      </c>
      <c r="D54" s="0" t="inlineStr">
        <is>
          <t>AR1950</t>
        </is>
      </c>
      <c r="E54" s="0" t="inlineStr">
        <is>
          <t>사원</t>
        </is>
      </c>
      <c r="F54" s="0" t="inlineStr">
        <is>
          <t>670406-2918819</t>
        </is>
      </c>
      <c r="G54" s="111" t="n">
        <v>44501</v>
      </c>
      <c r="H54" s="111" t="n"/>
      <c r="I54" s="0" t="inlineStr">
        <is>
          <t>매장직1</t>
        </is>
      </c>
      <c r="J54" s="0" t="inlineStr">
        <is>
          <t>010-8259-9345</t>
        </is>
      </c>
    </row>
    <row r="55">
      <c r="A55" s="0" t="inlineStr">
        <is>
          <t>김남주</t>
        </is>
      </c>
      <c r="B55" s="0" t="n">
        <v>3670</v>
      </c>
      <c r="C55" s="0" t="inlineStr">
        <is>
          <t>NC불광점</t>
        </is>
      </c>
      <c r="D55" s="0" t="inlineStr">
        <is>
          <t>AR1950</t>
        </is>
      </c>
      <c r="E55" s="0" t="inlineStr">
        <is>
          <t>사원</t>
        </is>
      </c>
      <c r="F55" s="0" t="inlineStr">
        <is>
          <t>630405-2055917</t>
        </is>
      </c>
      <c r="G55" s="111" t="n">
        <v>45170</v>
      </c>
      <c r="H55" s="111" t="n"/>
      <c r="I55" s="0" t="inlineStr">
        <is>
          <t>매장직1</t>
        </is>
      </c>
      <c r="J55" s="0" t="inlineStr">
        <is>
          <t>010-9117-1661</t>
        </is>
      </c>
    </row>
    <row r="56" hidden="1" s="169">
      <c r="A56" s="0" t="inlineStr">
        <is>
          <t>김경순</t>
        </is>
      </c>
      <c r="B56" s="0" t="n">
        <v>274</v>
      </c>
      <c r="C56" s="0" t="inlineStr">
        <is>
          <t>양재점</t>
        </is>
      </c>
      <c r="D56" s="0" t="inlineStr">
        <is>
          <t>AR1960</t>
        </is>
      </c>
      <c r="E56" s="0" t="inlineStr">
        <is>
          <t>차장</t>
        </is>
      </c>
      <c r="F56" s="0" t="inlineStr">
        <is>
          <t>591027-2017510</t>
        </is>
      </c>
      <c r="G56" s="111" t="n">
        <v>42083</v>
      </c>
      <c r="H56" s="111" t="n">
        <v>45869</v>
      </c>
      <c r="I56" s="0" t="inlineStr">
        <is>
          <t>매장직1</t>
        </is>
      </c>
      <c r="J56" s="0" t="inlineStr">
        <is>
          <t>010-5118-7420</t>
        </is>
      </c>
    </row>
    <row r="57" hidden="1" s="169">
      <c r="A57" s="0" t="inlineStr">
        <is>
          <t>김지원</t>
        </is>
      </c>
      <c r="B57" s="0" t="n">
        <v>329</v>
      </c>
      <c r="C57" s="0" t="inlineStr">
        <is>
          <t>양재점</t>
        </is>
      </c>
      <c r="D57" s="0" t="inlineStr">
        <is>
          <t>AR1960</t>
        </is>
      </c>
      <c r="E57" s="0" t="inlineStr">
        <is>
          <t>과장</t>
        </is>
      </c>
      <c r="F57" s="0" t="inlineStr">
        <is>
          <t>720510-2631921</t>
        </is>
      </c>
      <c r="G57" s="111" t="n">
        <v>42440</v>
      </c>
      <c r="H57" s="111" t="n">
        <v>45869</v>
      </c>
      <c r="I57" s="0" t="inlineStr">
        <is>
          <t>매장직1</t>
        </is>
      </c>
      <c r="J57" s="0" t="inlineStr">
        <is>
          <t>010-8753-3350</t>
        </is>
      </c>
    </row>
    <row r="58">
      <c r="A58" s="0" t="inlineStr">
        <is>
          <t>최은희</t>
        </is>
      </c>
      <c r="B58" s="0" t="n">
        <v>3732</v>
      </c>
      <c r="C58" s="0" t="inlineStr">
        <is>
          <t>양재점</t>
        </is>
      </c>
      <c r="D58" s="0" t="inlineStr">
        <is>
          <t>AR1960</t>
        </is>
      </c>
      <c r="E58" s="0" t="inlineStr">
        <is>
          <t>과장</t>
        </is>
      </c>
      <c r="F58" s="0" t="inlineStr">
        <is>
          <t>740501-2496013</t>
        </is>
      </c>
      <c r="G58" s="111" t="n">
        <v>45870</v>
      </c>
      <c r="H58" s="111" t="n"/>
      <c r="I58" s="0" t="inlineStr">
        <is>
          <t>매장직1</t>
        </is>
      </c>
      <c r="J58" s="0" t="inlineStr">
        <is>
          <t>010-8992-6387</t>
        </is>
      </c>
    </row>
    <row r="59">
      <c r="A59" s="0" t="inlineStr">
        <is>
          <t>김은주</t>
        </is>
      </c>
      <c r="B59" s="0" t="n">
        <v>3733</v>
      </c>
      <c r="C59" s="0" t="inlineStr">
        <is>
          <t>양재점</t>
        </is>
      </c>
      <c r="D59" s="0" t="inlineStr">
        <is>
          <t>AR1960</t>
        </is>
      </c>
      <c r="E59" s="0" t="inlineStr">
        <is>
          <t>과장</t>
        </is>
      </c>
      <c r="F59" s="0" t="inlineStr">
        <is>
          <t>720115-2659617</t>
        </is>
      </c>
      <c r="G59" s="111" t="n">
        <v>45870</v>
      </c>
      <c r="H59" s="111" t="n"/>
      <c r="I59" s="0" t="inlineStr">
        <is>
          <t>매장직1</t>
        </is>
      </c>
      <c r="J59" s="0" t="inlineStr">
        <is>
          <t>010-2717-2843</t>
        </is>
      </c>
    </row>
    <row r="60" hidden="1" s="169">
      <c r="A60" s="0" t="inlineStr">
        <is>
          <t>최은희</t>
        </is>
      </c>
      <c r="B60" s="0" t="n">
        <v>362</v>
      </c>
      <c r="C60" s="0" t="inlineStr">
        <is>
          <t>양재점</t>
        </is>
      </c>
      <c r="D60" s="0" t="inlineStr">
        <is>
          <t>AR1960</t>
        </is>
      </c>
      <c r="E60" s="0" t="inlineStr">
        <is>
          <t>대리</t>
        </is>
      </c>
      <c r="F60" s="0" t="inlineStr">
        <is>
          <t>740501-2496013</t>
        </is>
      </c>
      <c r="G60" s="111" t="n">
        <v>42865</v>
      </c>
      <c r="H60" s="111" t="n">
        <v>45797</v>
      </c>
      <c r="I60" s="0" t="inlineStr">
        <is>
          <t>매장직1</t>
        </is>
      </c>
      <c r="J60" s="0" t="inlineStr">
        <is>
          <t>010-8992-6387</t>
        </is>
      </c>
    </row>
    <row r="61" hidden="1" s="169">
      <c r="A61" s="0" t="inlineStr">
        <is>
          <t>김은주</t>
        </is>
      </c>
      <c r="B61" s="0" t="n">
        <v>425</v>
      </c>
      <c r="C61" s="0" t="inlineStr">
        <is>
          <t>양재점</t>
        </is>
      </c>
      <c r="D61" s="0" t="inlineStr">
        <is>
          <t>AR1960</t>
        </is>
      </c>
      <c r="E61" s="0" t="inlineStr">
        <is>
          <t>대리</t>
        </is>
      </c>
      <c r="F61" s="0" t="inlineStr">
        <is>
          <t>720115-2659617</t>
        </is>
      </c>
      <c r="G61" s="111" t="n">
        <v>43270</v>
      </c>
      <c r="H61" s="111" t="n">
        <v>45747</v>
      </c>
      <c r="I61" s="0" t="inlineStr">
        <is>
          <t>매장직1</t>
        </is>
      </c>
      <c r="J61" s="0" t="inlineStr">
        <is>
          <t>010-2717-2843</t>
        </is>
      </c>
    </row>
    <row r="62" hidden="1" s="169">
      <c r="A62" s="0" t="inlineStr">
        <is>
          <t>이영숙</t>
        </is>
      </c>
      <c r="B62" s="0" t="n">
        <v>3726</v>
      </c>
      <c r="C62" s="0" t="inlineStr">
        <is>
          <t>양재점</t>
        </is>
      </c>
      <c r="D62" s="0" t="inlineStr">
        <is>
          <t>AR1960</t>
        </is>
      </c>
      <c r="E62" s="0" t="inlineStr">
        <is>
          <t>주임</t>
        </is>
      </c>
      <c r="F62" s="0" t="inlineStr">
        <is>
          <t>730723-2951611</t>
        </is>
      </c>
      <c r="G62" s="111" t="n">
        <v>45789</v>
      </c>
      <c r="H62" s="111" t="n">
        <v>45795</v>
      </c>
      <c r="I62" s="0" t="inlineStr">
        <is>
          <t>매장직1</t>
        </is>
      </c>
      <c r="J62" s="0" t="inlineStr">
        <is>
          <t>010-3321-5368</t>
        </is>
      </c>
    </row>
    <row r="63" hidden="1" s="169">
      <c r="A63" s="0" t="inlineStr">
        <is>
          <t>이정희</t>
        </is>
      </c>
      <c r="B63" s="0" t="n">
        <v>3728</v>
      </c>
      <c r="C63" s="0" t="inlineStr">
        <is>
          <t>양재점</t>
        </is>
      </c>
      <c r="D63" s="0" t="inlineStr">
        <is>
          <t>AR1960</t>
        </is>
      </c>
      <c r="E63" s="0" t="inlineStr">
        <is>
          <t>주임</t>
        </is>
      </c>
      <c r="F63" s="0" t="inlineStr">
        <is>
          <t>691220-2051512</t>
        </is>
      </c>
      <c r="G63" s="111" t="n">
        <v>45812</v>
      </c>
      <c r="H63" s="111" t="n">
        <v>45841</v>
      </c>
      <c r="I63" s="0" t="inlineStr">
        <is>
          <t>매장직1</t>
        </is>
      </c>
      <c r="J63" s="0" t="inlineStr">
        <is>
          <t>010-6799-3184</t>
        </is>
      </c>
    </row>
    <row r="64">
      <c r="A64" s="0" t="inlineStr">
        <is>
          <t>이정희</t>
        </is>
      </c>
      <c r="B64" s="0" t="n">
        <v>3734</v>
      </c>
      <c r="C64" s="0" t="inlineStr">
        <is>
          <t>양재점</t>
        </is>
      </c>
      <c r="D64" s="0" t="inlineStr">
        <is>
          <t>AR1960</t>
        </is>
      </c>
      <c r="E64" s="0" t="inlineStr">
        <is>
          <t>주임</t>
        </is>
      </c>
      <c r="F64" s="0" t="inlineStr">
        <is>
          <t>691220-2051512</t>
        </is>
      </c>
      <c r="G64" s="111" t="n">
        <v>45870</v>
      </c>
      <c r="H64" s="111" t="n"/>
      <c r="I64" s="0" t="inlineStr">
        <is>
          <t>매장직1</t>
        </is>
      </c>
      <c r="J64" s="0" t="inlineStr">
        <is>
          <t>010-2145-3184</t>
        </is>
      </c>
    </row>
    <row r="65">
      <c r="A65" s="0" t="inlineStr">
        <is>
          <t>지은숙</t>
        </is>
      </c>
      <c r="B65" s="0" t="n">
        <v>3724</v>
      </c>
      <c r="C65" s="0" t="inlineStr">
        <is>
          <t>양재점</t>
        </is>
      </c>
      <c r="D65" s="0" t="inlineStr">
        <is>
          <t>AR1960</t>
        </is>
      </c>
      <c r="E65" s="0" t="inlineStr">
        <is>
          <t>주임</t>
        </is>
      </c>
      <c r="F65" s="0" t="inlineStr">
        <is>
          <t>690515-2109110</t>
        </is>
      </c>
      <c r="G65" s="111" t="n">
        <v>45748</v>
      </c>
      <c r="H65" s="111" t="n"/>
      <c r="I65" s="0" t="inlineStr">
        <is>
          <t>매장직1</t>
        </is>
      </c>
      <c r="J65" s="0" t="inlineStr">
        <is>
          <t>010-5211-7022</t>
        </is>
      </c>
    </row>
    <row r="66">
      <c r="A66" s="0" t="inlineStr">
        <is>
          <t>강인숙</t>
        </is>
      </c>
      <c r="B66" s="0" t="n">
        <v>3707</v>
      </c>
      <c r="C66" s="0" t="inlineStr">
        <is>
          <t>청주점</t>
        </is>
      </c>
      <c r="D66" s="0" t="inlineStr">
        <is>
          <t>AR1970</t>
        </is>
      </c>
      <c r="E66" s="0" t="inlineStr">
        <is>
          <t>과장</t>
        </is>
      </c>
      <c r="F66" s="0" t="inlineStr">
        <is>
          <t>720502-2626211</t>
        </is>
      </c>
      <c r="G66" s="111" t="n">
        <v>45597</v>
      </c>
      <c r="H66" s="111" t="n"/>
      <c r="I66" s="0" t="inlineStr">
        <is>
          <t>매장직1</t>
        </is>
      </c>
      <c r="J66" s="0" t="inlineStr">
        <is>
          <t>010-7634-7006</t>
        </is>
      </c>
    </row>
    <row r="67">
      <c r="A67" s="0" t="inlineStr">
        <is>
          <t>박주희</t>
        </is>
      </c>
      <c r="B67" s="0" t="n">
        <v>3693</v>
      </c>
      <c r="C67" s="0" t="inlineStr">
        <is>
          <t>청주점</t>
        </is>
      </c>
      <c r="D67" s="0" t="inlineStr">
        <is>
          <t>AR1970</t>
        </is>
      </c>
      <c r="E67" s="0" t="inlineStr">
        <is>
          <t>대리</t>
        </is>
      </c>
      <c r="F67" s="0" t="inlineStr">
        <is>
          <t>720303-2380610</t>
        </is>
      </c>
      <c r="G67" s="111" t="n">
        <v>45411</v>
      </c>
      <c r="H67" s="111" t="n"/>
      <c r="I67" s="0" t="inlineStr">
        <is>
          <t>매장직1</t>
        </is>
      </c>
      <c r="J67" s="0" t="inlineStr">
        <is>
          <t>010-5486-3721</t>
        </is>
      </c>
    </row>
    <row r="68">
      <c r="A68" s="0" t="inlineStr">
        <is>
          <t>박연수</t>
        </is>
      </c>
      <c r="B68" s="0" t="n">
        <v>3672</v>
      </c>
      <c r="C68" s="0" t="inlineStr">
        <is>
          <t>NC해운대점</t>
        </is>
      </c>
      <c r="D68" s="0" t="inlineStr">
        <is>
          <t>AR1980</t>
        </is>
      </c>
      <c r="E68" s="0" t="inlineStr">
        <is>
          <t>사원</t>
        </is>
      </c>
      <c r="F68" s="0" t="inlineStr">
        <is>
          <t>710721-2898820</t>
        </is>
      </c>
      <c r="G68" s="111" t="n">
        <v>45170</v>
      </c>
      <c r="H68" s="111" t="n"/>
      <c r="I68" s="0" t="inlineStr">
        <is>
          <t>매장직1</t>
        </is>
      </c>
      <c r="J68" s="0" t="inlineStr">
        <is>
          <t>010-2269-7386</t>
        </is>
      </c>
    </row>
    <row r="69">
      <c r="A69" s="0" t="inlineStr">
        <is>
          <t>박둘금</t>
        </is>
      </c>
      <c r="B69" s="0" t="n">
        <v>3697</v>
      </c>
      <c r="C69" s="0" t="inlineStr">
        <is>
          <t>NC해운대점</t>
        </is>
      </c>
      <c r="D69" s="0" t="inlineStr">
        <is>
          <t>AR1980</t>
        </is>
      </c>
      <c r="E69" s="0" t="inlineStr">
        <is>
          <t>사원</t>
        </is>
      </c>
      <c r="F69" s="0" t="inlineStr">
        <is>
          <t>680201-2122411</t>
        </is>
      </c>
      <c r="G69" s="111" t="n">
        <v>45444</v>
      </c>
      <c r="H69" s="111" t="n"/>
      <c r="I69" s="0" t="inlineStr">
        <is>
          <t>매장직1</t>
        </is>
      </c>
      <c r="J69" s="0" t="inlineStr">
        <is>
          <t>010-7343-2198</t>
        </is>
      </c>
    </row>
    <row r="70">
      <c r="A70" s="0" t="inlineStr">
        <is>
          <t>장석순</t>
        </is>
      </c>
      <c r="B70" s="0" t="n">
        <v>378</v>
      </c>
      <c r="C70" s="0" t="inlineStr">
        <is>
          <t>NC일산점</t>
        </is>
      </c>
      <c r="D70" s="0" t="inlineStr">
        <is>
          <t>AR1981</t>
        </is>
      </c>
      <c r="E70" s="0" t="inlineStr">
        <is>
          <t>대리</t>
        </is>
      </c>
      <c r="F70" s="0" t="inlineStr">
        <is>
          <t>670911-2079422</t>
        </is>
      </c>
      <c r="G70" s="111" t="n">
        <v>42982</v>
      </c>
      <c r="H70" s="111" t="n"/>
      <c r="I70" s="0" t="inlineStr">
        <is>
          <t>매장직1</t>
        </is>
      </c>
      <c r="J70" s="0" t="inlineStr">
        <is>
          <t>010-7648-6677</t>
        </is>
      </c>
    </row>
    <row r="71">
      <c r="A71" s="0" t="inlineStr">
        <is>
          <t>전선희</t>
        </is>
      </c>
      <c r="B71" s="0" t="n">
        <v>3730</v>
      </c>
      <c r="C71" s="0" t="inlineStr">
        <is>
          <t>NC일산점</t>
        </is>
      </c>
      <c r="D71" s="0" t="inlineStr">
        <is>
          <t>AR1981</t>
        </is>
      </c>
      <c r="E71" s="0" t="inlineStr">
        <is>
          <t>주임</t>
        </is>
      </c>
      <c r="F71" s="0" t="inlineStr">
        <is>
          <t>670510-2550911</t>
        </is>
      </c>
      <c r="G71" s="111" t="n">
        <v>45835</v>
      </c>
      <c r="H71" s="111" t="n"/>
      <c r="I71" s="0" t="inlineStr">
        <is>
          <t>매장직1</t>
        </is>
      </c>
      <c r="J71" s="0" t="inlineStr">
        <is>
          <t>010-4632-2591</t>
        </is>
      </c>
    </row>
    <row r="72">
      <c r="A72" s="0" t="inlineStr">
        <is>
          <t>진현전</t>
        </is>
      </c>
      <c r="B72" s="0" t="n">
        <v>3751</v>
      </c>
      <c r="C72" s="0" t="inlineStr">
        <is>
          <t>현대커넥트부산점</t>
        </is>
      </c>
      <c r="D72" s="0" t="inlineStr">
        <is>
          <t>AR1982</t>
        </is>
      </c>
      <c r="E72" s="0" t="inlineStr">
        <is>
          <t>점장</t>
        </is>
      </c>
      <c r="F72" s="0" t="inlineStr">
        <is>
          <t>710308-2822428</t>
        </is>
      </c>
      <c r="G72" s="111" t="n">
        <v>46107</v>
      </c>
      <c r="H72" s="111" t="n"/>
      <c r="I72" s="0" t="inlineStr">
        <is>
          <t>매장직1</t>
        </is>
      </c>
      <c r="J72" s="0" t="inlineStr">
        <is>
          <t>010-8410-3208</t>
        </is>
      </c>
    </row>
    <row r="73">
      <c r="A73" s="0" t="inlineStr">
        <is>
          <t>박지선</t>
        </is>
      </c>
      <c r="B73" s="0" t="n">
        <v>3752</v>
      </c>
      <c r="C73" s="0" t="inlineStr">
        <is>
          <t>현대커넥트부산점</t>
        </is>
      </c>
      <c r="D73" s="0" t="inlineStr">
        <is>
          <t>AR1982</t>
        </is>
      </c>
      <c r="E73" s="0" t="inlineStr">
        <is>
          <t>매니저</t>
        </is>
      </c>
      <c r="F73" s="0" t="inlineStr">
        <is>
          <t>700917-2920721</t>
        </is>
      </c>
      <c r="G73" s="111" t="n">
        <v>46107</v>
      </c>
      <c r="H73" s="111" t="n"/>
      <c r="I73" s="0" t="inlineStr">
        <is>
          <t>매장직1</t>
        </is>
      </c>
      <c r="J73" s="0" t="inlineStr">
        <is>
          <t>010-7363-2936</t>
        </is>
      </c>
    </row>
    <row r="74">
      <c r="A74" s="0" t="inlineStr">
        <is>
          <t>신영숙</t>
        </is>
      </c>
      <c r="B74" s="0" t="n">
        <v>3542</v>
      </c>
      <c r="C74" s="0" t="inlineStr">
        <is>
          <t>양주점(LF몰)</t>
        </is>
      </c>
      <c r="D74" s="0" t="inlineStr">
        <is>
          <t>AR2311</t>
        </is>
      </c>
      <c r="E74" s="0" t="inlineStr">
        <is>
          <t>점장</t>
        </is>
      </c>
      <c r="F74" s="0" t="inlineStr">
        <is>
          <t>670905-2031011</t>
        </is>
      </c>
      <c r="G74" s="111" t="n">
        <v>44013</v>
      </c>
      <c r="H74" s="111" t="n"/>
      <c r="I74" s="0" t="inlineStr">
        <is>
          <t>매장직1</t>
        </is>
      </c>
      <c r="J74" s="0" t="inlineStr">
        <is>
          <t>010-9259-1997</t>
        </is>
      </c>
    </row>
    <row r="75">
      <c r="A75" s="0" t="inlineStr">
        <is>
          <t>소민화</t>
        </is>
      </c>
      <c r="B75" s="0" t="n">
        <v>3690</v>
      </c>
      <c r="C75" s="0" t="inlineStr">
        <is>
          <t>양주점(LF몰)</t>
        </is>
      </c>
      <c r="D75" s="0" t="inlineStr">
        <is>
          <t>AR2311</t>
        </is>
      </c>
      <c r="E75" s="0" t="inlineStr">
        <is>
          <t>매니저</t>
        </is>
      </c>
      <c r="F75" s="0" t="inlineStr">
        <is>
          <t>680730-2657611</t>
        </is>
      </c>
      <c r="G75" s="111" t="n">
        <v>45352</v>
      </c>
      <c r="H75" s="111" t="n"/>
      <c r="I75" s="0" t="inlineStr">
        <is>
          <t>매장직1</t>
        </is>
      </c>
      <c r="J75" s="0" t="inlineStr">
        <is>
          <t>010-9906-7669</t>
        </is>
      </c>
    </row>
    <row r="76">
      <c r="A76" s="0" t="inlineStr">
        <is>
          <t>홍인숙</t>
        </is>
      </c>
      <c r="B76" s="0" t="n">
        <v>409</v>
      </c>
      <c r="C76" s="0" t="inlineStr">
        <is>
          <t>광명점(롯데아울렛)</t>
        </is>
      </c>
      <c r="D76" s="0" t="inlineStr">
        <is>
          <t>AR2403</t>
        </is>
      </c>
      <c r="E76" s="0" t="inlineStr">
        <is>
          <t>점장</t>
        </is>
      </c>
      <c r="F76" s="0" t="inlineStr">
        <is>
          <t>720202-2229017</t>
        </is>
      </c>
      <c r="G76" s="111" t="n">
        <v>43160</v>
      </c>
      <c r="H76" s="111" t="n"/>
      <c r="I76" s="0" t="inlineStr">
        <is>
          <t>매장직1</t>
        </is>
      </c>
      <c r="J76" s="0" t="inlineStr">
        <is>
          <t>010-8747-2291</t>
        </is>
      </c>
    </row>
    <row r="77">
      <c r="A77" s="0" t="inlineStr">
        <is>
          <t>조미숙</t>
        </is>
      </c>
      <c r="B77" s="0" t="n">
        <v>447</v>
      </c>
      <c r="C77" s="0" t="inlineStr">
        <is>
          <t>광명점(롯데아울렛)</t>
        </is>
      </c>
      <c r="D77" s="0" t="inlineStr">
        <is>
          <t>AR2403</t>
        </is>
      </c>
      <c r="E77" s="0" t="inlineStr">
        <is>
          <t>매니저</t>
        </is>
      </c>
      <c r="F77" s="0" t="inlineStr">
        <is>
          <t>681019-2156115</t>
        </is>
      </c>
      <c r="G77" s="111" t="n">
        <v>43556</v>
      </c>
      <c r="H77" s="111" t="n"/>
      <c r="I77" s="0" t="inlineStr">
        <is>
          <t>매장직1</t>
        </is>
      </c>
      <c r="J77" s="0" t="inlineStr">
        <is>
          <t>010-6222-6836</t>
        </is>
      </c>
    </row>
    <row r="78">
      <c r="A78" s="0" t="inlineStr">
        <is>
          <t>윤효숙</t>
        </is>
      </c>
      <c r="B78" s="0" t="n">
        <v>389</v>
      </c>
      <c r="C78" s="0" t="inlineStr">
        <is>
          <t>고양점(롯데아울렛)</t>
        </is>
      </c>
      <c r="D78" s="0" t="inlineStr">
        <is>
          <t>AR2501</t>
        </is>
      </c>
      <c r="E78" s="0" t="inlineStr">
        <is>
          <t>점장</t>
        </is>
      </c>
      <c r="F78" s="0" t="inlineStr">
        <is>
          <t>640524-2074412</t>
        </is>
      </c>
      <c r="G78" s="111" t="n">
        <v>43070</v>
      </c>
      <c r="H78" s="111" t="n"/>
      <c r="I78" s="0" t="inlineStr">
        <is>
          <t>매장직1</t>
        </is>
      </c>
      <c r="J78" s="0" t="inlineStr">
        <is>
          <t>010-4677-4933</t>
        </is>
      </c>
    </row>
    <row r="79">
      <c r="A79" s="0" t="inlineStr">
        <is>
          <t>김명옥</t>
        </is>
      </c>
      <c r="B79" s="0" t="n">
        <v>448</v>
      </c>
      <c r="C79" s="0" t="inlineStr">
        <is>
          <t>고양점(롯데아울렛)</t>
        </is>
      </c>
      <c r="D79" s="0" t="inlineStr">
        <is>
          <t>AR2501</t>
        </is>
      </c>
      <c r="E79" s="0" t="inlineStr">
        <is>
          <t>매니저</t>
        </is>
      </c>
      <c r="F79" s="0" t="inlineStr">
        <is>
          <t>661228-2673811</t>
        </is>
      </c>
      <c r="G79" s="111" t="n">
        <v>43556</v>
      </c>
      <c r="H79" s="111" t="n"/>
      <c r="I79" s="0" t="inlineStr">
        <is>
          <t>매장직1</t>
        </is>
      </c>
      <c r="J79" s="0" t="inlineStr">
        <is>
          <t>010-7232-3458</t>
        </is>
      </c>
    </row>
    <row r="80">
      <c r="A80" s="0" t="inlineStr">
        <is>
          <t>우재경</t>
        </is>
      </c>
      <c r="B80" s="0" t="n">
        <v>3594</v>
      </c>
      <c r="C80" s="0" t="inlineStr">
        <is>
          <t>광교점(롯데아울렛)</t>
        </is>
      </c>
      <c r="D80" s="0" t="inlineStr">
        <is>
          <t>AR2502</t>
        </is>
      </c>
      <c r="E80" s="0" t="inlineStr">
        <is>
          <t>매니저</t>
        </is>
      </c>
      <c r="F80" s="0" t="inlineStr">
        <is>
          <t>670210-2476356</t>
        </is>
      </c>
      <c r="G80" s="111" t="n">
        <v>44440</v>
      </c>
      <c r="H80" s="111" t="n"/>
      <c r="I80" s="0" t="inlineStr">
        <is>
          <t>매장직1</t>
        </is>
      </c>
      <c r="J80" s="0" t="inlineStr">
        <is>
          <t>010-8206-8247</t>
        </is>
      </c>
    </row>
    <row r="81">
      <c r="A81" s="0" t="inlineStr">
        <is>
          <t>최금요</t>
        </is>
      </c>
      <c r="B81" s="0" t="n">
        <v>461</v>
      </c>
      <c r="C81" s="0" t="inlineStr">
        <is>
          <t>광교점(롯데아울렛)</t>
        </is>
      </c>
      <c r="D81" s="0" t="inlineStr">
        <is>
          <t>AR2502</t>
        </is>
      </c>
      <c r="E81" s="0" t="inlineStr">
        <is>
          <t>점장</t>
        </is>
      </c>
      <c r="F81" s="0" t="inlineStr">
        <is>
          <t>630128-2536110</t>
        </is>
      </c>
      <c r="G81" s="111" t="n">
        <v>43647</v>
      </c>
      <c r="H81" s="111" t="n"/>
      <c r="I81" s="0" t="inlineStr">
        <is>
          <t>매장직1</t>
        </is>
      </c>
      <c r="J81" s="0" t="inlineStr">
        <is>
          <t>010-3880-8420</t>
        </is>
      </c>
    </row>
    <row r="82">
      <c r="A82" s="0" t="inlineStr">
        <is>
          <t>신재화</t>
        </is>
      </c>
      <c r="B82" s="0" t="n">
        <v>3623</v>
      </c>
      <c r="C82" s="0" t="inlineStr">
        <is>
          <t>군산점(롯데아울렛)</t>
        </is>
      </c>
      <c r="D82" s="0" t="inlineStr">
        <is>
          <t>AR2503</t>
        </is>
      </c>
      <c r="E82" s="0" t="inlineStr">
        <is>
          <t>매니저</t>
        </is>
      </c>
      <c r="F82" s="0" t="inlineStr">
        <is>
          <t>720104-2808021</t>
        </is>
      </c>
      <c r="G82" s="111" t="n">
        <v>44713</v>
      </c>
      <c r="H82" s="111" t="n"/>
      <c r="I82" s="0" t="inlineStr">
        <is>
          <t>매장직1</t>
        </is>
      </c>
      <c r="J82" s="0" t="inlineStr">
        <is>
          <t>010-3754-5635</t>
        </is>
      </c>
    </row>
    <row r="83">
      <c r="A83" s="0" t="inlineStr">
        <is>
          <t>지민숙</t>
        </is>
      </c>
      <c r="B83" s="0" t="n">
        <v>436</v>
      </c>
      <c r="C83" s="0" t="inlineStr">
        <is>
          <t>군산점(롯데아울렛)</t>
        </is>
      </c>
      <c r="D83" s="0" t="inlineStr">
        <is>
          <t>AR2503</t>
        </is>
      </c>
      <c r="E83" s="0" t="inlineStr">
        <is>
          <t>점장</t>
        </is>
      </c>
      <c r="F83" s="0" t="inlineStr">
        <is>
          <t>610928-2545312</t>
        </is>
      </c>
      <c r="G83" s="111" t="n">
        <v>43374</v>
      </c>
      <c r="H83" s="111" t="n"/>
      <c r="I83" s="0" t="inlineStr">
        <is>
          <t>매장직1</t>
        </is>
      </c>
      <c r="J83" s="0" t="inlineStr">
        <is>
          <t>010-2245-4650</t>
        </is>
      </c>
    </row>
    <row r="84">
      <c r="A84" s="0" t="inlineStr">
        <is>
          <t>김헌정</t>
        </is>
      </c>
      <c r="B84" s="0" t="n">
        <v>3526</v>
      </c>
      <c r="C84" s="0" t="inlineStr">
        <is>
          <t>동부산점(롯데아울렛)</t>
        </is>
      </c>
      <c r="D84" s="0" t="inlineStr">
        <is>
          <t>AR2505</t>
        </is>
      </c>
      <c r="E84" s="0" t="inlineStr">
        <is>
          <t>점장</t>
        </is>
      </c>
      <c r="F84" s="0" t="inlineStr">
        <is>
          <t>730629-2120611</t>
        </is>
      </c>
      <c r="G84" s="111" t="n">
        <v>43914</v>
      </c>
      <c r="H84" s="111" t="n"/>
      <c r="I84" s="0" t="inlineStr">
        <is>
          <t>매장직1</t>
        </is>
      </c>
      <c r="J84" s="0" t="inlineStr">
        <is>
          <t>010-6525-9257</t>
        </is>
      </c>
    </row>
    <row r="85">
      <c r="A85" s="0" t="inlineStr">
        <is>
          <t>정옥경</t>
        </is>
      </c>
      <c r="B85" s="0" t="n">
        <v>3703</v>
      </c>
      <c r="C85" s="0" t="inlineStr">
        <is>
          <t>동부산점(롯데아울렛)</t>
        </is>
      </c>
      <c r="D85" s="0" t="inlineStr">
        <is>
          <t>AR2505</t>
        </is>
      </c>
      <c r="E85" s="0" t="inlineStr">
        <is>
          <t>매니저</t>
        </is>
      </c>
      <c r="F85" s="0" t="inlineStr">
        <is>
          <t>640601-2122414</t>
        </is>
      </c>
      <c r="G85" s="111" t="n">
        <v>45566</v>
      </c>
      <c r="H85" s="111" t="n"/>
      <c r="I85" s="0" t="inlineStr">
        <is>
          <t>매장직1</t>
        </is>
      </c>
      <c r="J85" s="0" t="inlineStr">
        <is>
          <t>010-7744-7233</t>
        </is>
      </c>
    </row>
    <row r="86" hidden="1" s="169">
      <c r="A86" s="0" t="inlineStr">
        <is>
          <t>최경진</t>
        </is>
      </c>
      <c r="B86" s="0" t="n">
        <v>420</v>
      </c>
      <c r="C86" s="0" t="inlineStr">
        <is>
          <t>롯데동래점</t>
        </is>
      </c>
      <c r="D86" s="0" t="inlineStr">
        <is>
          <t>AR2602</t>
        </is>
      </c>
      <c r="E86" s="0" t="inlineStr">
        <is>
          <t>점장</t>
        </is>
      </c>
      <c r="F86" s="0" t="inlineStr">
        <is>
          <t>720327-2120054</t>
        </is>
      </c>
      <c r="G86" s="111" t="n">
        <v>43252</v>
      </c>
      <c r="H86" s="111" t="n">
        <v>45991</v>
      </c>
      <c r="I86" s="0" t="inlineStr">
        <is>
          <t>매장직1</t>
        </is>
      </c>
      <c r="J86" s="0" t="inlineStr">
        <is>
          <t>010-7142-4740</t>
        </is>
      </c>
    </row>
    <row r="87" hidden="1" s="169">
      <c r="A87" s="0" t="inlineStr">
        <is>
          <t>이태자</t>
        </is>
      </c>
      <c r="B87" s="0" t="n">
        <v>421</v>
      </c>
      <c r="C87" s="0" t="inlineStr">
        <is>
          <t>롯데동래점</t>
        </is>
      </c>
      <c r="D87" s="0" t="inlineStr">
        <is>
          <t>AR2602</t>
        </is>
      </c>
      <c r="E87" s="0" t="inlineStr">
        <is>
          <t>매니저</t>
        </is>
      </c>
      <c r="F87" s="0" t="inlineStr">
        <is>
          <t>630924-2783426</t>
        </is>
      </c>
      <c r="G87" s="111" t="n">
        <v>43252</v>
      </c>
      <c r="H87" s="111" t="n">
        <v>45991</v>
      </c>
      <c r="I87" s="0" t="inlineStr">
        <is>
          <t>매장직1</t>
        </is>
      </c>
      <c r="J87" s="0" t="inlineStr">
        <is>
          <t>010-5504-8564</t>
        </is>
      </c>
    </row>
    <row r="88">
      <c r="A88" s="0" t="inlineStr">
        <is>
          <t>유제숙</t>
        </is>
      </c>
      <c r="B88" s="0" t="n">
        <v>3653</v>
      </c>
      <c r="C88" s="0" t="inlineStr">
        <is>
          <t>롯데광복점</t>
        </is>
      </c>
      <c r="D88" s="0" t="inlineStr">
        <is>
          <t>AR2603</t>
        </is>
      </c>
      <c r="E88" s="0" t="inlineStr">
        <is>
          <t>매니저</t>
        </is>
      </c>
      <c r="F88" s="0" t="inlineStr">
        <is>
          <t>681024-2654917</t>
        </is>
      </c>
      <c r="G88" s="111" t="n">
        <v>44958</v>
      </c>
      <c r="H88" s="111" t="n"/>
      <c r="I88" s="0" t="inlineStr">
        <is>
          <t>매장직1</t>
        </is>
      </c>
      <c r="J88" s="0" t="inlineStr">
        <is>
          <t>010-3335-3530</t>
        </is>
      </c>
    </row>
    <row r="89">
      <c r="A89" s="0" t="inlineStr">
        <is>
          <t>양선희</t>
        </is>
      </c>
      <c r="B89" s="0" t="n">
        <v>488</v>
      </c>
      <c r="C89" s="0" t="inlineStr">
        <is>
          <t>롯데광복점</t>
        </is>
      </c>
      <c r="D89" s="0" t="inlineStr">
        <is>
          <t>AR2603</t>
        </is>
      </c>
      <c r="E89" s="0" t="inlineStr">
        <is>
          <t>점장</t>
        </is>
      </c>
      <c r="F89" s="0" t="inlineStr">
        <is>
          <t>700719-2644022</t>
        </is>
      </c>
      <c r="G89" s="111" t="n">
        <v>43831</v>
      </c>
      <c r="H89" s="111" t="n"/>
      <c r="I89" s="0" t="inlineStr">
        <is>
          <t>매장직1</t>
        </is>
      </c>
      <c r="J89" s="0" t="inlineStr">
        <is>
          <t>010-3829-1969</t>
        </is>
      </c>
    </row>
    <row r="90" hidden="1" s="169">
      <c r="A90" s="0" t="inlineStr">
        <is>
          <t>이영순</t>
        </is>
      </c>
      <c r="B90" s="0" t="n">
        <v>3705</v>
      </c>
      <c r="C90" s="0" t="inlineStr">
        <is>
          <t>신세계충청점</t>
        </is>
      </c>
      <c r="D90" s="0" t="inlineStr">
        <is>
          <t>AR2604</t>
        </is>
      </c>
      <c r="E90" s="0" t="inlineStr">
        <is>
          <t>매니저</t>
        </is>
      </c>
      <c r="F90" s="0" t="inlineStr">
        <is>
          <t>640229-2324110</t>
        </is>
      </c>
      <c r="G90" s="111" t="n">
        <v>45597</v>
      </c>
      <c r="H90" s="111" t="n">
        <v>46112</v>
      </c>
      <c r="I90" s="0" t="inlineStr">
        <is>
          <t>매장직1</t>
        </is>
      </c>
      <c r="J90" s="0" t="inlineStr">
        <is>
          <t>010-9483-9913</t>
        </is>
      </c>
    </row>
    <row r="91">
      <c r="A91" s="0" t="inlineStr">
        <is>
          <t>김도희</t>
        </is>
      </c>
      <c r="B91" s="0" t="n">
        <v>3756</v>
      </c>
      <c r="C91" s="0" t="inlineStr">
        <is>
          <t>신세계충청점</t>
        </is>
      </c>
      <c r="D91" s="0" t="inlineStr">
        <is>
          <t>AR2604</t>
        </is>
      </c>
      <c r="E91" s="0" t="inlineStr">
        <is>
          <t>점장</t>
        </is>
      </c>
      <c r="F91" s="0" t="inlineStr">
        <is>
          <t>680827-2475712</t>
        </is>
      </c>
      <c r="G91" s="111" t="n">
        <v>46174</v>
      </c>
      <c r="H91" s="111" t="n"/>
      <c r="I91" s="0" t="inlineStr">
        <is>
          <t>매장직1</t>
        </is>
      </c>
      <c r="J91" s="0" t="inlineStr">
        <is>
          <t>010-3404-5285</t>
        </is>
      </c>
    </row>
    <row r="92" hidden="1" s="169">
      <c r="A92" s="0" t="inlineStr">
        <is>
          <t>김우진</t>
        </is>
      </c>
      <c r="B92" s="0" t="n">
        <v>422</v>
      </c>
      <c r="C92" s="0" t="inlineStr">
        <is>
          <t>신세계충청점</t>
        </is>
      </c>
      <c r="D92" s="0" t="inlineStr">
        <is>
          <t>AR2604</t>
        </is>
      </c>
      <c r="E92" s="0" t="inlineStr">
        <is>
          <t>점장</t>
        </is>
      </c>
      <c r="F92" s="0" t="inlineStr">
        <is>
          <t>680113-2090419</t>
        </is>
      </c>
      <c r="G92" s="111" t="n">
        <v>43252</v>
      </c>
      <c r="H92" s="111" t="n">
        <v>46157</v>
      </c>
      <c r="I92" s="0" t="inlineStr">
        <is>
          <t>매장직1</t>
        </is>
      </c>
      <c r="J92" s="0" t="inlineStr">
        <is>
          <t>010-9577-2392</t>
        </is>
      </c>
    </row>
    <row r="93">
      <c r="A93" s="0" t="inlineStr">
        <is>
          <t>강보인</t>
        </is>
      </c>
      <c r="B93" s="0" t="n">
        <v>3508</v>
      </c>
      <c r="C93" s="0" t="inlineStr">
        <is>
          <t>신세계의정부점</t>
        </is>
      </c>
      <c r="D93" s="0" t="inlineStr">
        <is>
          <t>AR2605</t>
        </is>
      </c>
      <c r="E93" s="0" t="inlineStr">
        <is>
          <t>점장</t>
        </is>
      </c>
      <c r="F93" s="0" t="inlineStr">
        <is>
          <t>610921-2645922</t>
        </is>
      </c>
      <c r="G93" s="111" t="n">
        <v>43831</v>
      </c>
      <c r="H93" s="111" t="n"/>
      <c r="I93" s="0" t="inlineStr">
        <is>
          <t>매장직1</t>
        </is>
      </c>
      <c r="J93" s="0" t="inlineStr">
        <is>
          <t>010-8078-3100</t>
        </is>
      </c>
    </row>
    <row r="94">
      <c r="A94" s="0" t="inlineStr">
        <is>
          <t>한영란</t>
        </is>
      </c>
      <c r="B94" s="0" t="n">
        <v>3701</v>
      </c>
      <c r="C94" s="0" t="inlineStr">
        <is>
          <t>신세계의정부점</t>
        </is>
      </c>
      <c r="D94" s="0" t="inlineStr">
        <is>
          <t>AR2605</t>
        </is>
      </c>
      <c r="E94" s="0" t="inlineStr">
        <is>
          <t>매니저</t>
        </is>
      </c>
      <c r="F94" s="0" t="inlineStr">
        <is>
          <t>610407-2645928</t>
        </is>
      </c>
      <c r="G94" s="111" t="n">
        <v>45505</v>
      </c>
      <c r="H94" s="111" t="n"/>
      <c r="I94" s="0" t="inlineStr">
        <is>
          <t>매장직1</t>
        </is>
      </c>
      <c r="J94" s="0" t="inlineStr">
        <is>
          <t>010-8892-5642</t>
        </is>
      </c>
    </row>
    <row r="95">
      <c r="A95" s="0" t="inlineStr">
        <is>
          <t>김주희</t>
        </is>
      </c>
      <c r="B95" s="0" t="n">
        <v>3536</v>
      </c>
      <c r="C95" s="0" t="inlineStr">
        <is>
          <t>롯데구리점</t>
        </is>
      </c>
      <c r="D95" s="0" t="inlineStr">
        <is>
          <t>AR2607</t>
        </is>
      </c>
      <c r="E95" s="0" t="inlineStr">
        <is>
          <t>점장</t>
        </is>
      </c>
      <c r="F95" s="0" t="inlineStr">
        <is>
          <t>730428-2031439</t>
        </is>
      </c>
      <c r="G95" s="111" t="n">
        <v>43952</v>
      </c>
      <c r="H95" s="111" t="n"/>
      <c r="I95" s="0" t="inlineStr">
        <is>
          <t>매장직1</t>
        </is>
      </c>
      <c r="J95" s="0" t="inlineStr">
        <is>
          <t>010-4555-8052</t>
        </is>
      </c>
    </row>
    <row r="96">
      <c r="A96" s="0" t="inlineStr">
        <is>
          <t>이미선</t>
        </is>
      </c>
      <c r="B96" s="0" t="n">
        <v>3702</v>
      </c>
      <c r="C96" s="0" t="inlineStr">
        <is>
          <t>롯데구리점</t>
        </is>
      </c>
      <c r="D96" s="0" t="inlineStr">
        <is>
          <t>AR2607</t>
        </is>
      </c>
      <c r="E96" s="0" t="inlineStr">
        <is>
          <t>매니저</t>
        </is>
      </c>
      <c r="F96" s="0" t="inlineStr">
        <is>
          <t>820118-2012221</t>
        </is>
      </c>
      <c r="G96" s="111" t="n">
        <v>45536</v>
      </c>
      <c r="H96" s="111" t="n"/>
      <c r="I96" s="0" t="inlineStr">
        <is>
          <t>매장직1</t>
        </is>
      </c>
      <c r="J96" s="0" t="inlineStr">
        <is>
          <t>010-3446-4464</t>
        </is>
      </c>
    </row>
    <row r="97" hidden="1" s="169">
      <c r="A97" s="0" t="inlineStr">
        <is>
          <t>정순주</t>
        </is>
      </c>
      <c r="B97" s="0" t="n">
        <v>3712</v>
      </c>
      <c r="C97" s="0" t="inlineStr">
        <is>
          <t>신세계김해점</t>
        </is>
      </c>
      <c r="D97" s="0" t="inlineStr">
        <is>
          <t>AR2609</t>
        </is>
      </c>
      <c r="E97" s="0" t="inlineStr">
        <is>
          <t>사원</t>
        </is>
      </c>
      <c r="F97" s="0" t="inlineStr">
        <is>
          <t>730427-2894612</t>
        </is>
      </c>
      <c r="G97" s="111" t="n">
        <v>45627</v>
      </c>
      <c r="H97" s="111" t="n">
        <v>45716</v>
      </c>
      <c r="I97" s="0" t="inlineStr">
        <is>
          <t>매장직1</t>
        </is>
      </c>
      <c r="J97" s="0" t="inlineStr">
        <is>
          <t>010-8549-7719</t>
        </is>
      </c>
    </row>
    <row r="98">
      <c r="A98" s="0" t="inlineStr">
        <is>
          <t>이단비</t>
        </is>
      </c>
      <c r="B98" s="0" t="n">
        <v>3721</v>
      </c>
      <c r="C98" s="0" t="inlineStr">
        <is>
          <t>신세계김해점</t>
        </is>
      </c>
      <c r="D98" s="0" t="inlineStr">
        <is>
          <t>AR2609</t>
        </is>
      </c>
      <c r="E98" s="0" t="inlineStr">
        <is>
          <t>매니저</t>
        </is>
      </c>
      <c r="F98" s="0" t="inlineStr">
        <is>
          <t>940413-2351517</t>
        </is>
      </c>
      <c r="G98" s="111" t="n">
        <v>45717</v>
      </c>
      <c r="H98" s="111" t="n"/>
      <c r="I98" s="0" t="inlineStr">
        <is>
          <t>매장직1</t>
        </is>
      </c>
      <c r="J98" s="0" t="inlineStr">
        <is>
          <t>010-2268-5673</t>
        </is>
      </c>
    </row>
    <row r="99">
      <c r="A99" s="0" t="inlineStr">
        <is>
          <t>김경숙</t>
        </is>
      </c>
      <c r="B99" s="0" t="n">
        <v>3758</v>
      </c>
      <c r="C99" s="0" t="inlineStr">
        <is>
          <t>신세계김해점</t>
        </is>
      </c>
      <c r="D99" s="0" t="inlineStr">
        <is>
          <t>AR2609</t>
        </is>
      </c>
      <c r="E99" s="0" t="inlineStr">
        <is>
          <t>점장</t>
        </is>
      </c>
      <c r="F99" s="0" t="inlineStr">
        <is>
          <t>681111-2101120</t>
        </is>
      </c>
      <c r="G99" s="111" t="n">
        <v>46174</v>
      </c>
      <c r="H99" s="111" t="n"/>
      <c r="I99" s="0" t="inlineStr">
        <is>
          <t>매장직1</t>
        </is>
      </c>
      <c r="J99" s="0" t="inlineStr">
        <is>
          <t>010-7143-8916</t>
        </is>
      </c>
    </row>
    <row r="100" hidden="1" s="169">
      <c r="A100" s="0" t="inlineStr">
        <is>
          <t>조명희</t>
        </is>
      </c>
      <c r="B100" s="0" t="n">
        <v>428</v>
      </c>
      <c r="C100" s="0" t="inlineStr">
        <is>
          <t>신세계김해점</t>
        </is>
      </c>
      <c r="D100" s="0" t="inlineStr">
        <is>
          <t>AR2609</t>
        </is>
      </c>
      <c r="E100" s="0" t="inlineStr">
        <is>
          <t>점장</t>
        </is>
      </c>
      <c r="F100" s="0" t="inlineStr">
        <is>
          <t>690824-2090210</t>
        </is>
      </c>
      <c r="G100" s="111" t="n">
        <v>43313</v>
      </c>
      <c r="H100" s="111" t="n">
        <v>46173</v>
      </c>
      <c r="I100" s="0" t="inlineStr">
        <is>
          <t>매장직1</t>
        </is>
      </c>
      <c r="J100" s="0" t="inlineStr">
        <is>
          <t>010-5400-5464</t>
        </is>
      </c>
    </row>
    <row r="101" hidden="1" s="169">
      <c r="A101" s="0" t="inlineStr">
        <is>
          <t>김현숙</t>
        </is>
      </c>
      <c r="B101" s="0" t="n">
        <v>3715</v>
      </c>
      <c r="C101" s="0" t="inlineStr">
        <is>
          <t>현대중동점</t>
        </is>
      </c>
      <c r="D101" s="0" t="inlineStr">
        <is>
          <t>AR2612</t>
        </is>
      </c>
      <c r="E101" s="0" t="inlineStr">
        <is>
          <t>매니저</t>
        </is>
      </c>
      <c r="F101" s="0" t="inlineStr">
        <is>
          <t>611118-2804337</t>
        </is>
      </c>
      <c r="G101" s="111" t="n">
        <v>45659</v>
      </c>
      <c r="H101" s="111" t="n">
        <v>45777</v>
      </c>
      <c r="I101" s="0" t="inlineStr">
        <is>
          <t>매장직1</t>
        </is>
      </c>
      <c r="J101" s="0" t="inlineStr">
        <is>
          <t>010-3383-6670</t>
        </is>
      </c>
    </row>
    <row r="102">
      <c r="A102" s="0" t="inlineStr">
        <is>
          <t>박현주</t>
        </is>
      </c>
      <c r="B102" s="0" t="n">
        <v>3727</v>
      </c>
      <c r="C102" s="0" t="inlineStr">
        <is>
          <t>현대중동점</t>
        </is>
      </c>
      <c r="D102" s="0" t="inlineStr">
        <is>
          <t>AR2612</t>
        </is>
      </c>
      <c r="E102" s="0" t="inlineStr">
        <is>
          <t>매니저</t>
        </is>
      </c>
      <c r="F102" s="0" t="inlineStr">
        <is>
          <t>640317-2010111</t>
        </is>
      </c>
      <c r="G102" s="111" t="n">
        <v>45809</v>
      </c>
      <c r="H102" s="111" t="n"/>
      <c r="I102" s="0" t="inlineStr">
        <is>
          <t>매장직1</t>
        </is>
      </c>
      <c r="J102" s="0" t="inlineStr">
        <is>
          <t>010-3363-5900</t>
        </is>
      </c>
    </row>
    <row r="103">
      <c r="A103" s="0" t="inlineStr">
        <is>
          <t>이명희</t>
        </is>
      </c>
      <c r="B103" s="0" t="n">
        <v>385</v>
      </c>
      <c r="C103" s="0" t="inlineStr">
        <is>
          <t>현대중동점</t>
        </is>
      </c>
      <c r="D103" s="0" t="inlineStr">
        <is>
          <t>AR2612</t>
        </is>
      </c>
      <c r="E103" s="0" t="inlineStr">
        <is>
          <t>점장</t>
        </is>
      </c>
      <c r="F103" s="0" t="inlineStr">
        <is>
          <t>700322-2163020</t>
        </is>
      </c>
      <c r="G103" s="111" t="n">
        <v>43040</v>
      </c>
      <c r="H103" s="111" t="n"/>
      <c r="I103" s="0" t="inlineStr">
        <is>
          <t>매장직1</t>
        </is>
      </c>
      <c r="J103" s="0" t="inlineStr">
        <is>
          <t>010-8871-1614</t>
        </is>
      </c>
    </row>
    <row r="104">
      <c r="A104" s="0" t="inlineStr">
        <is>
          <t>백수연</t>
        </is>
      </c>
      <c r="B104" s="0" t="n">
        <v>3504</v>
      </c>
      <c r="C104" s="0" t="inlineStr">
        <is>
          <t>현대동구점</t>
        </is>
      </c>
      <c r="D104" s="0" t="inlineStr">
        <is>
          <t>AR2613</t>
        </is>
      </c>
      <c r="E104" s="0" t="inlineStr">
        <is>
          <t>점장</t>
        </is>
      </c>
      <c r="F104" s="0" t="inlineStr">
        <is>
          <t>741109-2118117</t>
        </is>
      </c>
      <c r="G104" s="111" t="n">
        <v>43831</v>
      </c>
      <c r="H104" s="111" t="n"/>
      <c r="I104" s="0" t="inlineStr">
        <is>
          <t>매장직1</t>
        </is>
      </c>
      <c r="J104" s="0" t="inlineStr">
        <is>
          <t>010-5807-7819</t>
        </is>
      </c>
    </row>
    <row r="105" hidden="1" s="169">
      <c r="A105" s="0" t="inlineStr">
        <is>
          <t>김정희</t>
        </is>
      </c>
      <c r="B105" s="0" t="n">
        <v>3505</v>
      </c>
      <c r="C105" s="0" t="inlineStr">
        <is>
          <t>현대동구점</t>
        </is>
      </c>
      <c r="D105" s="0" t="inlineStr">
        <is>
          <t>AR2613</t>
        </is>
      </c>
      <c r="E105" s="0" t="inlineStr">
        <is>
          <t>매니저</t>
        </is>
      </c>
      <c r="F105" s="0" t="inlineStr">
        <is>
          <t>591218-2852211</t>
        </is>
      </c>
      <c r="G105" s="111" t="n">
        <v>43831</v>
      </c>
      <c r="H105" s="111" t="n">
        <v>45991</v>
      </c>
      <c r="I105" s="0" t="inlineStr">
        <is>
          <t>매장직1</t>
        </is>
      </c>
      <c r="J105" s="0" t="inlineStr">
        <is>
          <t>010-9506-5970</t>
        </is>
      </c>
    </row>
    <row r="106">
      <c r="A106" s="0" t="inlineStr">
        <is>
          <t>조정화</t>
        </is>
      </c>
      <c r="B106" s="0" t="n">
        <v>401</v>
      </c>
      <c r="C106" s="0" t="inlineStr">
        <is>
          <t>스타필드하남점</t>
        </is>
      </c>
      <c r="D106" s="0" t="inlineStr">
        <is>
          <t>AR2621</t>
        </is>
      </c>
      <c r="E106" s="0" t="inlineStr">
        <is>
          <t>점장</t>
        </is>
      </c>
      <c r="F106" s="0" t="inlineStr">
        <is>
          <t>661121-2558412</t>
        </is>
      </c>
      <c r="G106" s="111" t="n">
        <v>43132</v>
      </c>
      <c r="H106" s="111" t="n"/>
      <c r="I106" s="0" t="inlineStr">
        <is>
          <t>매장직1</t>
        </is>
      </c>
      <c r="J106" s="0" t="inlineStr">
        <is>
          <t>010-2343-2885</t>
        </is>
      </c>
    </row>
    <row r="107">
      <c r="A107" s="0" t="inlineStr">
        <is>
          <t>홍정숙</t>
        </is>
      </c>
      <c r="B107" s="0" t="n">
        <v>3572</v>
      </c>
      <c r="C107" s="0" t="inlineStr">
        <is>
          <t>롯데잠실점</t>
        </is>
      </c>
      <c r="D107" s="0" t="inlineStr">
        <is>
          <t>AR2622</t>
        </is>
      </c>
      <c r="E107" s="0" t="inlineStr">
        <is>
          <t>매니저</t>
        </is>
      </c>
      <c r="F107" s="0" t="inlineStr">
        <is>
          <t>670226-2716510</t>
        </is>
      </c>
      <c r="G107" s="111" t="n">
        <v>44256</v>
      </c>
      <c r="H107" s="111" t="n"/>
      <c r="I107" s="0" t="inlineStr">
        <is>
          <t>매장직1</t>
        </is>
      </c>
      <c r="J107" s="0" t="inlineStr">
        <is>
          <t>010-9489-6606</t>
        </is>
      </c>
    </row>
    <row r="108" hidden="1" s="169">
      <c r="A108" s="0" t="inlineStr">
        <is>
          <t>조영해</t>
        </is>
      </c>
      <c r="B108" s="0" t="n">
        <v>3681</v>
      </c>
      <c r="C108" s="0" t="inlineStr">
        <is>
          <t>롯데잠실점</t>
        </is>
      </c>
      <c r="D108" s="0" t="inlineStr">
        <is>
          <t>AR2622</t>
        </is>
      </c>
      <c r="E108" s="0" t="inlineStr">
        <is>
          <t>점장</t>
        </is>
      </c>
      <c r="F108" s="0" t="inlineStr">
        <is>
          <t>690116-2017615</t>
        </is>
      </c>
      <c r="G108" s="111" t="n">
        <v>45233</v>
      </c>
      <c r="H108" s="111" t="n">
        <v>46112</v>
      </c>
      <c r="I108" s="0" t="inlineStr">
        <is>
          <t>매장직1</t>
        </is>
      </c>
      <c r="J108" s="0" t="inlineStr">
        <is>
          <t>010-6280-5257</t>
        </is>
      </c>
    </row>
    <row r="109">
      <c r="A109" s="0" t="inlineStr">
        <is>
          <t>조종숙</t>
        </is>
      </c>
      <c r="B109" s="0" t="n">
        <v>495</v>
      </c>
      <c r="C109" s="0" t="inlineStr">
        <is>
          <t>롯데잠실점</t>
        </is>
      </c>
      <c r="D109" s="0" t="inlineStr">
        <is>
          <t>AR2622</t>
        </is>
      </c>
      <c r="E109" s="0" t="inlineStr">
        <is>
          <t>점장</t>
        </is>
      </c>
      <c r="F109" s="0" t="inlineStr">
        <is>
          <t>700111-2243512</t>
        </is>
      </c>
      <c r="G109" s="111" t="n">
        <v>43831</v>
      </c>
      <c r="H109" s="111" t="n"/>
      <c r="I109" s="0" t="inlineStr">
        <is>
          <t>매장직1</t>
        </is>
      </c>
      <c r="J109" s="0" t="inlineStr">
        <is>
          <t>010-3624-9274</t>
        </is>
      </c>
    </row>
    <row r="110">
      <c r="A110" s="0" t="inlineStr">
        <is>
          <t>차정희</t>
        </is>
      </c>
      <c r="B110" s="0" t="n">
        <v>449</v>
      </c>
      <c r="C110" s="0" t="inlineStr">
        <is>
          <t>롯데미아점</t>
        </is>
      </c>
      <c r="D110" s="0" t="inlineStr">
        <is>
          <t>AR2624</t>
        </is>
      </c>
      <c r="E110" s="0" t="inlineStr">
        <is>
          <t>점장</t>
        </is>
      </c>
      <c r="F110" s="0" t="inlineStr">
        <is>
          <t>720822-2122016</t>
        </is>
      </c>
      <c r="G110" s="111" t="n">
        <v>43556</v>
      </c>
      <c r="H110" s="111" t="n"/>
      <c r="I110" s="0" t="inlineStr">
        <is>
          <t>매장직1</t>
        </is>
      </c>
      <c r="J110" s="0" t="inlineStr">
        <is>
          <t>010-2276-5172</t>
        </is>
      </c>
    </row>
    <row r="111" hidden="1" s="169">
      <c r="A111" s="0" t="inlineStr">
        <is>
          <t>장명순</t>
        </is>
      </c>
      <c r="B111" s="0" t="n">
        <v>499</v>
      </c>
      <c r="C111" s="0" t="inlineStr">
        <is>
          <t>롯데미아점</t>
        </is>
      </c>
      <c r="D111" s="0" t="inlineStr">
        <is>
          <t>AR2624</t>
        </is>
      </c>
      <c r="E111" s="0" t="inlineStr">
        <is>
          <t>매니저</t>
        </is>
      </c>
      <c r="F111" s="0" t="inlineStr">
        <is>
          <t>590426-2478110</t>
        </is>
      </c>
      <c r="G111" s="111" t="n">
        <v>43831</v>
      </c>
      <c r="H111" s="111" t="n">
        <v>46022</v>
      </c>
      <c r="I111" s="0" t="inlineStr">
        <is>
          <t>매장직1</t>
        </is>
      </c>
      <c r="J111" s="0" t="inlineStr">
        <is>
          <t>010-4200-8126</t>
        </is>
      </c>
    </row>
    <row r="112">
      <c r="A112" s="0" t="inlineStr">
        <is>
          <t>고화순</t>
        </is>
      </c>
      <c r="B112" s="0" t="n">
        <v>3532</v>
      </c>
      <c r="C112" s="0" t="inlineStr">
        <is>
          <t>롯데수원점</t>
        </is>
      </c>
      <c r="D112" s="0" t="inlineStr">
        <is>
          <t>AR2625</t>
        </is>
      </c>
      <c r="E112" s="0" t="inlineStr">
        <is>
          <t>매니저</t>
        </is>
      </c>
      <c r="F112" s="0" t="inlineStr">
        <is>
          <t>610120-2474321</t>
        </is>
      </c>
      <c r="G112" s="111" t="n">
        <v>43952</v>
      </c>
      <c r="H112" s="111" t="n"/>
      <c r="I112" s="0" t="inlineStr">
        <is>
          <t>매장직1</t>
        </is>
      </c>
      <c r="J112" s="0" t="inlineStr">
        <is>
          <t>010-5474-0534</t>
        </is>
      </c>
    </row>
    <row r="113">
      <c r="A113" s="0" t="inlineStr">
        <is>
          <t>장양옥</t>
        </is>
      </c>
      <c r="B113" s="0" t="n">
        <v>490</v>
      </c>
      <c r="C113" s="0" t="inlineStr">
        <is>
          <t>롯데수원점</t>
        </is>
      </c>
      <c r="D113" s="0" t="inlineStr">
        <is>
          <t>AR2625</t>
        </is>
      </c>
      <c r="E113" s="0" t="inlineStr">
        <is>
          <t>점장</t>
        </is>
      </c>
      <c r="F113" s="0" t="inlineStr">
        <is>
          <t>660423-2335012</t>
        </is>
      </c>
      <c r="G113" s="111" t="n">
        <v>43831</v>
      </c>
      <c r="H113" s="111" t="n"/>
      <c r="I113" s="0" t="inlineStr">
        <is>
          <t>매장직1</t>
        </is>
      </c>
      <c r="J113" s="0" t="inlineStr">
        <is>
          <t>010-4227-5142</t>
        </is>
      </c>
    </row>
    <row r="114" hidden="1" s="169">
      <c r="A114" s="0" t="inlineStr">
        <is>
          <t>유미옥</t>
        </is>
      </c>
      <c r="B114" s="0" t="n">
        <v>3567</v>
      </c>
      <c r="C114" s="0" t="inlineStr">
        <is>
          <t>롯데분당점</t>
        </is>
      </c>
      <c r="D114" s="0" t="inlineStr">
        <is>
          <t>AR2626</t>
        </is>
      </c>
      <c r="E114" s="0" t="inlineStr">
        <is>
          <t>사원</t>
        </is>
      </c>
      <c r="F114" s="0" t="inlineStr">
        <is>
          <t>671008-2348040</t>
        </is>
      </c>
      <c r="G114" s="111" t="n">
        <v>44197</v>
      </c>
      <c r="H114" s="111" t="n">
        <v>45716</v>
      </c>
      <c r="I114" s="0" t="inlineStr">
        <is>
          <t>매장직1</t>
        </is>
      </c>
      <c r="J114" s="0" t="inlineStr">
        <is>
          <t>010-7399-3827</t>
        </is>
      </c>
    </row>
    <row r="115" hidden="1" s="169">
      <c r="A115" s="0" t="inlineStr">
        <is>
          <t>유재금</t>
        </is>
      </c>
      <c r="B115" s="0" t="n">
        <v>3720</v>
      </c>
      <c r="C115" s="0" t="inlineStr">
        <is>
          <t>롯데분당점</t>
        </is>
      </c>
      <c r="D115" s="0" t="inlineStr">
        <is>
          <t>AR2626</t>
        </is>
      </c>
      <c r="E115" s="0" t="inlineStr">
        <is>
          <t>매니저</t>
        </is>
      </c>
      <c r="F115" s="0" t="inlineStr">
        <is>
          <t>660801-2912234</t>
        </is>
      </c>
      <c r="G115" s="111" t="n">
        <v>45717</v>
      </c>
      <c r="H115" s="111" t="n">
        <v>46111</v>
      </c>
      <c r="I115" s="0" t="inlineStr">
        <is>
          <t>매장직1</t>
        </is>
      </c>
      <c r="J115" s="0" t="inlineStr">
        <is>
          <t>010-9086-1699</t>
        </is>
      </c>
    </row>
    <row r="116" hidden="1" s="169">
      <c r="A116" s="0" t="inlineStr">
        <is>
          <t>장연정</t>
        </is>
      </c>
      <c r="B116" s="0" t="n">
        <v>3576</v>
      </c>
      <c r="C116" s="0" t="inlineStr">
        <is>
          <t>롯데상인점</t>
        </is>
      </c>
      <c r="D116" s="0" t="inlineStr">
        <is>
          <t>AR2630</t>
        </is>
      </c>
      <c r="E116" s="0" t="inlineStr">
        <is>
          <t>점장</t>
        </is>
      </c>
      <c r="F116" s="0" t="inlineStr">
        <is>
          <t>740610-2691711</t>
        </is>
      </c>
      <c r="G116" s="111" t="n">
        <v>44317</v>
      </c>
      <c r="H116" s="111" t="n">
        <v>45859</v>
      </c>
      <c r="I116" s="0" t="inlineStr">
        <is>
          <t>매장직1</t>
        </is>
      </c>
      <c r="J116" s="0" t="inlineStr">
        <is>
          <t>010-9389-8670</t>
        </is>
      </c>
    </row>
    <row r="117">
      <c r="A117" s="0" t="inlineStr">
        <is>
          <t>김혜숙</t>
        </is>
      </c>
      <c r="B117" s="0" t="n">
        <v>3650</v>
      </c>
      <c r="C117" s="0" t="inlineStr">
        <is>
          <t>롯데상인점</t>
        </is>
      </c>
      <c r="D117" s="0" t="inlineStr">
        <is>
          <t>AR2630</t>
        </is>
      </c>
      <c r="E117" s="0" t="inlineStr">
        <is>
          <t>매니저</t>
        </is>
      </c>
      <c r="F117" s="0" t="inlineStr">
        <is>
          <t>661011-2774824</t>
        </is>
      </c>
      <c r="G117" s="111" t="n">
        <v>44928</v>
      </c>
      <c r="H117" s="111" t="n"/>
      <c r="I117" s="0" t="inlineStr">
        <is>
          <t>매장직1</t>
        </is>
      </c>
      <c r="J117" s="0" t="inlineStr">
        <is>
          <t>010-8711-4210</t>
        </is>
      </c>
    </row>
    <row r="118">
      <c r="A118" s="0" t="inlineStr">
        <is>
          <t>이영옥</t>
        </is>
      </c>
      <c r="B118" s="0" t="n">
        <v>3735</v>
      </c>
      <c r="C118" s="0" t="inlineStr">
        <is>
          <t>롯데상인점</t>
        </is>
      </c>
      <c r="D118" s="0" t="inlineStr">
        <is>
          <t>AR2630</t>
        </is>
      </c>
      <c r="E118" s="0" t="inlineStr">
        <is>
          <t>점장</t>
        </is>
      </c>
      <c r="F118" s="0" t="inlineStr">
        <is>
          <t>680901-2768417</t>
        </is>
      </c>
      <c r="G118" s="111" t="n">
        <v>45870</v>
      </c>
      <c r="H118" s="111" t="n"/>
      <c r="I118" s="0" t="inlineStr">
        <is>
          <t>매장직1</t>
        </is>
      </c>
      <c r="J118" s="0" t="inlineStr">
        <is>
          <t>010-3478-0030</t>
        </is>
      </c>
    </row>
    <row r="119" hidden="1" s="169">
      <c r="A119" s="0" t="inlineStr">
        <is>
          <t>진미현</t>
        </is>
      </c>
      <c r="B119" s="0" t="n">
        <v>430</v>
      </c>
      <c r="C119" s="0" t="inlineStr">
        <is>
          <t>신세계대구점</t>
        </is>
      </c>
      <c r="D119" s="0" t="inlineStr">
        <is>
          <t>AR2631</t>
        </is>
      </c>
      <c r="E119" s="0" t="inlineStr">
        <is>
          <t>점장</t>
        </is>
      </c>
      <c r="F119" s="0" t="inlineStr">
        <is>
          <t>671227-2786314</t>
        </is>
      </c>
      <c r="G119" s="111" t="n">
        <v>43313</v>
      </c>
      <c r="H119" s="111" t="n">
        <v>45808</v>
      </c>
      <c r="I119" s="0" t="inlineStr">
        <is>
          <t>매장직1</t>
        </is>
      </c>
      <c r="J119" s="0" t="inlineStr">
        <is>
          <t>010-9912-0973</t>
        </is>
      </c>
    </row>
    <row r="120" hidden="1" s="169">
      <c r="A120" s="0" t="inlineStr">
        <is>
          <t>정미경</t>
        </is>
      </c>
      <c r="B120" s="0" t="n">
        <v>431</v>
      </c>
      <c r="C120" s="0" t="inlineStr">
        <is>
          <t>신세계대구점</t>
        </is>
      </c>
      <c r="D120" s="0" t="inlineStr">
        <is>
          <t>AR2631</t>
        </is>
      </c>
      <c r="E120" s="0" t="inlineStr">
        <is>
          <t>매니저</t>
        </is>
      </c>
      <c r="F120" s="0" t="inlineStr">
        <is>
          <t>680104-2674427</t>
        </is>
      </c>
      <c r="G120" s="111" t="n">
        <v>43313</v>
      </c>
      <c r="H120" s="111" t="n">
        <v>45777</v>
      </c>
      <c r="I120" s="0" t="inlineStr">
        <is>
          <t>매장직1</t>
        </is>
      </c>
      <c r="J120" s="0" t="inlineStr">
        <is>
          <t>010-6504-3741</t>
        </is>
      </c>
    </row>
    <row r="121">
      <c r="A121" s="0" t="inlineStr">
        <is>
          <t>마선예</t>
        </is>
      </c>
      <c r="B121" s="0" t="n">
        <v>3637</v>
      </c>
      <c r="C121" s="0" t="inlineStr">
        <is>
          <t>롯데강남점</t>
        </is>
      </c>
      <c r="D121" s="0" t="inlineStr">
        <is>
          <t>AR2632</t>
        </is>
      </c>
      <c r="E121" s="0" t="inlineStr">
        <is>
          <t>점장</t>
        </is>
      </c>
      <c r="F121" s="0" t="inlineStr">
        <is>
          <t>670501-2168118</t>
        </is>
      </c>
      <c r="G121" s="111" t="n">
        <v>44835</v>
      </c>
      <c r="H121" s="111" t="n"/>
      <c r="I121" s="0" t="inlineStr">
        <is>
          <t>매장직1</t>
        </is>
      </c>
      <c r="J121" s="0" t="inlineStr">
        <is>
          <t>010-8872-2309</t>
        </is>
      </c>
    </row>
    <row r="122">
      <c r="A122" s="0" t="inlineStr">
        <is>
          <t>신미정</t>
        </is>
      </c>
      <c r="B122" s="0" t="n">
        <v>3687</v>
      </c>
      <c r="C122" s="0" t="inlineStr">
        <is>
          <t>롯데강남점</t>
        </is>
      </c>
      <c r="D122" s="0" t="inlineStr">
        <is>
          <t>AR2632</t>
        </is>
      </c>
      <c r="E122" s="0" t="inlineStr">
        <is>
          <t>매니저</t>
        </is>
      </c>
      <c r="F122" s="0" t="inlineStr">
        <is>
          <t>640727-2548311</t>
        </is>
      </c>
      <c r="G122" s="111" t="n">
        <v>45323</v>
      </c>
      <c r="H122" s="111" t="n"/>
      <c r="I122" s="0" t="inlineStr">
        <is>
          <t>매장직1</t>
        </is>
      </c>
      <c r="J122" s="0" t="inlineStr">
        <is>
          <t>010-9038-4138</t>
        </is>
      </c>
    </row>
    <row r="123" hidden="1" s="169">
      <c r="A123" s="0" t="inlineStr">
        <is>
          <t>심주</t>
        </is>
      </c>
      <c r="B123" s="0" t="n">
        <v>3548</v>
      </c>
      <c r="C123" s="0" t="inlineStr">
        <is>
          <t>현대디큐브시티점</t>
        </is>
      </c>
      <c r="D123" s="0" t="inlineStr">
        <is>
          <t>AR2635</t>
        </is>
      </c>
      <c r="E123" s="0" t="inlineStr">
        <is>
          <t>점장</t>
        </is>
      </c>
      <c r="F123" s="0" t="inlineStr">
        <is>
          <t>660329-2777814</t>
        </is>
      </c>
      <c r="G123" s="111" t="n">
        <v>44044</v>
      </c>
      <c r="H123" s="111" t="n">
        <v>45838</v>
      </c>
      <c r="I123" s="0" t="inlineStr">
        <is>
          <t>매장직1</t>
        </is>
      </c>
      <c r="J123" s="0" t="inlineStr">
        <is>
          <t>010-8939-7270</t>
        </is>
      </c>
    </row>
    <row r="124">
      <c r="A124" s="0" t="inlineStr">
        <is>
          <t>박정애</t>
        </is>
      </c>
      <c r="B124" s="0" t="n">
        <v>3632</v>
      </c>
      <c r="C124" s="0" t="inlineStr">
        <is>
          <t>현대울산점</t>
        </is>
      </c>
      <c r="D124" s="0" t="inlineStr">
        <is>
          <t>AR2639</t>
        </is>
      </c>
      <c r="E124" s="0" t="inlineStr">
        <is>
          <t>매니저</t>
        </is>
      </c>
      <c r="F124" s="0" t="inlineStr">
        <is>
          <t>730308-2478916</t>
        </is>
      </c>
      <c r="G124" s="111" t="n">
        <v>44805</v>
      </c>
      <c r="H124" s="111" t="n"/>
      <c r="I124" s="0" t="inlineStr">
        <is>
          <t>매장직1</t>
        </is>
      </c>
      <c r="J124" s="0" t="inlineStr">
        <is>
          <t>010-9395-3319</t>
        </is>
      </c>
    </row>
    <row r="125">
      <c r="A125" s="0" t="inlineStr">
        <is>
          <t>이현래</t>
        </is>
      </c>
      <c r="B125" s="0" t="n">
        <v>463</v>
      </c>
      <c r="C125" s="0" t="inlineStr">
        <is>
          <t>현대울산점</t>
        </is>
      </c>
      <c r="D125" s="0" t="inlineStr">
        <is>
          <t>AR2639</t>
        </is>
      </c>
      <c r="E125" s="0" t="inlineStr">
        <is>
          <t>점장</t>
        </is>
      </c>
      <c r="F125" s="0" t="inlineStr">
        <is>
          <t>680727-2927239</t>
        </is>
      </c>
      <c r="G125" s="111" t="n">
        <v>43647</v>
      </c>
      <c r="H125" s="111" t="n"/>
      <c r="I125" s="0" t="inlineStr">
        <is>
          <t>매장직1</t>
        </is>
      </c>
      <c r="J125" s="0" t="inlineStr">
        <is>
          <t>010-8528-1774</t>
        </is>
      </c>
    </row>
    <row r="126">
      <c r="A126" s="0" t="inlineStr">
        <is>
          <t>송은주</t>
        </is>
      </c>
      <c r="B126" s="0" t="n">
        <v>3695</v>
      </c>
      <c r="C126" s="0" t="inlineStr">
        <is>
          <t>롯데전주점</t>
        </is>
      </c>
      <c r="D126" s="0" t="inlineStr">
        <is>
          <t>AR2640</t>
        </is>
      </c>
      <c r="E126" s="0" t="inlineStr">
        <is>
          <t>점장</t>
        </is>
      </c>
      <c r="F126" s="0" t="inlineStr">
        <is>
          <t>740225-2541223</t>
        </is>
      </c>
      <c r="G126" s="111" t="n">
        <v>45444</v>
      </c>
      <c r="H126" s="111" t="n"/>
      <c r="I126" s="0" t="inlineStr">
        <is>
          <t>매장직1</t>
        </is>
      </c>
      <c r="J126" s="0" t="inlineStr">
        <is>
          <t>010-3683-6003</t>
        </is>
      </c>
    </row>
    <row r="127" hidden="1" s="169">
      <c r="A127" s="0" t="inlineStr">
        <is>
          <t>정미연</t>
        </is>
      </c>
      <c r="B127" s="0" t="n">
        <v>3696</v>
      </c>
      <c r="C127" s="0" t="inlineStr">
        <is>
          <t>롯데전주점</t>
        </is>
      </c>
      <c r="D127" s="0" t="inlineStr">
        <is>
          <t>AR2640</t>
        </is>
      </c>
      <c r="E127" s="0" t="inlineStr">
        <is>
          <t>매니저</t>
        </is>
      </c>
      <c r="F127" s="0" t="inlineStr">
        <is>
          <t>730129-2481819</t>
        </is>
      </c>
      <c r="G127" s="111" t="n">
        <v>45444</v>
      </c>
      <c r="H127" s="111" t="n">
        <v>45991</v>
      </c>
      <c r="I127" s="0" t="inlineStr">
        <is>
          <t>매장직1</t>
        </is>
      </c>
      <c r="J127" s="0" t="inlineStr">
        <is>
          <t>010-4064-6756</t>
        </is>
      </c>
    </row>
    <row r="128" hidden="1" s="169">
      <c r="A128" s="0" t="inlineStr">
        <is>
          <t>김나윤</t>
        </is>
      </c>
      <c r="B128" s="0" t="n">
        <v>3744</v>
      </c>
      <c r="C128" s="0" t="inlineStr">
        <is>
          <t>롯데전주점</t>
        </is>
      </c>
      <c r="D128" s="0" t="inlineStr">
        <is>
          <t>AR2640</t>
        </is>
      </c>
      <c r="E128" s="0" t="inlineStr">
        <is>
          <t>매니저</t>
        </is>
      </c>
      <c r="F128" s="0" t="inlineStr">
        <is>
          <t>800314-2065531</t>
        </is>
      </c>
      <c r="G128" s="111" t="n">
        <v>45992</v>
      </c>
      <c r="H128" s="111" t="n">
        <v>46112</v>
      </c>
      <c r="I128" s="0" t="inlineStr">
        <is>
          <t>매장직1</t>
        </is>
      </c>
      <c r="J128" s="0" t="inlineStr">
        <is>
          <t>010-2255-0226</t>
        </is>
      </c>
    </row>
    <row r="129">
      <c r="A129" s="0" t="inlineStr">
        <is>
          <t>이숙진</t>
        </is>
      </c>
      <c r="B129" s="0" t="n">
        <v>3757</v>
      </c>
      <c r="C129" s="0" t="inlineStr">
        <is>
          <t>롯데전주점</t>
        </is>
      </c>
      <c r="D129" s="0" t="inlineStr">
        <is>
          <t>AR2640</t>
        </is>
      </c>
      <c r="E129" s="0" t="inlineStr">
        <is>
          <t>매니저</t>
        </is>
      </c>
      <c r="F129" s="0" t="inlineStr">
        <is>
          <t>710728-2524428</t>
        </is>
      </c>
      <c r="G129" s="111" t="n">
        <v>46174</v>
      </c>
      <c r="H129" s="111" t="n"/>
      <c r="I129" s="0" t="inlineStr">
        <is>
          <t>매장직1</t>
        </is>
      </c>
      <c r="J129" s="0" t="inlineStr">
        <is>
          <t>010-2062-8575</t>
        </is>
      </c>
    </row>
    <row r="130">
      <c r="A130" s="0" t="inlineStr">
        <is>
          <t>김미옥</t>
        </is>
      </c>
      <c r="B130" s="0" t="n">
        <v>3512</v>
      </c>
      <c r="C130" s="0" t="inlineStr">
        <is>
          <t>갤러리아천안점</t>
        </is>
      </c>
      <c r="D130" s="0" t="inlineStr">
        <is>
          <t>AR2646</t>
        </is>
      </c>
      <c r="E130" s="0" t="inlineStr">
        <is>
          <t>점장</t>
        </is>
      </c>
      <c r="F130" s="0" t="inlineStr">
        <is>
          <t>730315-2477949</t>
        </is>
      </c>
      <c r="G130" s="111" t="n">
        <v>43831</v>
      </c>
      <c r="H130" s="111" t="n"/>
      <c r="I130" s="0" t="inlineStr">
        <is>
          <t>매장직1</t>
        </is>
      </c>
      <c r="J130" s="0" t="inlineStr">
        <is>
          <t>010-8330-1613</t>
        </is>
      </c>
    </row>
    <row r="131" hidden="1" s="169">
      <c r="A131" s="0" t="inlineStr">
        <is>
          <t>김경미</t>
        </is>
      </c>
      <c r="B131" s="0" t="n">
        <v>3513</v>
      </c>
      <c r="C131" s="0" t="inlineStr">
        <is>
          <t>갤러리아천안점</t>
        </is>
      </c>
      <c r="D131" s="0" t="inlineStr">
        <is>
          <t>AR2646</t>
        </is>
      </c>
      <c r="E131" s="0" t="inlineStr">
        <is>
          <t>매니저</t>
        </is>
      </c>
      <c r="F131" s="0" t="inlineStr">
        <is>
          <t>660215-2411213</t>
        </is>
      </c>
      <c r="G131" s="111" t="n">
        <v>43831</v>
      </c>
      <c r="H131" s="111" t="n">
        <v>46081</v>
      </c>
      <c r="I131" s="0" t="inlineStr">
        <is>
          <t>매장직1</t>
        </is>
      </c>
      <c r="J131" s="0" t="inlineStr">
        <is>
          <t>010-4187-8026</t>
        </is>
      </c>
    </row>
    <row r="132">
      <c r="A132" s="0" t="inlineStr">
        <is>
          <t>김자옥</t>
        </is>
      </c>
      <c r="B132" s="0" t="n">
        <v>3753</v>
      </c>
      <c r="C132" s="0" t="inlineStr">
        <is>
          <t>갤러리아천안점</t>
        </is>
      </c>
      <c r="D132" s="0" t="inlineStr">
        <is>
          <t>AR2646</t>
        </is>
      </c>
      <c r="E132" s="0" t="inlineStr">
        <is>
          <t>매니저</t>
        </is>
      </c>
      <c r="F132" s="0" t="inlineStr">
        <is>
          <t>700410-2411247</t>
        </is>
      </c>
      <c r="G132" s="111" t="n">
        <v>46113</v>
      </c>
      <c r="H132" s="111" t="n"/>
      <c r="I132" s="0" t="inlineStr">
        <is>
          <t>매장직1</t>
        </is>
      </c>
      <c r="J132" s="0" t="inlineStr">
        <is>
          <t>010-4373-8026</t>
        </is>
      </c>
    </row>
    <row r="133">
      <c r="A133" s="0" t="inlineStr">
        <is>
          <t>백경님</t>
        </is>
      </c>
      <c r="B133" s="0" t="n">
        <v>482</v>
      </c>
      <c r="C133" s="0" t="inlineStr">
        <is>
          <t>롯데관악점</t>
        </is>
      </c>
      <c r="D133" s="0" t="inlineStr">
        <is>
          <t>AR2647</t>
        </is>
      </c>
      <c r="E133" s="0" t="inlineStr">
        <is>
          <t>점장</t>
        </is>
      </c>
      <c r="F133" s="0" t="inlineStr">
        <is>
          <t>710127-2560217</t>
        </is>
      </c>
      <c r="G133" s="111" t="n">
        <v>43831</v>
      </c>
      <c r="H133" s="111" t="n"/>
      <c r="I133" s="0" t="inlineStr">
        <is>
          <t>매장직1</t>
        </is>
      </c>
      <c r="J133" s="0" t="inlineStr">
        <is>
          <t>010-2930-9078</t>
        </is>
      </c>
    </row>
    <row r="134">
      <c r="A134" s="0" t="inlineStr">
        <is>
          <t>권혜경</t>
        </is>
      </c>
      <c r="B134" s="0" t="n">
        <v>483</v>
      </c>
      <c r="C134" s="0" t="inlineStr">
        <is>
          <t>롯데관악점</t>
        </is>
      </c>
      <c r="D134" s="0" t="inlineStr">
        <is>
          <t>AR2647</t>
        </is>
      </c>
      <c r="E134" s="0" t="inlineStr">
        <is>
          <t>매니저</t>
        </is>
      </c>
      <c r="F134" s="0" t="inlineStr">
        <is>
          <t>710102-2814827</t>
        </is>
      </c>
      <c r="G134" s="111" t="n">
        <v>43831</v>
      </c>
      <c r="H134" s="111" t="n"/>
      <c r="I134" s="0" t="inlineStr">
        <is>
          <t>매장직1</t>
        </is>
      </c>
      <c r="J134" s="0" t="inlineStr">
        <is>
          <t>010-2234-6628</t>
        </is>
      </c>
    </row>
    <row r="135">
      <c r="A135" s="0" t="inlineStr">
        <is>
          <t>이경남</t>
        </is>
      </c>
      <c r="B135" s="0" t="n">
        <v>3710</v>
      </c>
      <c r="C135" s="0" t="inlineStr">
        <is>
          <t>롯데안산점</t>
        </is>
      </c>
      <c r="D135" s="0" t="inlineStr">
        <is>
          <t>AR2649</t>
        </is>
      </c>
      <c r="E135" s="0" t="inlineStr">
        <is>
          <t>점장</t>
        </is>
      </c>
      <c r="F135" s="0" t="inlineStr">
        <is>
          <t>590210-2143116</t>
        </is>
      </c>
      <c r="G135" s="111" t="n">
        <v>45597</v>
      </c>
      <c r="H135" s="111" t="n"/>
      <c r="I135" s="0" t="inlineStr">
        <is>
          <t>매장직1</t>
        </is>
      </c>
      <c r="J135" s="0" t="inlineStr">
        <is>
          <t>010-9097-8083</t>
        </is>
      </c>
    </row>
    <row r="136">
      <c r="A136" s="0" t="inlineStr">
        <is>
          <t>조미란</t>
        </is>
      </c>
      <c r="B136" s="0" t="n">
        <v>487</v>
      </c>
      <c r="C136" s="0" t="inlineStr">
        <is>
          <t>롯데안산점</t>
        </is>
      </c>
      <c r="D136" s="0" t="inlineStr">
        <is>
          <t>AR2649</t>
        </is>
      </c>
      <c r="E136" s="0" t="inlineStr">
        <is>
          <t>매니저</t>
        </is>
      </c>
      <c r="F136" s="0" t="inlineStr">
        <is>
          <t>621120-2012024</t>
        </is>
      </c>
      <c r="G136" s="111" t="n">
        <v>43831</v>
      </c>
      <c r="H136" s="111" t="n"/>
      <c r="I136" s="0" t="inlineStr">
        <is>
          <t>매장직1</t>
        </is>
      </c>
      <c r="J136" s="0" t="inlineStr">
        <is>
          <t>010-3156-9208</t>
        </is>
      </c>
    </row>
    <row r="137" hidden="1" s="169">
      <c r="A137" s="0" t="inlineStr">
        <is>
          <t>황정애</t>
        </is>
      </c>
      <c r="B137" s="0" t="n">
        <v>491</v>
      </c>
      <c r="C137" s="0" t="inlineStr">
        <is>
          <t>롯데대구점</t>
        </is>
      </c>
      <c r="D137" s="0" t="inlineStr">
        <is>
          <t>AR2650</t>
        </is>
      </c>
      <c r="E137" s="0" t="inlineStr">
        <is>
          <t>점장</t>
        </is>
      </c>
      <c r="F137" s="0" t="inlineStr">
        <is>
          <t>630617-2674717</t>
        </is>
      </c>
      <c r="G137" s="111" t="n">
        <v>43831</v>
      </c>
      <c r="H137" s="111" t="n">
        <v>46022</v>
      </c>
      <c r="I137" s="0" t="inlineStr">
        <is>
          <t>매장직1</t>
        </is>
      </c>
      <c r="J137" s="0" t="inlineStr">
        <is>
          <t>010-3599-9368</t>
        </is>
      </c>
    </row>
    <row r="138" hidden="1" s="169">
      <c r="A138" s="0" t="inlineStr">
        <is>
          <t>이해솜</t>
        </is>
      </c>
      <c r="B138" s="0" t="n">
        <v>492</v>
      </c>
      <c r="C138" s="0" t="inlineStr">
        <is>
          <t>롯데대구점</t>
        </is>
      </c>
      <c r="D138" s="0" t="inlineStr">
        <is>
          <t>AR2650</t>
        </is>
      </c>
      <c r="E138" s="0" t="inlineStr">
        <is>
          <t>매니저</t>
        </is>
      </c>
      <c r="F138" s="0" t="inlineStr">
        <is>
          <t>620529-2670813</t>
        </is>
      </c>
      <c r="G138" s="111" t="n">
        <v>43831</v>
      </c>
      <c r="H138" s="111" t="n">
        <v>46022</v>
      </c>
      <c r="I138" s="0" t="inlineStr">
        <is>
          <t>매장직1</t>
        </is>
      </c>
      <c r="J138" s="0" t="inlineStr">
        <is>
          <t>010-9363-3462</t>
        </is>
      </c>
    </row>
    <row r="139">
      <c r="A139" s="0" t="inlineStr">
        <is>
          <t>정광옥</t>
        </is>
      </c>
      <c r="B139" s="0" t="n">
        <v>493</v>
      </c>
      <c r="C139" s="0" t="inlineStr">
        <is>
          <t>롯데인천터미널점</t>
        </is>
      </c>
      <c r="D139" s="0" t="inlineStr">
        <is>
          <t>AR2651</t>
        </is>
      </c>
      <c r="E139" s="0" t="inlineStr">
        <is>
          <t>점장</t>
        </is>
      </c>
      <c r="F139" s="0" t="inlineStr">
        <is>
          <t>691103-2237211</t>
        </is>
      </c>
      <c r="G139" s="111" t="n">
        <v>43831</v>
      </c>
      <c r="H139" s="111" t="n"/>
      <c r="I139" s="0" t="inlineStr">
        <is>
          <t>매장직1</t>
        </is>
      </c>
      <c r="J139" s="0" t="inlineStr">
        <is>
          <t>010-9070-8556</t>
        </is>
      </c>
    </row>
    <row r="140">
      <c r="A140" s="0" t="inlineStr">
        <is>
          <t>이선숙</t>
        </is>
      </c>
      <c r="B140" s="0" t="n">
        <v>494</v>
      </c>
      <c r="C140" s="0" t="inlineStr">
        <is>
          <t>롯데인천터미널점</t>
        </is>
      </c>
      <c r="D140" s="0" t="inlineStr">
        <is>
          <t>AR2651</t>
        </is>
      </c>
      <c r="E140" s="0" t="inlineStr">
        <is>
          <t>매니저</t>
        </is>
      </c>
      <c r="F140" s="0" t="inlineStr">
        <is>
          <t>760429-2243516</t>
        </is>
      </c>
      <c r="G140" s="111" t="n">
        <v>43831</v>
      </c>
      <c r="H140" s="111" t="n"/>
      <c r="I140" s="0" t="inlineStr">
        <is>
          <t>매장직1</t>
        </is>
      </c>
      <c r="J140" s="0" t="inlineStr">
        <is>
          <t>010-8889-4238</t>
        </is>
      </c>
    </row>
    <row r="141" hidden="1" s="169">
      <c r="A141" s="0" t="inlineStr">
        <is>
          <t>정해영</t>
        </is>
      </c>
      <c r="B141" s="0" t="n">
        <v>3647</v>
      </c>
      <c r="C141" s="0" t="inlineStr">
        <is>
          <t>롯데부산본점</t>
        </is>
      </c>
      <c r="D141" s="0" t="inlineStr">
        <is>
          <t>AR2652</t>
        </is>
      </c>
      <c r="E141" s="0" t="inlineStr">
        <is>
          <t>사원</t>
        </is>
      </c>
      <c r="F141" s="0" t="inlineStr">
        <is>
          <t>670721-2095910</t>
        </is>
      </c>
      <c r="G141" s="111" t="n">
        <v>44928</v>
      </c>
      <c r="H141" s="111" t="n">
        <v>45688</v>
      </c>
      <c r="I141" s="0" t="inlineStr">
        <is>
          <t>매장직1</t>
        </is>
      </c>
      <c r="J141" s="0" t="inlineStr">
        <is>
          <t>010-7189-4916</t>
        </is>
      </c>
    </row>
    <row r="142" hidden="1" s="169">
      <c r="A142" s="0" t="inlineStr">
        <is>
          <t>고수미</t>
        </is>
      </c>
      <c r="B142" s="0" t="n">
        <v>3661</v>
      </c>
      <c r="C142" s="0" t="inlineStr">
        <is>
          <t>롯데부산본점</t>
        </is>
      </c>
      <c r="D142" s="0" t="inlineStr">
        <is>
          <t>AR2652</t>
        </is>
      </c>
      <c r="E142" s="0" t="inlineStr">
        <is>
          <t>사원</t>
        </is>
      </c>
      <c r="F142" s="0" t="inlineStr">
        <is>
          <t>700619-2951312</t>
        </is>
      </c>
      <c r="G142" s="111" t="n">
        <v>45047</v>
      </c>
      <c r="H142" s="111" t="n">
        <v>45696</v>
      </c>
      <c r="I142" s="0" t="inlineStr">
        <is>
          <t>매장직1</t>
        </is>
      </c>
      <c r="J142" s="0" t="inlineStr">
        <is>
          <t>010-4335-0847</t>
        </is>
      </c>
    </row>
    <row r="143">
      <c r="A143" s="0" t="inlineStr">
        <is>
          <t>양현숙</t>
        </is>
      </c>
      <c r="B143" s="0" t="n">
        <v>3717</v>
      </c>
      <c r="C143" s="0" t="inlineStr">
        <is>
          <t>롯데부산본점</t>
        </is>
      </c>
      <c r="D143" s="0" t="inlineStr">
        <is>
          <t>AR2652</t>
        </is>
      </c>
      <c r="E143" s="0" t="inlineStr">
        <is>
          <t>점장</t>
        </is>
      </c>
      <c r="F143" s="0" t="inlineStr">
        <is>
          <t>730507-2923921</t>
        </is>
      </c>
      <c r="G143" s="111" t="n">
        <v>45696</v>
      </c>
      <c r="H143" s="111" t="n"/>
      <c r="I143" s="0" t="inlineStr">
        <is>
          <t>매장직1</t>
        </is>
      </c>
      <c r="J143" s="0" t="inlineStr">
        <is>
          <t>010-9203-6350</t>
        </is>
      </c>
    </row>
    <row r="144">
      <c r="A144" s="0" t="inlineStr">
        <is>
          <t>유희성</t>
        </is>
      </c>
      <c r="B144" s="0" t="n">
        <v>3718</v>
      </c>
      <c r="C144" s="0" t="inlineStr">
        <is>
          <t>롯데부산본점</t>
        </is>
      </c>
      <c r="D144" s="0" t="inlineStr">
        <is>
          <t>AR2652</t>
        </is>
      </c>
      <c r="E144" s="0" t="inlineStr">
        <is>
          <t>매니저</t>
        </is>
      </c>
      <c r="F144" s="0" t="inlineStr">
        <is>
          <t>630917-2114026</t>
        </is>
      </c>
      <c r="G144" s="111" t="n">
        <v>45696</v>
      </c>
      <c r="H144" s="111" t="n"/>
      <c r="I144" s="0" t="inlineStr">
        <is>
          <t>매장직1</t>
        </is>
      </c>
      <c r="J144" s="0" t="inlineStr">
        <is>
          <t>010-9310-7043</t>
        </is>
      </c>
    </row>
    <row r="145">
      <c r="A145" s="0" t="inlineStr">
        <is>
          <t>최미희자</t>
        </is>
      </c>
      <c r="B145" s="0" t="n">
        <v>3510</v>
      </c>
      <c r="C145" s="0" t="inlineStr">
        <is>
          <t>AK분당점</t>
        </is>
      </c>
      <c r="D145" s="0" t="inlineStr">
        <is>
          <t>AR2655</t>
        </is>
      </c>
      <c r="E145" s="0" t="inlineStr">
        <is>
          <t>점장</t>
        </is>
      </c>
      <c r="F145" s="0" t="inlineStr">
        <is>
          <t>651109-2490215</t>
        </is>
      </c>
      <c r="G145" s="111" t="n">
        <v>43831</v>
      </c>
      <c r="H145" s="111" t="n"/>
      <c r="I145" s="0" t="inlineStr">
        <is>
          <t>매장직1</t>
        </is>
      </c>
      <c r="J145" s="0" t="inlineStr">
        <is>
          <t>010-7337-5630</t>
        </is>
      </c>
    </row>
    <row r="146">
      <c r="A146" s="0" t="inlineStr">
        <is>
          <t>김정희</t>
        </is>
      </c>
      <c r="B146" s="0" t="n">
        <v>3624</v>
      </c>
      <c r="C146" s="0" t="inlineStr">
        <is>
          <t>AK분당점</t>
        </is>
      </c>
      <c r="D146" s="0" t="inlineStr">
        <is>
          <t>AR2655</t>
        </is>
      </c>
      <c r="E146" s="0" t="inlineStr">
        <is>
          <t>매니저</t>
        </is>
      </c>
      <c r="F146" s="0" t="inlineStr">
        <is>
          <t>670613-2652641</t>
        </is>
      </c>
      <c r="G146" s="111" t="n">
        <v>44743</v>
      </c>
      <c r="H146" s="111" t="n"/>
      <c r="I146" s="0" t="inlineStr">
        <is>
          <t>매장직1</t>
        </is>
      </c>
      <c r="J146" s="0" t="inlineStr">
        <is>
          <t>010-6314-8818</t>
        </is>
      </c>
    </row>
    <row r="147">
      <c r="A147" s="0" t="inlineStr">
        <is>
          <t>송경아</t>
        </is>
      </c>
      <c r="B147" s="0" t="n">
        <v>3534</v>
      </c>
      <c r="C147" s="0" t="inlineStr">
        <is>
          <t>현대충청점</t>
        </is>
      </c>
      <c r="D147" s="0" t="inlineStr">
        <is>
          <t>AR2658</t>
        </is>
      </c>
      <c r="E147" s="0" t="inlineStr">
        <is>
          <t>점장</t>
        </is>
      </c>
      <c r="F147" s="0" t="inlineStr">
        <is>
          <t>650409-2351111</t>
        </is>
      </c>
      <c r="G147" s="111" t="n">
        <v>43952</v>
      </c>
      <c r="H147" s="111" t="n"/>
      <c r="I147" s="0" t="inlineStr">
        <is>
          <t>매장직1</t>
        </is>
      </c>
      <c r="J147" s="0" t="inlineStr">
        <is>
          <t>010-2494-1800</t>
        </is>
      </c>
    </row>
    <row r="148">
      <c r="A148" s="0" t="inlineStr">
        <is>
          <t>유일숙</t>
        </is>
      </c>
      <c r="B148" s="0" t="n">
        <v>3595</v>
      </c>
      <c r="C148" s="0" t="inlineStr">
        <is>
          <t>현대충청점</t>
        </is>
      </c>
      <c r="D148" s="0" t="inlineStr">
        <is>
          <t>AR2658</t>
        </is>
      </c>
      <c r="E148" s="0" t="inlineStr">
        <is>
          <t>매니저</t>
        </is>
      </c>
      <c r="F148" s="0" t="inlineStr">
        <is>
          <t>650108-2390026</t>
        </is>
      </c>
      <c r="G148" s="111" t="n">
        <v>44440</v>
      </c>
      <c r="H148" s="111" t="n"/>
      <c r="I148" s="0" t="inlineStr">
        <is>
          <t>매장직1</t>
        </is>
      </c>
      <c r="J148" s="0" t="inlineStr">
        <is>
          <t>010-4107-0886</t>
        </is>
      </c>
    </row>
    <row r="149" hidden="1" s="169">
      <c r="A149" s="0" t="inlineStr">
        <is>
          <t>양미경</t>
        </is>
      </c>
      <c r="B149" s="0" t="n">
        <v>3620</v>
      </c>
      <c r="C149" s="0" t="inlineStr">
        <is>
          <t>롯데울산점</t>
        </is>
      </c>
      <c r="D149" s="0" t="inlineStr">
        <is>
          <t>AR2660</t>
        </is>
      </c>
      <c r="E149" s="0" t="inlineStr">
        <is>
          <t>점장</t>
        </is>
      </c>
      <c r="F149" s="0" t="inlineStr">
        <is>
          <t>801231-2117626</t>
        </is>
      </c>
      <c r="G149" s="111" t="n">
        <v>44652</v>
      </c>
      <c r="H149" s="111" t="n">
        <v>45991</v>
      </c>
      <c r="I149" s="0" t="inlineStr">
        <is>
          <t>매장직1</t>
        </is>
      </c>
      <c r="J149" s="0" t="inlineStr">
        <is>
          <t>010-3839-3077</t>
        </is>
      </c>
    </row>
    <row r="150" hidden="1" s="169">
      <c r="A150" s="0" t="inlineStr">
        <is>
          <t>이은주</t>
        </is>
      </c>
      <c r="B150" s="0" t="n">
        <v>3682</v>
      </c>
      <c r="C150" s="0" t="inlineStr">
        <is>
          <t>롯데울산점</t>
        </is>
      </c>
      <c r="D150" s="0" t="inlineStr">
        <is>
          <t>AR2660</t>
        </is>
      </c>
      <c r="E150" s="0" t="inlineStr">
        <is>
          <t>매니저</t>
        </is>
      </c>
      <c r="F150" s="0" t="inlineStr">
        <is>
          <t>730305-2894418</t>
        </is>
      </c>
      <c r="G150" s="111" t="n">
        <v>45261</v>
      </c>
      <c r="H150" s="111" t="n">
        <v>45991</v>
      </c>
      <c r="I150" s="0" t="inlineStr">
        <is>
          <t>매장직1</t>
        </is>
      </c>
      <c r="J150" s="0" t="inlineStr">
        <is>
          <t>010-8894-9833</t>
        </is>
      </c>
    </row>
    <row r="151">
      <c r="A151" s="0" t="inlineStr">
        <is>
          <t>최혜진</t>
        </is>
      </c>
      <c r="B151" s="0" t="n">
        <v>3651</v>
      </c>
      <c r="C151" s="0" t="inlineStr">
        <is>
          <t>롯데동탄점</t>
        </is>
      </c>
      <c r="D151" s="0" t="inlineStr">
        <is>
          <t>AR2669</t>
        </is>
      </c>
      <c r="E151" s="0" t="inlineStr">
        <is>
          <t>점장</t>
        </is>
      </c>
      <c r="F151" s="0" t="inlineStr">
        <is>
          <t>690626-2079717</t>
        </is>
      </c>
      <c r="G151" s="111" t="n">
        <v>44928</v>
      </c>
      <c r="H151" s="111" t="n"/>
      <c r="I151" s="0" t="inlineStr">
        <is>
          <t>매장직1</t>
        </is>
      </c>
      <c r="J151" s="0" t="inlineStr">
        <is>
          <t>010-5669-0641</t>
        </is>
      </c>
    </row>
    <row r="152">
      <c r="A152" s="0" t="inlineStr">
        <is>
          <t>김혜경</t>
        </is>
      </c>
      <c r="B152" s="0" t="n">
        <v>3685</v>
      </c>
      <c r="C152" s="0" t="inlineStr">
        <is>
          <t>롯데동탄점</t>
        </is>
      </c>
      <c r="D152" s="0" t="inlineStr">
        <is>
          <t>AR2669</t>
        </is>
      </c>
      <c r="E152" s="0" t="inlineStr">
        <is>
          <t>매니저</t>
        </is>
      </c>
      <c r="F152" s="0" t="inlineStr">
        <is>
          <t>730310-2229321</t>
        </is>
      </c>
      <c r="G152" s="111" t="n">
        <v>45261</v>
      </c>
      <c r="H152" s="111" t="n"/>
      <c r="I152" s="0" t="inlineStr">
        <is>
          <t>매장직1</t>
        </is>
      </c>
      <c r="J152" s="0" t="inlineStr">
        <is>
          <t>010-2471-3541</t>
        </is>
      </c>
    </row>
    <row r="153">
      <c r="A153" s="0" t="inlineStr">
        <is>
          <t>김수영</t>
        </is>
      </c>
      <c r="B153" s="0" t="n">
        <v>3596</v>
      </c>
      <c r="C153" s="0" t="inlineStr">
        <is>
          <t>신세계대전점</t>
        </is>
      </c>
      <c r="D153" s="0" t="inlineStr">
        <is>
          <t>AR2670</t>
        </is>
      </c>
      <c r="E153" s="0" t="inlineStr">
        <is>
          <t>점장</t>
        </is>
      </c>
      <c r="F153" s="0" t="inlineStr">
        <is>
          <t>710818-2473618</t>
        </is>
      </c>
      <c r="G153" s="111" t="n">
        <v>44440</v>
      </c>
      <c r="H153" s="111" t="n"/>
      <c r="I153" s="0" t="inlineStr">
        <is>
          <t>매장직1</t>
        </is>
      </c>
      <c r="J153" s="0" t="inlineStr">
        <is>
          <t>010-8412-7008</t>
        </is>
      </c>
    </row>
    <row r="154">
      <c r="A154" s="0" t="inlineStr">
        <is>
          <t>이경희</t>
        </is>
      </c>
      <c r="B154" s="0" t="n">
        <v>3678</v>
      </c>
      <c r="C154" s="0" t="inlineStr">
        <is>
          <t>신세계대전점</t>
        </is>
      </c>
      <c r="D154" s="0" t="inlineStr">
        <is>
          <t>AR2670</t>
        </is>
      </c>
      <c r="E154" s="0" t="inlineStr">
        <is>
          <t>매니저</t>
        </is>
      </c>
      <c r="F154" s="0" t="inlineStr">
        <is>
          <t>730315-2384116</t>
        </is>
      </c>
      <c r="G154" s="111" t="n">
        <v>45231</v>
      </c>
      <c r="H154" s="111" t="n"/>
      <c r="I154" s="0" t="inlineStr">
        <is>
          <t>매장직1</t>
        </is>
      </c>
      <c r="J154" s="0" t="inlineStr">
        <is>
          <t>010-9480-1831</t>
        </is>
      </c>
    </row>
    <row r="155">
      <c r="A155" s="0" t="inlineStr">
        <is>
          <t>구영주</t>
        </is>
      </c>
      <c r="B155" s="0" t="n">
        <v>3598</v>
      </c>
      <c r="C155" s="0" t="inlineStr">
        <is>
          <t>갤러리아진주점</t>
        </is>
      </c>
      <c r="D155" s="0" t="inlineStr">
        <is>
          <t>AR2671</t>
        </is>
      </c>
      <c r="E155" s="0" t="inlineStr">
        <is>
          <t>점장</t>
        </is>
      </c>
      <c r="F155" s="0" t="inlineStr">
        <is>
          <t>771007-2108812</t>
        </is>
      </c>
      <c r="G155" s="111" t="n">
        <v>44440</v>
      </c>
      <c r="H155" s="111" t="n"/>
      <c r="I155" s="0" t="inlineStr">
        <is>
          <t>매장직1</t>
        </is>
      </c>
      <c r="J155" s="0" t="inlineStr">
        <is>
          <t>010-9466-5814</t>
        </is>
      </c>
    </row>
    <row r="156">
      <c r="A156" s="0" t="inlineStr">
        <is>
          <t>정은주</t>
        </is>
      </c>
      <c r="B156" s="0" t="n">
        <v>3599</v>
      </c>
      <c r="C156" s="0" t="inlineStr">
        <is>
          <t>갤러리아진주점</t>
        </is>
      </c>
      <c r="D156" s="0" t="inlineStr">
        <is>
          <t>AR2671</t>
        </is>
      </c>
      <c r="E156" s="0" t="inlineStr">
        <is>
          <t>매니저</t>
        </is>
      </c>
      <c r="F156" s="0" t="inlineStr">
        <is>
          <t>690114-2830010</t>
        </is>
      </c>
      <c r="G156" s="111" t="n">
        <v>44440</v>
      </c>
      <c r="H156" s="111" t="n"/>
      <c r="I156" s="0" t="inlineStr">
        <is>
          <t>매장직1</t>
        </is>
      </c>
      <c r="J156" s="0" t="inlineStr">
        <is>
          <t>010-8722-6696</t>
        </is>
      </c>
    </row>
    <row r="157">
      <c r="A157" s="0" t="inlineStr">
        <is>
          <t>유태하</t>
        </is>
      </c>
      <c r="B157" s="0" t="n">
        <v>3558</v>
      </c>
      <c r="C157" s="0" t="inlineStr">
        <is>
          <t>신세계강남점</t>
        </is>
      </c>
      <c r="D157" s="0" t="inlineStr">
        <is>
          <t>AR2673</t>
        </is>
      </c>
      <c r="E157" s="0" t="inlineStr">
        <is>
          <t>점장</t>
        </is>
      </c>
      <c r="F157" s="0" t="inlineStr">
        <is>
          <t>750519-2067720</t>
        </is>
      </c>
      <c r="G157" s="111" t="n">
        <v>44105</v>
      </c>
      <c r="H157" s="111" t="n"/>
      <c r="I157" s="0" t="inlineStr">
        <is>
          <t>매장직1</t>
        </is>
      </c>
      <c r="J157" s="0" t="inlineStr">
        <is>
          <t>010-7380-2508</t>
        </is>
      </c>
    </row>
    <row r="158">
      <c r="A158" s="0" t="inlineStr">
        <is>
          <t>한혜옥</t>
        </is>
      </c>
      <c r="B158" s="0" t="n">
        <v>3604</v>
      </c>
      <c r="C158" s="0" t="inlineStr">
        <is>
          <t>신세계강남점</t>
        </is>
      </c>
      <c r="D158" s="0" t="inlineStr">
        <is>
          <t>AR2673</t>
        </is>
      </c>
      <c r="E158" s="0" t="inlineStr">
        <is>
          <t>매니저</t>
        </is>
      </c>
      <c r="F158" s="0" t="inlineStr">
        <is>
          <t>701003-2067112</t>
        </is>
      </c>
      <c r="G158" s="111" t="n">
        <v>44501</v>
      </c>
      <c r="H158" s="111" t="n"/>
      <c r="I158" s="0" t="inlineStr">
        <is>
          <t>매장직1</t>
        </is>
      </c>
      <c r="J158" s="0" t="inlineStr">
        <is>
          <t>010-7369-2031</t>
        </is>
      </c>
    </row>
    <row r="159">
      <c r="A159" s="0" t="inlineStr">
        <is>
          <t>김나연</t>
        </is>
      </c>
      <c r="B159" s="0" t="n">
        <v>3654</v>
      </c>
      <c r="C159" s="0" t="inlineStr">
        <is>
          <t>파주점_신세계아울렛</t>
        </is>
      </c>
      <c r="D159" s="0" t="inlineStr">
        <is>
          <t>AR2674</t>
        </is>
      </c>
      <c r="E159" s="0" t="inlineStr">
        <is>
          <t>점장</t>
        </is>
      </c>
      <c r="F159" s="0" t="inlineStr">
        <is>
          <t>720308-2119911</t>
        </is>
      </c>
      <c r="G159" s="111" t="n">
        <v>44986</v>
      </c>
      <c r="H159" s="111" t="n"/>
      <c r="I159" s="0" t="inlineStr">
        <is>
          <t>매장직1</t>
        </is>
      </c>
      <c r="J159" s="0" t="inlineStr">
        <is>
          <t>010-7304-5455</t>
        </is>
      </c>
    </row>
    <row r="160">
      <c r="A160" s="0" t="inlineStr">
        <is>
          <t>최재영</t>
        </is>
      </c>
      <c r="B160" s="0" t="n">
        <v>3667</v>
      </c>
      <c r="C160" s="0" t="inlineStr">
        <is>
          <t>갤러리아타임월드점</t>
        </is>
      </c>
      <c r="D160" s="0" t="inlineStr">
        <is>
          <t>AR2677</t>
        </is>
      </c>
      <c r="E160" s="0" t="inlineStr">
        <is>
          <t>매니저</t>
        </is>
      </c>
      <c r="F160" s="0" t="inlineStr">
        <is>
          <t>770220-2464314</t>
        </is>
      </c>
      <c r="G160" s="111" t="n">
        <v>45139</v>
      </c>
      <c r="H160" s="111" t="n"/>
      <c r="I160" s="0" t="inlineStr">
        <is>
          <t>매장직1</t>
        </is>
      </c>
      <c r="J160" s="0" t="inlineStr">
        <is>
          <t>010-8816-0314</t>
        </is>
      </c>
    </row>
    <row r="161">
      <c r="A161" s="0" t="inlineStr">
        <is>
          <t>김민주</t>
        </is>
      </c>
      <c r="B161" s="0" t="n">
        <v>3691</v>
      </c>
      <c r="C161" s="0" t="inlineStr">
        <is>
          <t>갤러리아타임월드점</t>
        </is>
      </c>
      <c r="D161" s="0" t="inlineStr">
        <is>
          <t>AR2677</t>
        </is>
      </c>
      <c r="E161" s="0" t="inlineStr">
        <is>
          <t>점장</t>
        </is>
      </c>
      <c r="F161" s="0" t="inlineStr">
        <is>
          <t>730210-2455442</t>
        </is>
      </c>
      <c r="G161" s="111" t="n">
        <v>45383</v>
      </c>
      <c r="H161" s="111" t="n"/>
      <c r="I161" s="0" t="inlineStr">
        <is>
          <t>매장직1</t>
        </is>
      </c>
      <c r="J161" s="0" t="inlineStr">
        <is>
          <t>010-3116-0068</t>
        </is>
      </c>
    </row>
    <row r="162" hidden="1" s="169">
      <c r="A162" s="0" t="inlineStr">
        <is>
          <t>강미정</t>
        </is>
      </c>
      <c r="B162" s="0" t="n">
        <v>3706</v>
      </c>
      <c r="C162" s="0" t="inlineStr">
        <is>
          <t>현대목동점</t>
        </is>
      </c>
      <c r="D162" s="0" t="inlineStr">
        <is>
          <t>AR2680</t>
        </is>
      </c>
      <c r="E162" s="0" t="inlineStr">
        <is>
          <t>점장</t>
        </is>
      </c>
      <c r="F162" s="0" t="inlineStr">
        <is>
          <t>761127-2231410</t>
        </is>
      </c>
      <c r="G162" s="111" t="n">
        <v>45597</v>
      </c>
      <c r="H162" s="111" t="n">
        <v>46090</v>
      </c>
      <c r="I162" s="0" t="inlineStr">
        <is>
          <t>매장직1</t>
        </is>
      </c>
      <c r="J162" s="0" t="inlineStr">
        <is>
          <t>010-5309-3776</t>
        </is>
      </c>
    </row>
    <row r="163">
      <c r="A163" s="0" t="inlineStr">
        <is>
          <t>김영란</t>
        </is>
      </c>
      <c r="B163" s="0" t="n">
        <v>416</v>
      </c>
      <c r="C163" s="0" t="inlineStr">
        <is>
          <t>가든5점_현대아울렛</t>
        </is>
      </c>
      <c r="D163" s="0" t="inlineStr">
        <is>
          <t>AR2683</t>
        </is>
      </c>
      <c r="E163" s="0" t="inlineStr">
        <is>
          <t>대리</t>
        </is>
      </c>
      <c r="F163" s="0" t="inlineStr">
        <is>
          <t>690425-2031412</t>
        </is>
      </c>
      <c r="G163" s="111" t="n">
        <v>43227</v>
      </c>
      <c r="H163" s="111" t="n"/>
      <c r="I163" s="0" t="inlineStr">
        <is>
          <t>매장직1</t>
        </is>
      </c>
      <c r="J163" s="0" t="inlineStr">
        <is>
          <t>010-6383-3852</t>
        </is>
      </c>
    </row>
    <row r="164">
      <c r="A164" s="0" t="inlineStr">
        <is>
          <t>신경숙</t>
        </is>
      </c>
      <c r="B164" s="0" t="n">
        <v>3749</v>
      </c>
      <c r="C164" s="0" t="inlineStr">
        <is>
          <t>가든5점_현대아울렛</t>
        </is>
      </c>
      <c r="D164" s="0" t="inlineStr">
        <is>
          <t>AR2683</t>
        </is>
      </c>
      <c r="E164" s="0" t="inlineStr">
        <is>
          <t>매니저</t>
        </is>
      </c>
      <c r="F164" s="0" t="inlineStr">
        <is>
          <t>591220-2243311</t>
        </is>
      </c>
      <c r="G164" s="111" t="n">
        <v>46082</v>
      </c>
      <c r="H164" s="111" t="n"/>
      <c r="I164" s="0" t="inlineStr">
        <is>
          <t>매장직1</t>
        </is>
      </c>
      <c r="J164" s="0" t="inlineStr">
        <is>
          <t>010-9430-4088</t>
        </is>
      </c>
    </row>
    <row r="165">
      <c r="A165" s="0" t="inlineStr">
        <is>
          <t>이은정</t>
        </is>
      </c>
      <c r="B165" s="0" t="n">
        <v>3722</v>
      </c>
      <c r="C165" s="0" t="inlineStr">
        <is>
          <t>현대신촌점</t>
        </is>
      </c>
      <c r="D165" s="0" t="inlineStr">
        <is>
          <t>AR2684</t>
        </is>
      </c>
      <c r="E165" s="0" t="inlineStr">
        <is>
          <t>점장</t>
        </is>
      </c>
      <c r="F165" s="0" t="inlineStr">
        <is>
          <t>700801-2025420</t>
        </is>
      </c>
      <c r="G165" s="111" t="n">
        <v>45722</v>
      </c>
      <c r="H165" s="111" t="n"/>
      <c r="I165" s="0" t="inlineStr">
        <is>
          <t>매장직1</t>
        </is>
      </c>
      <c r="J165" s="0" t="inlineStr">
        <is>
          <t>010-2704-9116</t>
        </is>
      </c>
    </row>
    <row r="166" hidden="1" s="169">
      <c r="A166" s="0" t="inlineStr">
        <is>
          <t>하지연</t>
        </is>
      </c>
      <c r="B166" s="0" t="n">
        <v>3723</v>
      </c>
      <c r="C166" s="0" t="inlineStr">
        <is>
          <t>현대신촌점</t>
        </is>
      </c>
      <c r="D166" s="0" t="inlineStr">
        <is>
          <t>AR2684</t>
        </is>
      </c>
      <c r="E166" s="0" t="inlineStr">
        <is>
          <t>매니저</t>
        </is>
      </c>
      <c r="F166" s="0" t="inlineStr">
        <is>
          <t>620415-2535639</t>
        </is>
      </c>
      <c r="G166" s="111" t="n">
        <v>45702</v>
      </c>
      <c r="H166" s="111" t="n">
        <v>45777</v>
      </c>
      <c r="I166" s="0" t="inlineStr">
        <is>
          <t>매장직1</t>
        </is>
      </c>
      <c r="J166" s="0" t="inlineStr">
        <is>
          <t>010-7232-9468</t>
        </is>
      </c>
    </row>
    <row r="167">
      <c r="A167" s="0" t="inlineStr">
        <is>
          <t>우영복</t>
        </is>
      </c>
      <c r="B167" s="0" t="n">
        <v>3725</v>
      </c>
      <c r="C167" s="0" t="inlineStr">
        <is>
          <t>현대신촌점</t>
        </is>
      </c>
      <c r="D167" s="0" t="inlineStr">
        <is>
          <t>AR2684</t>
        </is>
      </c>
      <c r="E167" s="0" t="inlineStr">
        <is>
          <t>매니저</t>
        </is>
      </c>
      <c r="F167" s="0" t="inlineStr">
        <is>
          <t>610703-2069631</t>
        </is>
      </c>
      <c r="G167" s="111" t="n">
        <v>45779</v>
      </c>
      <c r="H167" s="111" t="n"/>
      <c r="I167" s="0" t="inlineStr">
        <is>
          <t>매장직1</t>
        </is>
      </c>
      <c r="J167" s="0" t="inlineStr">
        <is>
          <t>010-3136-6938</t>
        </is>
      </c>
    </row>
    <row r="168">
      <c r="A168" s="0" t="inlineStr">
        <is>
          <t>김병희</t>
        </is>
      </c>
      <c r="B168" s="0" t="n">
        <v>3736</v>
      </c>
      <c r="C168" s="0" t="inlineStr">
        <is>
          <t>AK수원점</t>
        </is>
      </c>
      <c r="D168" s="0" t="inlineStr">
        <is>
          <t>AR2685</t>
        </is>
      </c>
      <c r="E168" s="0" t="inlineStr">
        <is>
          <t>점장</t>
        </is>
      </c>
      <c r="F168" s="0" t="inlineStr">
        <is>
          <t>661227-2787517</t>
        </is>
      </c>
      <c r="G168" s="111" t="n">
        <v>45870</v>
      </c>
      <c r="H168" s="111" t="n"/>
      <c r="I168" s="0" t="inlineStr">
        <is>
          <t>매장직1</t>
        </is>
      </c>
      <c r="J168" s="0" t="inlineStr">
        <is>
          <t>010-8509-5727</t>
        </is>
      </c>
    </row>
    <row r="169" hidden="1" s="169">
      <c r="A169" s="0" t="inlineStr">
        <is>
          <t>최미애</t>
        </is>
      </c>
      <c r="B169" s="0" t="n">
        <v>3737</v>
      </c>
      <c r="C169" s="0" t="inlineStr">
        <is>
          <t>AK수원점</t>
        </is>
      </c>
      <c r="D169" s="0" t="inlineStr">
        <is>
          <t>AR2685</t>
        </is>
      </c>
      <c r="E169" s="0" t="inlineStr">
        <is>
          <t>매니저</t>
        </is>
      </c>
      <c r="F169" s="0" t="inlineStr">
        <is>
          <t>670108-2480211</t>
        </is>
      </c>
      <c r="G169" s="111" t="n">
        <v>45870</v>
      </c>
      <c r="H169" s="111" t="n">
        <v>45961</v>
      </c>
      <c r="I169" s="0" t="inlineStr">
        <is>
          <t>매장직1</t>
        </is>
      </c>
      <c r="J169" s="0" t="inlineStr">
        <is>
          <t>010-6356-1563</t>
        </is>
      </c>
    </row>
    <row r="170">
      <c r="A170" s="0" t="inlineStr">
        <is>
          <t>김윤영</t>
        </is>
      </c>
      <c r="B170" s="0" t="n">
        <v>3750</v>
      </c>
      <c r="C170" s="0" t="inlineStr">
        <is>
          <t>AK수원점</t>
        </is>
      </c>
      <c r="D170" s="0" t="inlineStr">
        <is>
          <t>AR2685</t>
        </is>
      </c>
      <c r="E170" s="0" t="inlineStr">
        <is>
          <t>매니저</t>
        </is>
      </c>
      <c r="F170" s="0" t="inlineStr">
        <is>
          <t>710501-2177914</t>
        </is>
      </c>
      <c r="G170" s="111" t="n">
        <v>46082</v>
      </c>
      <c r="H170" s="111" t="n"/>
      <c r="I170" s="0" t="inlineStr">
        <is>
          <t>매장직1</t>
        </is>
      </c>
      <c r="J170" s="0" t="inlineStr">
        <is>
          <t>010-7101-7628</t>
        </is>
      </c>
    </row>
    <row r="171">
      <c r="A171" s="0" t="inlineStr">
        <is>
          <t>이희선</t>
        </is>
      </c>
      <c r="B171" s="0" t="n">
        <v>3738</v>
      </c>
      <c r="C171" s="0" t="inlineStr">
        <is>
          <t>현대킨텍스점</t>
        </is>
      </c>
      <c r="D171" s="0" t="inlineStr">
        <is>
          <t>AR2686</t>
        </is>
      </c>
      <c r="E171" s="0" t="inlineStr">
        <is>
          <t>점장</t>
        </is>
      </c>
      <c r="F171" s="0" t="inlineStr">
        <is>
          <t>751103-2149819</t>
        </is>
      </c>
      <c r="G171" s="111" t="n">
        <v>45901</v>
      </c>
      <c r="H171" s="111" t="n"/>
      <c r="I171" s="0" t="inlineStr">
        <is>
          <t>매장직1</t>
        </is>
      </c>
      <c r="J171" s="0" t="inlineStr">
        <is>
          <t>010-5144-5593</t>
        </is>
      </c>
    </row>
    <row r="172" hidden="1" s="169">
      <c r="A172" s="0" t="inlineStr">
        <is>
          <t>김상미</t>
        </is>
      </c>
      <c r="B172" s="0" t="n">
        <v>3739</v>
      </c>
      <c r="C172" s="0" t="inlineStr">
        <is>
          <t>현대킨텍스점</t>
        </is>
      </c>
      <c r="D172" s="0" t="inlineStr">
        <is>
          <t>AR2686</t>
        </is>
      </c>
      <c r="E172" s="0" t="inlineStr">
        <is>
          <t>매니저</t>
        </is>
      </c>
      <c r="F172" s="0" t="inlineStr">
        <is>
          <t>621201-2773018</t>
        </is>
      </c>
      <c r="G172" s="111" t="n">
        <v>45905</v>
      </c>
      <c r="H172" s="111" t="n">
        <v>45905</v>
      </c>
      <c r="I172" s="0" t="inlineStr">
        <is>
          <t>매장직1</t>
        </is>
      </c>
      <c r="J172" s="0" t="inlineStr">
        <is>
          <t>010-3674-9753</t>
        </is>
      </c>
    </row>
    <row r="173" hidden="1" s="169">
      <c r="A173" s="0" t="inlineStr">
        <is>
          <t>인영실</t>
        </is>
      </c>
      <c r="B173" s="0" t="n">
        <v>3745</v>
      </c>
      <c r="C173" s="0" t="inlineStr">
        <is>
          <t>현대킨텍스점</t>
        </is>
      </c>
      <c r="D173" s="0" t="inlineStr">
        <is>
          <t>AR2686</t>
        </is>
      </c>
      <c r="E173" s="0" t="inlineStr">
        <is>
          <t>매니저</t>
        </is>
      </c>
      <c r="F173" s="0" t="inlineStr">
        <is>
          <t>670124-2624519</t>
        </is>
      </c>
      <c r="G173" s="111" t="n">
        <v>45999</v>
      </c>
      <c r="H173" s="111" t="n">
        <v>46022</v>
      </c>
      <c r="I173" s="0" t="inlineStr">
        <is>
          <t>매장직1</t>
        </is>
      </c>
      <c r="J173" s="0" t="inlineStr">
        <is>
          <t>010-7232-6199</t>
        </is>
      </c>
    </row>
    <row r="174">
      <c r="A174" s="0" t="inlineStr">
        <is>
          <t>김정경</t>
        </is>
      </c>
      <c r="B174" s="0" t="n">
        <v>3755</v>
      </c>
      <c r="C174" s="0" t="inlineStr">
        <is>
          <t>현대킨텍스점</t>
        </is>
      </c>
      <c r="D174" s="0" t="inlineStr">
        <is>
          <t>AR2686</t>
        </is>
      </c>
      <c r="E174" s="0" t="inlineStr">
        <is>
          <t>매니저</t>
        </is>
      </c>
      <c r="F174" s="0" t="inlineStr">
        <is>
          <t>590819-2046431</t>
        </is>
      </c>
      <c r="G174" s="111" t="n">
        <v>46143</v>
      </c>
      <c r="H174" s="111" t="n"/>
      <c r="I174" s="0" t="inlineStr">
        <is>
          <t>매장직1</t>
        </is>
      </c>
      <c r="J174" s="0" t="inlineStr">
        <is>
          <t>010-2377-2960</t>
        </is>
      </c>
    </row>
    <row r="175" hidden="1" s="169">
      <c r="A175" s="0" t="inlineStr">
        <is>
          <t>이행은</t>
        </is>
      </c>
      <c r="B175" s="0" t="n">
        <v>3743</v>
      </c>
      <c r="C175" s="0" t="inlineStr">
        <is>
          <t>AK광명점</t>
        </is>
      </c>
      <c r="D175" s="0" t="inlineStr">
        <is>
          <t>AR2688</t>
        </is>
      </c>
      <c r="E175" s="0" t="inlineStr">
        <is>
          <t>점장</t>
        </is>
      </c>
      <c r="F175" s="0" t="inlineStr">
        <is>
          <t>690227-2523024</t>
        </is>
      </c>
      <c r="G175" s="111" t="n">
        <v>45995</v>
      </c>
      <c r="H175" s="111" t="n">
        <v>46022</v>
      </c>
      <c r="I175" s="0" t="inlineStr">
        <is>
          <t>매장직1</t>
        </is>
      </c>
      <c r="J175" s="0" t="inlineStr">
        <is>
          <t>010-3379-5742</t>
        </is>
      </c>
    </row>
    <row r="176">
      <c r="A176" s="0" t="inlineStr">
        <is>
          <t>정행분</t>
        </is>
      </c>
      <c r="B176" s="0" t="n">
        <v>3747</v>
      </c>
      <c r="C176" s="0" t="inlineStr">
        <is>
          <t>AK광명점</t>
        </is>
      </c>
      <c r="D176" s="0" t="inlineStr">
        <is>
          <t>AR2688</t>
        </is>
      </c>
      <c r="E176" s="0" t="inlineStr">
        <is>
          <t>점장</t>
        </is>
      </c>
      <c r="F176" s="0" t="inlineStr">
        <is>
          <t>671218-2914913</t>
        </is>
      </c>
      <c r="G176" s="111" t="n">
        <v>46023</v>
      </c>
      <c r="H176" s="111" t="n"/>
      <c r="I176" s="0" t="inlineStr">
        <is>
          <t>매장직1</t>
        </is>
      </c>
      <c r="J176" s="0" t="inlineStr">
        <is>
          <t>010-5311-0244</t>
        </is>
      </c>
    </row>
    <row r="177">
      <c r="A177" s="0" t="inlineStr">
        <is>
          <t>전혜정</t>
        </is>
      </c>
      <c r="B177" s="0" t="n">
        <v>3754</v>
      </c>
      <c r="C177" s="0" t="inlineStr">
        <is>
          <t>현대미아점</t>
        </is>
      </c>
      <c r="D177" s="0" t="inlineStr">
        <is>
          <t>AR2690</t>
        </is>
      </c>
      <c r="E177" s="0" t="inlineStr">
        <is>
          <t>점장</t>
        </is>
      </c>
      <c r="F177" s="0" t="inlineStr">
        <is>
          <t>700904-2057841</t>
        </is>
      </c>
      <c r="G177" s="111" t="n">
        <v>46143</v>
      </c>
      <c r="H177" s="111" t="n"/>
      <c r="I177" s="0" t="inlineStr">
        <is>
          <t>매장직1</t>
        </is>
      </c>
      <c r="J177" s="0" t="inlineStr">
        <is>
          <t>010-3331-2823</t>
        </is>
      </c>
    </row>
    <row r="178">
      <c r="A178" s="0" t="inlineStr">
        <is>
          <t>김동규</t>
        </is>
      </c>
      <c r="B178" s="0" t="n">
        <v>3699</v>
      </c>
      <c r="C178" s="0" t="inlineStr">
        <is>
          <t>상품본부</t>
        </is>
      </c>
      <c r="D178" s="0" t="inlineStr">
        <is>
          <t>AR3100</t>
        </is>
      </c>
      <c r="E178" s="0" t="inlineStr">
        <is>
          <t>이사</t>
        </is>
      </c>
      <c r="F178" s="0" t="inlineStr">
        <is>
          <t>750729-1047219</t>
        </is>
      </c>
      <c r="G178" s="111" t="n">
        <v>45474</v>
      </c>
      <c r="H178" s="111" t="n"/>
      <c r="I178" s="0" t="inlineStr">
        <is>
          <t>연봉직</t>
        </is>
      </c>
      <c r="J178" s="0" t="inlineStr">
        <is>
          <t>010-4193-9405</t>
        </is>
      </c>
    </row>
    <row r="179" hidden="1" s="169">
      <c r="A179" s="0" t="inlineStr">
        <is>
          <t>김은정</t>
        </is>
      </c>
      <c r="B179" s="0" t="n">
        <v>406</v>
      </c>
      <c r="C179" s="0" t="inlineStr">
        <is>
          <t>PDD</t>
        </is>
      </c>
      <c r="D179" s="0" t="inlineStr">
        <is>
          <t>AR3102</t>
        </is>
      </c>
      <c r="E179" s="0" t="inlineStr">
        <is>
          <t>부장</t>
        </is>
      </c>
      <c r="F179" s="0" t="inlineStr">
        <is>
          <t>721206-2640016</t>
        </is>
      </c>
      <c r="G179" s="111" t="n">
        <v>43150</v>
      </c>
      <c r="H179" s="111" t="n">
        <v>45823</v>
      </c>
      <c r="I179" s="0" t="inlineStr">
        <is>
          <t>연봉직</t>
        </is>
      </c>
      <c r="J179" s="0" t="inlineStr">
        <is>
          <t>010-9525-1206</t>
        </is>
      </c>
    </row>
    <row r="180">
      <c r="A180" s="0" t="inlineStr">
        <is>
          <t>최선정</t>
        </is>
      </c>
      <c r="B180" s="0" t="n">
        <v>405</v>
      </c>
      <c r="C180" s="0" t="inlineStr">
        <is>
          <t>PDD</t>
        </is>
      </c>
      <c r="D180" s="0" t="inlineStr">
        <is>
          <t>AR3102</t>
        </is>
      </c>
      <c r="E180" s="0" t="inlineStr">
        <is>
          <t>과장</t>
        </is>
      </c>
      <c r="F180" s="0" t="inlineStr">
        <is>
          <t>910321-2030518</t>
        </is>
      </c>
      <c r="G180" s="111" t="n">
        <v>43138</v>
      </c>
      <c r="H180" s="111" t="n"/>
      <c r="I180" s="0" t="inlineStr">
        <is>
          <t>연봉직</t>
        </is>
      </c>
      <c r="J180" s="0" t="inlineStr">
        <is>
          <t>010-8361-0321</t>
        </is>
      </c>
    </row>
    <row r="181">
      <c r="A181" s="0" t="inlineStr">
        <is>
          <t>박대경</t>
        </is>
      </c>
      <c r="B181" s="0" t="n">
        <v>355</v>
      </c>
      <c r="C181" s="0" t="inlineStr">
        <is>
          <t>PDD</t>
        </is>
      </c>
      <c r="D181" s="0" t="inlineStr">
        <is>
          <t>AR3102</t>
        </is>
      </c>
      <c r="E181" s="0" t="inlineStr">
        <is>
          <t>과장</t>
        </is>
      </c>
      <c r="F181" s="0" t="inlineStr">
        <is>
          <t>910124-1071029</t>
        </is>
      </c>
      <c r="G181" s="111" t="n">
        <v>42779</v>
      </c>
      <c r="H181" s="111" t="n"/>
      <c r="I181" s="0" t="inlineStr">
        <is>
          <t>연봉직</t>
        </is>
      </c>
      <c r="J181" s="0" t="inlineStr">
        <is>
          <t>010-4784-9108</t>
        </is>
      </c>
    </row>
    <row r="182">
      <c r="A182" s="0" t="inlineStr">
        <is>
          <t>조아름</t>
        </is>
      </c>
      <c r="B182" s="0" t="n">
        <v>3709</v>
      </c>
      <c r="C182" s="0" t="inlineStr">
        <is>
          <t>PDD</t>
        </is>
      </c>
      <c r="D182" s="0" t="inlineStr">
        <is>
          <t>AR3102</t>
        </is>
      </c>
      <c r="E182" s="0" t="inlineStr">
        <is>
          <t>대리</t>
        </is>
      </c>
      <c r="F182" s="0" t="inlineStr">
        <is>
          <t>920602-2500115</t>
        </is>
      </c>
      <c r="G182" s="111" t="n">
        <v>45607</v>
      </c>
      <c r="H182" s="111" t="n"/>
      <c r="I182" s="0" t="inlineStr">
        <is>
          <t>연봉직</t>
        </is>
      </c>
      <c r="J182" s="0" t="inlineStr">
        <is>
          <t>010-7238-9778</t>
        </is>
      </c>
    </row>
    <row r="183">
      <c r="A183" s="0" t="inlineStr">
        <is>
          <t>이미현</t>
        </is>
      </c>
      <c r="B183" s="0" t="n">
        <v>3657</v>
      </c>
      <c r="C183" s="0" t="inlineStr">
        <is>
          <t>PDD</t>
        </is>
      </c>
      <c r="D183" s="0" t="inlineStr">
        <is>
          <t>AR3102</t>
        </is>
      </c>
      <c r="E183" s="0" t="inlineStr">
        <is>
          <t>주임</t>
        </is>
      </c>
      <c r="F183" s="0" t="inlineStr">
        <is>
          <t>950503-2163829</t>
        </is>
      </c>
      <c r="G183" s="111" t="n">
        <v>44987</v>
      </c>
      <c r="H183" s="111" t="n"/>
      <c r="I183" s="0" t="inlineStr">
        <is>
          <t>연봉직</t>
        </is>
      </c>
      <c r="J183" s="0" t="inlineStr">
        <is>
          <t>010-6258-2703</t>
        </is>
      </c>
    </row>
    <row r="184">
      <c r="A184" s="0" t="inlineStr">
        <is>
          <t>한근석</t>
        </is>
      </c>
      <c r="B184" s="0" t="n">
        <v>182</v>
      </c>
      <c r="C184" s="0" t="inlineStr">
        <is>
          <t>ETC</t>
        </is>
      </c>
      <c r="D184" s="0" t="inlineStr">
        <is>
          <t>AR3104</t>
        </is>
      </c>
      <c r="E184" s="0" t="inlineStr">
        <is>
          <t>차장</t>
        </is>
      </c>
      <c r="F184" s="0" t="inlineStr">
        <is>
          <t>830617-1453414</t>
        </is>
      </c>
      <c r="G184" s="111" t="n">
        <v>41018</v>
      </c>
      <c r="H184" s="111" t="n"/>
      <c r="I184" s="0" t="inlineStr">
        <is>
          <t>연봉직</t>
        </is>
      </c>
      <c r="J184" s="0" t="inlineStr">
        <is>
          <t>010-9429-0412</t>
        </is>
      </c>
    </row>
    <row r="185">
      <c r="A185" s="0" t="inlineStr">
        <is>
          <t>송현영</t>
        </is>
      </c>
      <c r="B185" s="0" t="n">
        <v>3608</v>
      </c>
      <c r="C185" s="0" t="inlineStr">
        <is>
          <t>MMD</t>
        </is>
      </c>
      <c r="D185" s="0" t="inlineStr">
        <is>
          <t>AR3105</t>
        </is>
      </c>
      <c r="E185" s="0" t="inlineStr">
        <is>
          <t>부장</t>
        </is>
      </c>
      <c r="F185" s="0" t="inlineStr">
        <is>
          <t>790125-1012412</t>
        </is>
      </c>
      <c r="G185" s="111" t="n">
        <v>44578</v>
      </c>
      <c r="H185" s="111" t="n"/>
      <c r="I185" s="0" t="inlineStr">
        <is>
          <t>연봉직</t>
        </is>
      </c>
      <c r="J185" s="0" t="inlineStr">
        <is>
          <t>010-9904-3663</t>
        </is>
      </c>
    </row>
    <row r="186">
      <c r="A186" s="0" t="inlineStr">
        <is>
          <t>김병언</t>
        </is>
      </c>
      <c r="B186" s="0" t="n">
        <v>3679</v>
      </c>
      <c r="C186" s="0" t="inlineStr">
        <is>
          <t>MMD</t>
        </is>
      </c>
      <c r="D186" s="0" t="inlineStr">
        <is>
          <t>AR3105</t>
        </is>
      </c>
      <c r="E186" s="0" t="inlineStr">
        <is>
          <t>차장</t>
        </is>
      </c>
      <c r="F186" s="0" t="inlineStr">
        <is>
          <t>801211-1024111</t>
        </is>
      </c>
      <c r="G186" s="111" t="n">
        <v>45231</v>
      </c>
      <c r="H186" s="111" t="n"/>
      <c r="I186" s="0" t="inlineStr">
        <is>
          <t>연봉직</t>
        </is>
      </c>
      <c r="J186" s="0" t="inlineStr">
        <is>
          <t>010-9229-1206</t>
        </is>
      </c>
    </row>
    <row r="187">
      <c r="A187" s="0" t="inlineStr">
        <is>
          <t>권혜민</t>
        </is>
      </c>
      <c r="B187" s="0" t="n">
        <v>437</v>
      </c>
      <c r="C187" s="0" t="inlineStr">
        <is>
          <t>MMD</t>
        </is>
      </c>
      <c r="D187" s="0" t="inlineStr">
        <is>
          <t>AR3105</t>
        </is>
      </c>
      <c r="E187" s="0" t="inlineStr">
        <is>
          <t>주임</t>
        </is>
      </c>
      <c r="F187" s="0" t="inlineStr">
        <is>
          <t>920328-2874111</t>
        </is>
      </c>
      <c r="G187" s="111" t="n">
        <v>43405</v>
      </c>
      <c r="H187" s="111" t="n"/>
      <c r="I187" s="0" t="inlineStr">
        <is>
          <t>연봉직</t>
        </is>
      </c>
      <c r="J187" s="0" t="inlineStr">
        <is>
          <t>010-4473-2454</t>
        </is>
      </c>
    </row>
    <row r="188">
      <c r="A188" s="0" t="inlineStr">
        <is>
          <t>허용덕</t>
        </is>
      </c>
      <c r="B188" s="0" t="n">
        <v>141</v>
      </c>
      <c r="C188" s="0" t="inlineStr">
        <is>
          <t>영업본부</t>
        </is>
      </c>
      <c r="D188" s="0" t="inlineStr">
        <is>
          <t>AR4100</t>
        </is>
      </c>
      <c r="E188" s="0" t="inlineStr">
        <is>
          <t>이사</t>
        </is>
      </c>
      <c r="F188" s="0" t="inlineStr">
        <is>
          <t>770310-1037926</t>
        </is>
      </c>
      <c r="G188" s="111" t="n">
        <v>40391</v>
      </c>
      <c r="H188" s="111" t="n"/>
      <c r="I188" s="0" t="inlineStr">
        <is>
          <t>연봉직</t>
        </is>
      </c>
      <c r="J188" s="0" t="inlineStr">
        <is>
          <t>010-5470-5096</t>
        </is>
      </c>
    </row>
    <row r="189">
      <c r="A189" s="0" t="inlineStr">
        <is>
          <t>김혜선</t>
        </is>
      </c>
      <c r="B189" s="0" t="n">
        <v>468</v>
      </c>
      <c r="C189" s="0" t="inlineStr">
        <is>
          <t>영업지원</t>
        </is>
      </c>
      <c r="D189" s="0" t="inlineStr">
        <is>
          <t>AR4101</t>
        </is>
      </c>
      <c r="E189" s="0" t="inlineStr">
        <is>
          <t>과장</t>
        </is>
      </c>
      <c r="F189" s="0" t="inlineStr">
        <is>
          <t>821230-2251313</t>
        </is>
      </c>
      <c r="G189" s="111" t="n">
        <v>43689</v>
      </c>
      <c r="H189" s="111" t="n"/>
      <c r="I189" s="0" t="inlineStr">
        <is>
          <t>연봉직</t>
        </is>
      </c>
      <c r="J189" s="0" t="inlineStr">
        <is>
          <t>010-7209-0997</t>
        </is>
      </c>
    </row>
    <row r="190">
      <c r="A190" s="0" t="inlineStr">
        <is>
          <t>임병선</t>
        </is>
      </c>
      <c r="B190" s="0" t="n">
        <v>3673</v>
      </c>
      <c r="C190" s="0" t="inlineStr">
        <is>
          <t>영업지원</t>
        </is>
      </c>
      <c r="D190" s="0" t="inlineStr">
        <is>
          <t>AR4101</t>
        </is>
      </c>
      <c r="E190" s="0" t="inlineStr">
        <is>
          <t>대리</t>
        </is>
      </c>
      <c r="F190" s="0" t="inlineStr">
        <is>
          <t>730114-1776112</t>
        </is>
      </c>
      <c r="G190" s="111" t="n">
        <v>45180</v>
      </c>
      <c r="H190" s="111" t="n"/>
      <c r="I190" s="0" t="inlineStr">
        <is>
          <t>연봉직</t>
        </is>
      </c>
      <c r="J190" s="0" t="inlineStr">
        <is>
          <t>010-8260-9332</t>
        </is>
      </c>
    </row>
    <row r="191">
      <c r="A191" s="0" t="inlineStr">
        <is>
          <t>양현모</t>
        </is>
      </c>
      <c r="B191" s="0" t="n">
        <v>344</v>
      </c>
      <c r="C191" s="0" t="inlineStr">
        <is>
          <t>SMD</t>
        </is>
      </c>
      <c r="D191" s="0" t="inlineStr">
        <is>
          <t>AR4103</t>
        </is>
      </c>
      <c r="E191" s="0" t="inlineStr">
        <is>
          <t>차장</t>
        </is>
      </c>
      <c r="F191" s="0" t="inlineStr">
        <is>
          <t>870207-1552817</t>
        </is>
      </c>
      <c r="G191" s="111" t="n">
        <v>42528</v>
      </c>
      <c r="H191" s="111" t="n"/>
      <c r="I191" s="0" t="inlineStr">
        <is>
          <t>연봉직</t>
        </is>
      </c>
      <c r="J191" s="0" t="inlineStr">
        <is>
          <t>010-3689-9238</t>
        </is>
      </c>
    </row>
    <row r="192">
      <c r="A192" s="0" t="inlineStr">
        <is>
          <t>강대성</t>
        </is>
      </c>
      <c r="B192" s="0" t="n">
        <v>3652</v>
      </c>
      <c r="C192" s="0" t="inlineStr">
        <is>
          <t>SMD</t>
        </is>
      </c>
      <c r="D192" s="0" t="inlineStr">
        <is>
          <t>AR4103</t>
        </is>
      </c>
      <c r="E192" s="0" t="inlineStr">
        <is>
          <t>사원</t>
        </is>
      </c>
      <c r="F192" s="0" t="inlineStr">
        <is>
          <t>011221-3213710</t>
        </is>
      </c>
      <c r="G192" s="111" t="n">
        <v>44928</v>
      </c>
      <c r="H192" s="111" t="n"/>
      <c r="I192" s="0" t="inlineStr">
        <is>
          <t>연봉직</t>
        </is>
      </c>
      <c r="J192" s="0" t="inlineStr">
        <is>
          <t>010-3948-4426</t>
        </is>
      </c>
    </row>
    <row r="193" hidden="1" s="169">
      <c r="A193" s="0" t="inlineStr">
        <is>
          <t>신찬빈</t>
        </is>
      </c>
      <c r="B193" s="0" t="n">
        <v>3677</v>
      </c>
      <c r="C193" s="0" t="inlineStr">
        <is>
          <t>SMD</t>
        </is>
      </c>
      <c r="D193" s="0" t="inlineStr">
        <is>
          <t>AR4103</t>
        </is>
      </c>
      <c r="E193" s="0" t="inlineStr">
        <is>
          <t>사원</t>
        </is>
      </c>
      <c r="F193" s="0" t="inlineStr">
        <is>
          <t>020320-3213525</t>
        </is>
      </c>
      <c r="G193" s="111" t="n">
        <v>45225</v>
      </c>
      <c r="H193" s="111" t="n">
        <v>45940</v>
      </c>
      <c r="I193" s="0" t="inlineStr">
        <is>
          <t>연봉직</t>
        </is>
      </c>
      <c r="J193" s="0" t="inlineStr">
        <is>
          <t>010-8142-9774</t>
        </is>
      </c>
    </row>
    <row r="194">
      <c r="A194" s="0" t="inlineStr">
        <is>
          <t>박인태</t>
        </is>
      </c>
      <c r="B194" s="0" t="n">
        <v>3741</v>
      </c>
      <c r="C194" s="0" t="inlineStr">
        <is>
          <t>SMD</t>
        </is>
      </c>
      <c r="D194" s="0" t="inlineStr">
        <is>
          <t>AR4103</t>
        </is>
      </c>
      <c r="E194" s="0" t="inlineStr">
        <is>
          <t>사원</t>
        </is>
      </c>
      <c r="F194" s="0" t="inlineStr">
        <is>
          <t>900124-1058213</t>
        </is>
      </c>
      <c r="G194" s="111" t="n">
        <v>45943</v>
      </c>
      <c r="H194" s="111" t="n"/>
      <c r="I194" s="0" t="inlineStr">
        <is>
          <t>연봉직</t>
        </is>
      </c>
      <c r="J194" s="0" t="inlineStr">
        <is>
          <t>010-5934-3527</t>
        </is>
      </c>
    </row>
    <row r="195">
      <c r="A195" s="0" t="inlineStr">
        <is>
          <t>안정우</t>
        </is>
      </c>
      <c r="B195" s="0" t="n">
        <v>198</v>
      </c>
      <c r="C195" s="0" t="inlineStr">
        <is>
          <t>원팀</t>
        </is>
      </c>
      <c r="D195" s="0" t="inlineStr">
        <is>
          <t>AR4104</t>
        </is>
      </c>
      <c r="E195" s="0" t="inlineStr">
        <is>
          <t>부장</t>
        </is>
      </c>
      <c r="F195" s="0" t="inlineStr">
        <is>
          <t>840305-1170316</t>
        </is>
      </c>
      <c r="G195" s="111" t="n">
        <v>41244</v>
      </c>
      <c r="H195" s="111" t="n"/>
      <c r="I195" s="0" t="inlineStr">
        <is>
          <t>연봉직</t>
        </is>
      </c>
      <c r="J195" s="0" t="inlineStr">
        <is>
          <t>010-2807-0967</t>
        </is>
      </c>
    </row>
    <row r="196">
      <c r="A196" s="0" t="inlineStr">
        <is>
          <t>유동혁</t>
        </is>
      </c>
      <c r="B196" s="0" t="n">
        <v>3602</v>
      </c>
      <c r="C196" s="0" t="inlineStr">
        <is>
          <t>원팀</t>
        </is>
      </c>
      <c r="D196" s="0" t="inlineStr">
        <is>
          <t>AR4104</t>
        </is>
      </c>
      <c r="E196" s="0" t="inlineStr">
        <is>
          <t>과장</t>
        </is>
      </c>
      <c r="F196" s="0" t="inlineStr">
        <is>
          <t>850830-1031618</t>
        </is>
      </c>
      <c r="G196" s="111" t="n">
        <v>44487</v>
      </c>
      <c r="H196" s="111" t="n"/>
      <c r="I196" s="0" t="inlineStr">
        <is>
          <t>연봉직</t>
        </is>
      </c>
      <c r="J196" s="0" t="inlineStr">
        <is>
          <t>010-6859-5802</t>
        </is>
      </c>
    </row>
    <row r="197">
      <c r="A197" s="0" t="inlineStr">
        <is>
          <t>김영완</t>
        </is>
      </c>
      <c r="B197" s="0" t="n">
        <v>3680</v>
      </c>
      <c r="C197" s="0" t="inlineStr">
        <is>
          <t>원팀</t>
        </is>
      </c>
      <c r="D197" s="0" t="inlineStr">
        <is>
          <t>AR4104</t>
        </is>
      </c>
      <c r="E197" s="0" t="inlineStr">
        <is>
          <t>과장</t>
        </is>
      </c>
      <c r="F197" s="0" t="inlineStr">
        <is>
          <t>850529-1048122</t>
        </is>
      </c>
      <c r="G197" s="111" t="n">
        <v>45232</v>
      </c>
      <c r="H197" s="111" t="n"/>
      <c r="I197" s="0" t="inlineStr">
        <is>
          <t>연봉직</t>
        </is>
      </c>
      <c r="J197" s="0" t="inlineStr">
        <is>
          <t>010-8530-5529</t>
        </is>
      </c>
    </row>
    <row r="198">
      <c r="A198" s="0" t="inlineStr">
        <is>
          <t>원태윤</t>
        </is>
      </c>
      <c r="B198" s="0" t="n">
        <v>445</v>
      </c>
      <c r="C198" s="0" t="inlineStr">
        <is>
          <t>올라운더팀</t>
        </is>
      </c>
      <c r="D198" s="0" t="inlineStr">
        <is>
          <t>AR4105</t>
        </is>
      </c>
      <c r="E198" s="0" t="inlineStr">
        <is>
          <t>차장</t>
        </is>
      </c>
      <c r="F198" s="0" t="inlineStr">
        <is>
          <t>790216-1224819</t>
        </is>
      </c>
      <c r="G198" s="111" t="n">
        <v>43514</v>
      </c>
      <c r="H198" s="111" t="n"/>
      <c r="I198" s="0" t="inlineStr">
        <is>
          <t>연봉직</t>
        </is>
      </c>
      <c r="J198" s="0" t="inlineStr">
        <is>
          <t>010-7724-1710</t>
        </is>
      </c>
    </row>
    <row r="199">
      <c r="A199" s="0" t="inlineStr">
        <is>
          <t>김경훈</t>
        </is>
      </c>
      <c r="B199" s="0" t="n">
        <v>454</v>
      </c>
      <c r="C199" s="0" t="inlineStr">
        <is>
          <t>올라운더팀</t>
        </is>
      </c>
      <c r="D199" s="0" t="inlineStr">
        <is>
          <t>AR4105</t>
        </is>
      </c>
      <c r="E199" s="0" t="inlineStr">
        <is>
          <t>차장</t>
        </is>
      </c>
      <c r="F199" s="0" t="inlineStr">
        <is>
          <t>830628-1019117</t>
        </is>
      </c>
      <c r="G199" s="111" t="n">
        <v>43619</v>
      </c>
      <c r="H199" s="111" t="n"/>
      <c r="I199" s="0" t="inlineStr">
        <is>
          <t>연봉직</t>
        </is>
      </c>
      <c r="J199" s="0" t="inlineStr">
        <is>
          <t>010-9161-4901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1"/>
  <sheetViews>
    <sheetView topLeftCell="A35" workbookViewId="0">
      <selection activeCell="A1" sqref="A1:B71"/>
    </sheetView>
  </sheetViews>
  <sheetFormatPr baseColWidth="8" defaultRowHeight="13.2"/>
  <cols>
    <col width="18.125" bestFit="1" customWidth="1" style="106" min="1" max="1"/>
    <col width="8" bestFit="1" customWidth="1" style="106" min="2" max="2"/>
    <col width="9" customWidth="1" style="106" min="3" max="16384"/>
  </cols>
  <sheetData>
    <row r="1">
      <c r="A1" s="106" t="inlineStr">
        <is>
          <t>부서</t>
        </is>
      </c>
      <c r="B1" s="106" t="inlineStr">
        <is>
          <t>부서코드</t>
        </is>
      </c>
    </row>
    <row r="2">
      <c r="A2" s="106" t="inlineStr">
        <is>
          <t>임원-광주점</t>
        </is>
      </c>
      <c r="B2" s="106" t="inlineStr">
        <is>
          <t>AR1003</t>
        </is>
      </c>
    </row>
    <row r="3">
      <c r="A3" s="106" t="inlineStr">
        <is>
          <t>임원-일산점</t>
        </is>
      </c>
      <c r="B3" s="106" t="inlineStr">
        <is>
          <t>AR1005</t>
        </is>
      </c>
    </row>
    <row r="4">
      <c r="A4" s="106" t="inlineStr">
        <is>
          <t>임원-양재점</t>
        </is>
      </c>
      <c r="B4" s="106" t="inlineStr">
        <is>
          <t>AR1006</t>
        </is>
      </c>
    </row>
    <row r="5">
      <c r="A5" s="106" t="inlineStr">
        <is>
          <t>RND</t>
        </is>
      </c>
      <c r="B5" s="106" t="inlineStr">
        <is>
          <t>AR1101</t>
        </is>
      </c>
    </row>
    <row r="6">
      <c r="A6" s="106" t="inlineStr">
        <is>
          <t>RND_VMD팀</t>
        </is>
      </c>
      <c r="B6" s="106" t="inlineStr">
        <is>
          <t>AR1117</t>
        </is>
      </c>
    </row>
    <row r="7">
      <c r="A7" s="106" t="inlineStr">
        <is>
          <t>RND_1팀</t>
        </is>
      </c>
      <c r="B7" s="106" t="inlineStr">
        <is>
          <t>AR1121</t>
        </is>
      </c>
    </row>
    <row r="8">
      <c r="A8" s="106" t="inlineStr">
        <is>
          <t>RND_2팀</t>
        </is>
      </c>
      <c r="B8" s="106" t="inlineStr">
        <is>
          <t>AR1122</t>
        </is>
      </c>
    </row>
    <row r="9">
      <c r="A9" s="106" t="inlineStr">
        <is>
          <t>RND_3팀</t>
        </is>
      </c>
      <c r="B9" s="106" t="inlineStr">
        <is>
          <t>AR1123</t>
        </is>
      </c>
    </row>
    <row r="10">
      <c r="A10" s="106" t="inlineStr">
        <is>
          <t>AMD</t>
        </is>
      </c>
      <c r="B10" s="106" t="inlineStr">
        <is>
          <t>AR1200</t>
        </is>
      </c>
    </row>
    <row r="11">
      <c r="A11" s="106" t="inlineStr">
        <is>
          <t>CXD</t>
        </is>
      </c>
      <c r="B11" s="106" t="inlineStr">
        <is>
          <t>AR1510</t>
        </is>
      </c>
    </row>
    <row r="12">
      <c r="A12" s="106" t="inlineStr">
        <is>
          <t>온라인사업부</t>
        </is>
      </c>
      <c r="B12" s="106" t="inlineStr">
        <is>
          <t>AR1700</t>
        </is>
      </c>
    </row>
    <row r="13">
      <c r="A13" s="106" t="inlineStr">
        <is>
          <t>경기광주점</t>
        </is>
      </c>
      <c r="B13" s="106" t="inlineStr">
        <is>
          <t>AR1790</t>
        </is>
      </c>
    </row>
    <row r="14">
      <c r="A14" s="106" t="inlineStr">
        <is>
          <t>일산점</t>
        </is>
      </c>
      <c r="B14" s="106" t="inlineStr">
        <is>
          <t>AR1800</t>
        </is>
      </c>
    </row>
    <row r="15">
      <c r="A15" s="106" t="inlineStr">
        <is>
          <t>전주점</t>
        </is>
      </c>
      <c r="B15" s="106" t="inlineStr">
        <is>
          <t>AR1910</t>
        </is>
      </c>
    </row>
    <row r="16">
      <c r="A16" s="106" t="inlineStr">
        <is>
          <t>NC충장점</t>
        </is>
      </c>
      <c r="B16" s="106" t="inlineStr">
        <is>
          <t>AR1940</t>
        </is>
      </c>
    </row>
    <row r="17">
      <c r="A17" s="106" t="inlineStr">
        <is>
          <t>NC불광점</t>
        </is>
      </c>
      <c r="B17" s="106" t="inlineStr">
        <is>
          <t>AR1950</t>
        </is>
      </c>
    </row>
    <row r="18">
      <c r="A18" s="106" t="inlineStr">
        <is>
          <t>양재점</t>
        </is>
      </c>
      <c r="B18" s="106" t="inlineStr">
        <is>
          <t>AR1960</t>
        </is>
      </c>
    </row>
    <row r="19">
      <c r="A19" s="106" t="inlineStr">
        <is>
          <t>청주점</t>
        </is>
      </c>
      <c r="B19" s="106" t="inlineStr">
        <is>
          <t>AR1970</t>
        </is>
      </c>
    </row>
    <row r="20">
      <c r="A20" s="106" t="inlineStr">
        <is>
          <t>NC해운대점</t>
        </is>
      </c>
      <c r="B20" s="106" t="inlineStr">
        <is>
          <t>AR1980</t>
        </is>
      </c>
    </row>
    <row r="21">
      <c r="A21" s="106" t="inlineStr">
        <is>
          <t>NC일산점</t>
        </is>
      </c>
      <c r="B21" s="106" t="inlineStr">
        <is>
          <t>AR1981</t>
        </is>
      </c>
    </row>
    <row r="22">
      <c r="A22" s="106" t="inlineStr">
        <is>
          <t>현대커넥트부산점</t>
        </is>
      </c>
      <c r="B22" s="106" t="inlineStr">
        <is>
          <t>AR1982</t>
        </is>
      </c>
    </row>
    <row r="23">
      <c r="A23" s="106" t="inlineStr">
        <is>
          <t>양주점(LF몰)</t>
        </is>
      </c>
      <c r="B23" s="106" t="inlineStr">
        <is>
          <t>AR2311</t>
        </is>
      </c>
    </row>
    <row r="24">
      <c r="A24" s="106" t="inlineStr">
        <is>
          <t>광명점(롯데아울렛)</t>
        </is>
      </c>
      <c r="B24" s="106" t="inlineStr">
        <is>
          <t>AR2403</t>
        </is>
      </c>
    </row>
    <row r="25">
      <c r="A25" s="106" t="inlineStr">
        <is>
          <t>고양점(롯데아울렛)</t>
        </is>
      </c>
      <c r="B25" s="106" t="inlineStr">
        <is>
          <t>AR2501</t>
        </is>
      </c>
    </row>
    <row r="26">
      <c r="A26" s="106" t="inlineStr">
        <is>
          <t>광교점(롯데아울렛)</t>
        </is>
      </c>
      <c r="B26" s="106" t="inlineStr">
        <is>
          <t>AR2502</t>
        </is>
      </c>
    </row>
    <row r="27">
      <c r="A27" s="106" t="inlineStr">
        <is>
          <t>군산점(롯데아울렛)</t>
        </is>
      </c>
      <c r="B27" s="106" t="inlineStr">
        <is>
          <t>AR2503</t>
        </is>
      </c>
    </row>
    <row r="28">
      <c r="A28" s="106" t="inlineStr">
        <is>
          <t>동부산점(롯데아울렛)</t>
        </is>
      </c>
      <c r="B28" s="106" t="inlineStr">
        <is>
          <t>AR2505</t>
        </is>
      </c>
    </row>
    <row r="29">
      <c r="A29" s="106" t="inlineStr">
        <is>
          <t>롯데광복점</t>
        </is>
      </c>
      <c r="B29" s="106" t="inlineStr">
        <is>
          <t>AR2603</t>
        </is>
      </c>
    </row>
    <row r="30">
      <c r="A30" s="106" t="inlineStr">
        <is>
          <t>신세계충청점</t>
        </is>
      </c>
      <c r="B30" s="106" t="inlineStr">
        <is>
          <t>AR2604</t>
        </is>
      </c>
    </row>
    <row r="31">
      <c r="A31" s="106" t="inlineStr">
        <is>
          <t>신세계의정부점</t>
        </is>
      </c>
      <c r="B31" s="106" t="inlineStr">
        <is>
          <t>AR2605</t>
        </is>
      </c>
    </row>
    <row r="32">
      <c r="A32" s="106" t="inlineStr">
        <is>
          <t>롯데구리점</t>
        </is>
      </c>
      <c r="B32" s="106" t="inlineStr">
        <is>
          <t>AR2607</t>
        </is>
      </c>
    </row>
    <row r="33">
      <c r="A33" s="106" t="inlineStr">
        <is>
          <t>신세계김해점</t>
        </is>
      </c>
      <c r="B33" s="106" t="inlineStr">
        <is>
          <t>AR2609</t>
        </is>
      </c>
    </row>
    <row r="34">
      <c r="A34" s="106" t="inlineStr">
        <is>
          <t>현대중동점</t>
        </is>
      </c>
      <c r="B34" s="106" t="inlineStr">
        <is>
          <t>AR2612</t>
        </is>
      </c>
    </row>
    <row r="35">
      <c r="A35" s="106" t="inlineStr">
        <is>
          <t>현대동구점</t>
        </is>
      </c>
      <c r="B35" s="106" t="inlineStr">
        <is>
          <t>AR2613</t>
        </is>
      </c>
    </row>
    <row r="36">
      <c r="A36" s="106" t="inlineStr">
        <is>
          <t>스타필드하남점</t>
        </is>
      </c>
      <c r="B36" s="106" t="inlineStr">
        <is>
          <t>AR2621</t>
        </is>
      </c>
    </row>
    <row r="37">
      <c r="A37" s="106" t="inlineStr">
        <is>
          <t>롯데잠실점</t>
        </is>
      </c>
      <c r="B37" s="106" t="inlineStr">
        <is>
          <t>AR2622</t>
        </is>
      </c>
    </row>
    <row r="38">
      <c r="A38" s="106" t="inlineStr">
        <is>
          <t>롯데미아점</t>
        </is>
      </c>
      <c r="B38" s="106" t="inlineStr">
        <is>
          <t>AR2624</t>
        </is>
      </c>
    </row>
    <row r="39">
      <c r="A39" s="106" t="inlineStr">
        <is>
          <t>롯데수원점</t>
        </is>
      </c>
      <c r="B39" s="106" t="inlineStr">
        <is>
          <t>AR2625</t>
        </is>
      </c>
    </row>
    <row r="40">
      <c r="A40" s="106" t="inlineStr">
        <is>
          <t>롯데상인점</t>
        </is>
      </c>
      <c r="B40" s="106" t="inlineStr">
        <is>
          <t>AR2630</t>
        </is>
      </c>
    </row>
    <row r="41">
      <c r="A41" s="106" t="inlineStr">
        <is>
          <t>롯데강남점</t>
        </is>
      </c>
      <c r="B41" s="106" t="inlineStr">
        <is>
          <t>AR2632</t>
        </is>
      </c>
    </row>
    <row r="42">
      <c r="A42" s="106" t="inlineStr">
        <is>
          <t>현대울산점</t>
        </is>
      </c>
      <c r="B42" s="106" t="inlineStr">
        <is>
          <t>AR2639</t>
        </is>
      </c>
    </row>
    <row r="43">
      <c r="A43" s="106" t="inlineStr">
        <is>
          <t>롯데전주점</t>
        </is>
      </c>
      <c r="B43" s="106" t="inlineStr">
        <is>
          <t>AR2640</t>
        </is>
      </c>
    </row>
    <row r="44">
      <c r="A44" s="106" t="inlineStr">
        <is>
          <t>갤러리아천안점</t>
        </is>
      </c>
      <c r="B44" s="106" t="inlineStr">
        <is>
          <t>AR2646</t>
        </is>
      </c>
    </row>
    <row r="45">
      <c r="A45" s="106" t="inlineStr">
        <is>
          <t>롯데관악점</t>
        </is>
      </c>
      <c r="B45" s="106" t="inlineStr">
        <is>
          <t>AR2647</t>
        </is>
      </c>
    </row>
    <row r="46">
      <c r="A46" s="106" t="inlineStr">
        <is>
          <t>롯데안산점</t>
        </is>
      </c>
      <c r="B46" s="106" t="inlineStr">
        <is>
          <t>AR2649</t>
        </is>
      </c>
    </row>
    <row r="47">
      <c r="A47" s="106" t="inlineStr">
        <is>
          <t>롯데인천터미널점</t>
        </is>
      </c>
      <c r="B47" s="106" t="inlineStr">
        <is>
          <t>AR2651</t>
        </is>
      </c>
    </row>
    <row r="48">
      <c r="A48" s="106" t="inlineStr">
        <is>
          <t>롯데부산본점</t>
        </is>
      </c>
      <c r="B48" s="106" t="inlineStr">
        <is>
          <t>AR2652</t>
        </is>
      </c>
    </row>
    <row r="49">
      <c r="A49" s="106" t="inlineStr">
        <is>
          <t>AK분당점</t>
        </is>
      </c>
      <c r="B49" s="106" t="inlineStr">
        <is>
          <t>AR2655</t>
        </is>
      </c>
    </row>
    <row r="50">
      <c r="A50" s="106" t="inlineStr">
        <is>
          <t>현대충청점</t>
        </is>
      </c>
      <c r="B50" s="106" t="inlineStr">
        <is>
          <t>AR2658</t>
        </is>
      </c>
    </row>
    <row r="51">
      <c r="A51" s="106" t="inlineStr">
        <is>
          <t>롯데동탄점</t>
        </is>
      </c>
      <c r="B51" s="106" t="inlineStr">
        <is>
          <t>AR2669</t>
        </is>
      </c>
    </row>
    <row r="52">
      <c r="A52" s="106" t="inlineStr">
        <is>
          <t>신세계대전점</t>
        </is>
      </c>
      <c r="B52" s="106" t="inlineStr">
        <is>
          <t>AR2670</t>
        </is>
      </c>
    </row>
    <row r="53">
      <c r="A53" s="106" t="inlineStr">
        <is>
          <t>갤러리아진주점</t>
        </is>
      </c>
      <c r="B53" s="106" t="inlineStr">
        <is>
          <t>AR2671</t>
        </is>
      </c>
    </row>
    <row r="54">
      <c r="A54" s="106" t="inlineStr">
        <is>
          <t>신세계강남점</t>
        </is>
      </c>
      <c r="B54" s="106" t="inlineStr">
        <is>
          <t>AR2673</t>
        </is>
      </c>
    </row>
    <row r="55">
      <c r="A55" s="106" t="inlineStr">
        <is>
          <t>파주점_신세계아울렛</t>
        </is>
      </c>
      <c r="B55" s="106" t="inlineStr">
        <is>
          <t>AR2674</t>
        </is>
      </c>
    </row>
    <row r="56">
      <c r="A56" s="106" t="inlineStr">
        <is>
          <t>갤러리아타임월드점</t>
        </is>
      </c>
      <c r="B56" s="106" t="inlineStr">
        <is>
          <t>AR2677</t>
        </is>
      </c>
    </row>
    <row r="57">
      <c r="A57" s="106" t="inlineStr">
        <is>
          <t>가든5점_현대아울렛</t>
        </is>
      </c>
      <c r="B57" s="106" t="inlineStr">
        <is>
          <t>AR2683</t>
        </is>
      </c>
    </row>
    <row r="58">
      <c r="A58" s="106" t="inlineStr">
        <is>
          <t>현대신촌점</t>
        </is>
      </c>
      <c r="B58" s="106" t="inlineStr">
        <is>
          <t>AR2684</t>
        </is>
      </c>
    </row>
    <row r="59">
      <c r="A59" s="106" t="inlineStr">
        <is>
          <t>AK수원점</t>
        </is>
      </c>
      <c r="B59" s="106" t="inlineStr">
        <is>
          <t>AR2685</t>
        </is>
      </c>
    </row>
    <row r="60">
      <c r="A60" s="106" t="inlineStr">
        <is>
          <t>현대킨텍스점</t>
        </is>
      </c>
      <c r="B60" s="106" t="inlineStr">
        <is>
          <t>AR2686</t>
        </is>
      </c>
    </row>
    <row r="61">
      <c r="A61" s="106" t="inlineStr">
        <is>
          <t>AK광명점</t>
        </is>
      </c>
      <c r="B61" s="106" t="inlineStr">
        <is>
          <t>AR2688</t>
        </is>
      </c>
    </row>
    <row r="62">
      <c r="A62" s="106" t="inlineStr">
        <is>
          <t>현대미아점</t>
        </is>
      </c>
      <c r="B62" s="106" t="inlineStr">
        <is>
          <t>AR2690</t>
        </is>
      </c>
    </row>
    <row r="63">
      <c r="A63" s="106" t="inlineStr">
        <is>
          <t>상품본부</t>
        </is>
      </c>
      <c r="B63" s="106" t="inlineStr">
        <is>
          <t>AR3100</t>
        </is>
      </c>
    </row>
    <row r="64">
      <c r="A64" s="106" t="inlineStr">
        <is>
          <t>PDD</t>
        </is>
      </c>
      <c r="B64" s="106" t="inlineStr">
        <is>
          <t>AR3102</t>
        </is>
      </c>
    </row>
    <row r="65">
      <c r="A65" s="106" t="inlineStr">
        <is>
          <t>ETC</t>
        </is>
      </c>
      <c r="B65" s="106" t="inlineStr">
        <is>
          <t>AR3104</t>
        </is>
      </c>
    </row>
    <row r="66">
      <c r="A66" s="106" t="inlineStr">
        <is>
          <t>MMD</t>
        </is>
      </c>
      <c r="B66" s="106" t="inlineStr">
        <is>
          <t>AR3105</t>
        </is>
      </c>
    </row>
    <row r="67">
      <c r="A67" s="106" t="inlineStr">
        <is>
          <t>영업본부</t>
        </is>
      </c>
      <c r="B67" s="106" t="inlineStr">
        <is>
          <t>AR4100</t>
        </is>
      </c>
    </row>
    <row r="68">
      <c r="A68" s="106" t="inlineStr">
        <is>
          <t>영업지원</t>
        </is>
      </c>
      <c r="B68" s="106" t="inlineStr">
        <is>
          <t>AR4101</t>
        </is>
      </c>
    </row>
    <row r="69">
      <c r="A69" s="106" t="inlineStr">
        <is>
          <t>SMD</t>
        </is>
      </c>
      <c r="B69" s="106" t="inlineStr">
        <is>
          <t>AR4103</t>
        </is>
      </c>
    </row>
    <row r="70">
      <c r="A70" s="106" t="inlineStr">
        <is>
          <t>원팀</t>
        </is>
      </c>
      <c r="B70" s="106" t="inlineStr">
        <is>
          <t>AR4104</t>
        </is>
      </c>
    </row>
    <row r="71">
      <c r="A71" s="106" t="inlineStr">
        <is>
          <t>올라운더팀</t>
        </is>
      </c>
      <c r="B71" s="106" t="inlineStr">
        <is>
          <t>AR4105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D2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7" sqref="C7"/>
    </sheetView>
  </sheetViews>
  <sheetFormatPr baseColWidth="8" defaultRowHeight="13.2"/>
  <cols>
    <col width="9" customWidth="1" style="106" min="1" max="1"/>
    <col width="11.625" bestFit="1" customWidth="1" style="106" min="2" max="4"/>
    <col width="9" customWidth="1" style="106" min="5" max="16384"/>
  </cols>
  <sheetData>
    <row r="2">
      <c r="B2" s="107" t="inlineStr">
        <is>
          <t>선택</t>
        </is>
      </c>
      <c r="C2" s="107" t="inlineStr">
        <is>
          <t>비교월1</t>
        </is>
      </c>
      <c r="D2" s="107" t="inlineStr">
        <is>
          <t>비교월2</t>
        </is>
      </c>
    </row>
    <row r="3">
      <c r="B3" s="108">
        <f>IF(EOMONTH(p기준월[[#This Row],[비교월2]],0)='전년대비 인원증감현황'!$L$2,"TRUE","FALSE")</f>
        <v/>
      </c>
      <c r="C3" s="108" t="n">
        <v>45658</v>
      </c>
      <c r="D3" s="108">
        <f>EDATE(C3,12)</f>
        <v/>
      </c>
    </row>
    <row r="4">
      <c r="B4" s="108">
        <f>IF(EOMONTH(p기준월[[#This Row],[비교월2]],0)='전년대비 인원증감현황'!$L$2,"TRUE","FALSE")</f>
        <v/>
      </c>
      <c r="C4" s="108">
        <f>EDATE(C3,1)</f>
        <v/>
      </c>
      <c r="D4" s="108">
        <f>EDATE(C4,12)</f>
        <v/>
      </c>
    </row>
    <row r="5">
      <c r="B5" s="108">
        <f>IF(EOMONTH(p기준월[[#This Row],[비교월2]],0)='전년대비 인원증감현황'!$L$2,"TRUE","FALSE")</f>
        <v/>
      </c>
      <c r="C5" s="108">
        <f>EDATE(C4,1)</f>
        <v/>
      </c>
      <c r="D5" s="108">
        <f>EDATE(C5,12)</f>
        <v/>
      </c>
    </row>
    <row r="6">
      <c r="B6" s="108">
        <f>IF(EOMONTH(p기준월[[#This Row],[비교월2]],0)='전년대비 인원증감현황'!$L$2,"TRUE","FALSE")</f>
        <v/>
      </c>
      <c r="C6" s="108">
        <f>EDATE(C5,1)</f>
        <v/>
      </c>
      <c r="D6" s="108">
        <f>EDATE(C6,12)</f>
        <v/>
      </c>
    </row>
    <row r="7">
      <c r="B7" s="108">
        <f>IF(EOMONTH(p기준월[[#This Row],[비교월2]],0)='전년대비 인원증감현황'!$L$2,"TRUE","FALSE")</f>
        <v/>
      </c>
      <c r="C7" s="108">
        <f>EDATE(C6,1)</f>
        <v/>
      </c>
      <c r="D7" s="108">
        <f>EDATE(C7,12)</f>
        <v/>
      </c>
    </row>
    <row r="8">
      <c r="B8" s="108">
        <f>IF(EOMONTH(p기준월[[#This Row],[비교월2]],0)='전년대비 인원증감현황'!$L$2,"TRUE","FALSE")</f>
        <v/>
      </c>
      <c r="C8" s="108">
        <f>EDATE(C7,1)</f>
        <v/>
      </c>
      <c r="D8" s="108">
        <f>EDATE(C8,12)</f>
        <v/>
      </c>
    </row>
    <row r="9">
      <c r="B9" s="108">
        <f>IF(EOMONTH(p기준월[[#This Row],[비교월2]],0)='전년대비 인원증감현황'!$L$2,"TRUE","FALSE")</f>
        <v/>
      </c>
      <c r="C9" s="108">
        <f>EDATE(C8,1)</f>
        <v/>
      </c>
      <c r="D9" s="108">
        <f>EDATE(C9,12)</f>
        <v/>
      </c>
    </row>
    <row r="10">
      <c r="B10" s="108">
        <f>IF(EOMONTH(p기준월[[#This Row],[비교월2]],0)='전년대비 인원증감현황'!$L$2,"TRUE","FALSE")</f>
        <v/>
      </c>
      <c r="C10" s="108">
        <f>EDATE(C9,1)</f>
        <v/>
      </c>
      <c r="D10" s="108">
        <f>EDATE(C10,12)</f>
        <v/>
      </c>
    </row>
    <row r="11">
      <c r="B11" s="108">
        <f>IF(EOMONTH(p기준월[[#This Row],[비교월2]],0)='전년대비 인원증감현황'!$L$2,"TRUE","FALSE")</f>
        <v/>
      </c>
      <c r="C11" s="108">
        <f>EDATE(C10,1)</f>
        <v/>
      </c>
      <c r="D11" s="108">
        <f>EDATE(C11,12)</f>
        <v/>
      </c>
    </row>
    <row r="12">
      <c r="B12" s="108">
        <f>IF(EOMONTH(p기준월[[#This Row],[비교월2]],0)='전년대비 인원증감현황'!$L$2,"TRUE","FALSE")</f>
        <v/>
      </c>
      <c r="C12" s="108">
        <f>EDATE(C11,1)</f>
        <v/>
      </c>
      <c r="D12" s="108">
        <f>EDATE(C12,12)</f>
        <v/>
      </c>
    </row>
    <row r="13">
      <c r="B13" s="108">
        <f>IF(EOMONTH(p기준월[[#This Row],[비교월2]],0)='전년대비 인원증감현황'!$L$2,"TRUE","FALSE")</f>
        <v/>
      </c>
      <c r="C13" s="108">
        <f>EDATE(C12,1)</f>
        <v/>
      </c>
      <c r="D13" s="108">
        <f>EDATE(C13,12)</f>
        <v/>
      </c>
    </row>
    <row r="14">
      <c r="B14" s="108">
        <f>IF(EOMONTH(p기준월[[#This Row],[비교월2]],0)='전년대비 인원증감현황'!$L$2,"TRUE","FALSE")</f>
        <v/>
      </c>
      <c r="C14" s="108">
        <f>EDATE(C13,1)</f>
        <v/>
      </c>
      <c r="D14" s="108">
        <f>EDATE(C14,12)</f>
        <v/>
      </c>
    </row>
    <row r="15">
      <c r="B15" s="108">
        <f>IF(EOMONTH(p기준월[[#This Row],[비교월2]],0)='전년대비 인원증감현황'!$L$2,"TRUE","FALSE")</f>
        <v/>
      </c>
      <c r="C15" s="108">
        <f>EDATE(C14,1)</f>
        <v/>
      </c>
      <c r="D15" s="108">
        <f>EDATE(C15,12)</f>
        <v/>
      </c>
    </row>
    <row r="16">
      <c r="B16" s="108">
        <f>IF(EOMONTH(p기준월[[#This Row],[비교월2]],0)='전년대비 인원증감현황'!$L$2,"TRUE","FALSE")</f>
        <v/>
      </c>
      <c r="C16" s="108">
        <f>EDATE(C15,1)</f>
        <v/>
      </c>
      <c r="D16" s="108">
        <f>EDATE(C16,12)</f>
        <v/>
      </c>
    </row>
    <row r="17">
      <c r="B17" s="108">
        <f>IF(EOMONTH(p기준월[[#This Row],[비교월2]],0)='전년대비 인원증감현황'!$L$2,"TRUE","FALSE")</f>
        <v/>
      </c>
      <c r="C17" s="108">
        <f>EDATE(C16,1)</f>
        <v/>
      </c>
      <c r="D17" s="108">
        <f>EDATE(C17,12)</f>
        <v/>
      </c>
    </row>
    <row r="18">
      <c r="B18" s="108">
        <f>IF(EOMONTH(p기준월[[#This Row],[비교월2]],0)='전년대비 인원증감현황'!$L$2,"TRUE","FALSE")</f>
        <v/>
      </c>
      <c r="C18" s="108">
        <f>EDATE(C17,1)</f>
        <v/>
      </c>
      <c r="D18" s="108">
        <f>EDATE(C18,12)</f>
        <v/>
      </c>
    </row>
    <row r="19">
      <c r="B19" s="108">
        <f>IF(EOMONTH(p기준월[[#This Row],[비교월2]],0)='전년대비 인원증감현황'!$L$2,"TRUE","FALSE")</f>
        <v/>
      </c>
      <c r="C19" s="108">
        <f>EDATE(C18,1)</f>
        <v/>
      </c>
      <c r="D19" s="108">
        <f>EDATE(C19,12)</f>
        <v/>
      </c>
    </row>
    <row r="20">
      <c r="B20" s="108">
        <f>IF(EOMONTH(p기준월[[#This Row],[비교월2]],0)='전년대비 인원증감현황'!$L$2,"TRUE","FALSE")</f>
        <v/>
      </c>
      <c r="C20" s="108">
        <f>EDATE(C19,1)</f>
        <v/>
      </c>
      <c r="D20" s="108">
        <f>EDATE(C20,12)</f>
        <v/>
      </c>
    </row>
    <row r="21">
      <c r="B21" s="108">
        <f>IF(EOMONTH(p기준월[[#This Row],[비교월2]],0)='전년대비 인원증감현황'!$L$2,"TRUE","FALSE")</f>
        <v/>
      </c>
      <c r="C21" s="108">
        <f>EDATE(C20,1)</f>
        <v/>
      </c>
      <c r="D21" s="108">
        <f>EDATE(C21,12)</f>
        <v/>
      </c>
    </row>
    <row r="22">
      <c r="B22" s="108">
        <f>IF(EOMONTH(p기준월[[#This Row],[비교월2]],0)='전년대비 인원증감현황'!$L$2,"TRUE","FALSE")</f>
        <v/>
      </c>
      <c r="C22" s="108">
        <f>EDATE(C21,1)</f>
        <v/>
      </c>
      <c r="D22" s="108">
        <f>EDATE(C22,12)</f>
        <v/>
      </c>
    </row>
    <row r="23">
      <c r="B23" s="108">
        <f>IF(EOMONTH(p기준월[[#This Row],[비교월2]],0)='전년대비 인원증감현황'!$L$2,"TRUE","FALSE")</f>
        <v/>
      </c>
      <c r="C23" s="108">
        <f>EDATE(C22,1)</f>
        <v/>
      </c>
      <c r="D23" s="108">
        <f>EDATE(C23,12)</f>
        <v/>
      </c>
    </row>
    <row r="24">
      <c r="B24" s="108">
        <f>IF(EOMONTH(p기준월[[#This Row],[비교월2]],0)='전년대비 인원증감현황'!$L$2,"TRUE","FALSE")</f>
        <v/>
      </c>
      <c r="C24" s="108">
        <f>EDATE(C23,1)</f>
        <v/>
      </c>
      <c r="D24" s="108">
        <f>EDATE(C24,12)</f>
        <v/>
      </c>
    </row>
    <row r="25">
      <c r="B25" s="108">
        <f>IF(EOMONTH(p기준월[[#This Row],[비교월2]],0)='전년대비 인원증감현황'!$L$2,"TRUE","FALSE")</f>
        <v/>
      </c>
      <c r="C25" s="108">
        <f>EDATE(C24,1)</f>
        <v/>
      </c>
      <c r="D25" s="108">
        <f>EDATE(C25,12)</f>
        <v/>
      </c>
    </row>
    <row r="26">
      <c r="B26" s="108">
        <f>IF(EOMONTH(p기준월[[#This Row],[비교월2]],0)='전년대비 인원증감현황'!$L$2,"TRUE","FALSE")</f>
        <v/>
      </c>
      <c r="C26" s="108">
        <f>EDATE(C25,1)</f>
        <v/>
      </c>
      <c r="D26" s="108">
        <f>EDATE(C26,12)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7" sqref="D27"/>
    </sheetView>
  </sheetViews>
  <sheetFormatPr baseColWidth="8" defaultRowHeight="10.8"/>
  <cols>
    <col width="11.375" bestFit="1" customWidth="1" style="169" min="1" max="1"/>
    <col width="21.75" bestFit="1" customWidth="1" style="169" min="2" max="2"/>
    <col width="11.375" bestFit="1" customWidth="1" style="169" min="6" max="6"/>
    <col width="21.75" bestFit="1" customWidth="1" style="169" min="7" max="7"/>
    <col width="18.125" bestFit="1" customWidth="1" style="169" min="9" max="9"/>
  </cols>
  <sheetData>
    <row r="1" ht="13.2" customHeight="1" s="169">
      <c r="A1" s="102" t="inlineStr">
        <is>
          <t>구분1</t>
        </is>
      </c>
      <c r="B1" s="102" t="inlineStr">
        <is>
          <t>구분2</t>
        </is>
      </c>
      <c r="C1" s="102" t="inlineStr">
        <is>
          <t>순서</t>
        </is>
      </c>
      <c r="F1" s="102" t="inlineStr">
        <is>
          <t>구분1</t>
        </is>
      </c>
      <c r="G1" s="102" t="inlineStr">
        <is>
          <t>구분2</t>
        </is>
      </c>
      <c r="I1" s="106" t="inlineStr">
        <is>
          <t>부서</t>
        </is>
      </c>
      <c r="J1" s="106" t="inlineStr">
        <is>
          <t>부서코드</t>
        </is>
      </c>
    </row>
    <row r="2" ht="13.2" customHeight="1" s="169">
      <c r="A2" s="103" t="inlineStr">
        <is>
          <t>임원</t>
        </is>
      </c>
      <c r="B2" s="103" t="inlineStr">
        <is>
          <t>임원</t>
        </is>
      </c>
      <c r="C2" s="107" t="n">
        <v>1</v>
      </c>
      <c r="F2" s="104" t="inlineStr">
        <is>
          <t>AMD</t>
        </is>
      </c>
      <c r="G2" s="104" t="inlineStr">
        <is>
          <t>AMD</t>
        </is>
      </c>
      <c r="I2" s="166" t="inlineStr">
        <is>
          <t>임원-광주점</t>
        </is>
      </c>
      <c r="J2" s="106" t="inlineStr">
        <is>
          <t>AR1003</t>
        </is>
      </c>
    </row>
    <row r="3" ht="13.2" customHeight="1" s="169">
      <c r="A3" s="105" t="inlineStr">
        <is>
          <t>영업본부</t>
        </is>
      </c>
      <c r="B3" s="105" t="inlineStr">
        <is>
          <t>총괄</t>
        </is>
      </c>
      <c r="C3" s="107" t="n">
        <v>2</v>
      </c>
      <c r="F3" s="104" t="inlineStr">
        <is>
          <t>CXD</t>
        </is>
      </c>
      <c r="G3" s="104" t="inlineStr">
        <is>
          <t>CXD</t>
        </is>
      </c>
      <c r="I3" s="166" t="inlineStr">
        <is>
          <t>임원-일산점</t>
        </is>
      </c>
      <c r="J3" s="106" t="inlineStr">
        <is>
          <t>AR1005</t>
        </is>
      </c>
    </row>
    <row r="4" ht="13.2" customHeight="1" s="169">
      <c r="A4" s="103" t="inlineStr">
        <is>
          <t>영업본부</t>
        </is>
      </c>
      <c r="B4" s="103" t="inlineStr">
        <is>
          <t>백화점</t>
        </is>
      </c>
      <c r="C4" s="107" t="n">
        <v>3</v>
      </c>
      <c r="F4" s="104" t="inlineStr">
        <is>
          <t>ETC</t>
        </is>
      </c>
      <c r="G4" s="104" t="inlineStr">
        <is>
          <t>ETC</t>
        </is>
      </c>
      <c r="I4" s="166" t="inlineStr">
        <is>
          <t>임원-양재점</t>
        </is>
      </c>
      <c r="J4" s="106" t="inlineStr">
        <is>
          <t>AR1006</t>
        </is>
      </c>
    </row>
    <row r="5" ht="13.2" customHeight="1" s="169">
      <c r="A5" s="103" t="inlineStr">
        <is>
          <t>영업본부</t>
        </is>
      </c>
      <c r="B5" s="103" t="inlineStr">
        <is>
          <t>SMD</t>
        </is>
      </c>
      <c r="C5" s="107" t="n">
        <v>4</v>
      </c>
      <c r="F5" s="103" t="inlineStr">
        <is>
          <t>RND</t>
        </is>
      </c>
      <c r="G5" s="103" t="inlineStr">
        <is>
          <t>NC불광</t>
        </is>
      </c>
      <c r="I5" s="166" t="inlineStr">
        <is>
          <t>RND</t>
        </is>
      </c>
      <c r="J5" s="106" t="inlineStr">
        <is>
          <t>AR1101</t>
        </is>
      </c>
    </row>
    <row r="6" ht="13.2" customHeight="1" s="169">
      <c r="A6" s="103" t="inlineStr">
        <is>
          <t>영업본부</t>
        </is>
      </c>
      <c r="B6" s="103" t="inlineStr">
        <is>
          <t>영업지원</t>
        </is>
      </c>
      <c r="C6" s="107" t="n">
        <v>5</v>
      </c>
      <c r="F6" s="103" t="inlineStr">
        <is>
          <t>상품본부</t>
        </is>
      </c>
      <c r="G6" s="103" t="inlineStr">
        <is>
          <t>NC일산점</t>
        </is>
      </c>
      <c r="I6" s="166" t="inlineStr">
        <is>
          <t>RND_VMD팀</t>
        </is>
      </c>
      <c r="J6" s="106" t="inlineStr">
        <is>
          <t>AR1117</t>
        </is>
      </c>
    </row>
    <row r="7" ht="13.2" customHeight="1" s="169">
      <c r="A7" s="104" t="inlineStr">
        <is>
          <t>온라인사업부</t>
        </is>
      </c>
      <c r="B7" s="104" t="inlineStr">
        <is>
          <t>온라인사업부</t>
        </is>
      </c>
      <c r="C7" s="107" t="n">
        <v>6</v>
      </c>
      <c r="F7" s="103" t="inlineStr">
        <is>
          <t>영업본부</t>
        </is>
      </c>
      <c r="G7" s="103" t="inlineStr">
        <is>
          <t>NC충장</t>
        </is>
      </c>
      <c r="I7" s="166" t="inlineStr">
        <is>
          <t>RND_1팀</t>
        </is>
      </c>
      <c r="J7" s="106" t="inlineStr">
        <is>
          <t>AR1121</t>
        </is>
      </c>
    </row>
    <row r="8" ht="13.2" customHeight="1" s="169">
      <c r="A8" s="105" t="inlineStr">
        <is>
          <t>상품본부</t>
        </is>
      </c>
      <c r="B8" s="105" t="inlineStr">
        <is>
          <t>총괄</t>
        </is>
      </c>
      <c r="C8" s="107" t="n">
        <v>7</v>
      </c>
      <c r="F8" s="104" t="inlineStr">
        <is>
          <t>온라인사업부</t>
        </is>
      </c>
      <c r="G8" s="103" t="inlineStr">
        <is>
          <t>NC해운대점</t>
        </is>
      </c>
      <c r="I8" s="166" t="inlineStr">
        <is>
          <t>RND_2팀</t>
        </is>
      </c>
      <c r="J8" s="106" t="inlineStr">
        <is>
          <t>AR1122</t>
        </is>
      </c>
    </row>
    <row r="9" ht="13.2" customHeight="1" s="169">
      <c r="A9" s="103" t="inlineStr">
        <is>
          <t>상품본부</t>
        </is>
      </c>
      <c r="B9" s="103" t="inlineStr">
        <is>
          <t>PLD</t>
        </is>
      </c>
      <c r="C9" s="107" t="n">
        <v>8</v>
      </c>
      <c r="F9" s="103" t="inlineStr">
        <is>
          <t>임원</t>
        </is>
      </c>
      <c r="G9" s="103" t="inlineStr">
        <is>
          <t>PDD</t>
        </is>
      </c>
      <c r="I9" s="166" t="inlineStr">
        <is>
          <t>RND_3팀</t>
        </is>
      </c>
      <c r="J9" s="106" t="inlineStr">
        <is>
          <t>AR1123</t>
        </is>
      </c>
    </row>
    <row r="10" ht="13.2" customHeight="1" s="169">
      <c r="A10" s="103" t="inlineStr">
        <is>
          <t>상품본부</t>
        </is>
      </c>
      <c r="B10" s="103" t="inlineStr">
        <is>
          <t>PDD</t>
        </is>
      </c>
      <c r="C10" s="107" t="n">
        <v>9</v>
      </c>
      <c r="F10" s="103" t="inlineStr">
        <is>
          <t>중간관리</t>
        </is>
      </c>
      <c r="G10" s="103" t="inlineStr">
        <is>
          <t>PLD</t>
        </is>
      </c>
      <c r="I10" s="166" t="inlineStr">
        <is>
          <t>AMD</t>
        </is>
      </c>
      <c r="J10" s="106" t="inlineStr">
        <is>
          <t>AR1200</t>
        </is>
      </c>
    </row>
    <row r="11" ht="13.2" customHeight="1" s="169">
      <c r="A11" s="103" t="inlineStr">
        <is>
          <t>상품본부</t>
        </is>
      </c>
      <c r="B11" s="103" t="inlineStr">
        <is>
          <t>PMD</t>
        </is>
      </c>
      <c r="C11" s="107" t="n">
        <v>10</v>
      </c>
      <c r="F11" s="103" t="inlineStr">
        <is>
          <t>직영점</t>
        </is>
      </c>
      <c r="G11" s="103" t="inlineStr">
        <is>
          <t>PMD</t>
        </is>
      </c>
      <c r="I11" s="166" t="inlineStr">
        <is>
          <t>CXD</t>
        </is>
      </c>
      <c r="J11" s="106" t="inlineStr">
        <is>
          <t>AR1510</t>
        </is>
      </c>
    </row>
    <row r="12" ht="13.2" customHeight="1" s="169">
      <c r="A12" s="103" t="inlineStr">
        <is>
          <t>상품본부</t>
        </is>
      </c>
      <c r="B12" s="103" t="inlineStr">
        <is>
          <t>MMD</t>
        </is>
      </c>
      <c r="C12" s="107" t="n">
        <v>11</v>
      </c>
      <c r="F12" s="103" t="n"/>
      <c r="G12" s="103" t="n"/>
      <c r="I12" s="166" t="inlineStr">
        <is>
          <t>온라인사업부</t>
        </is>
      </c>
      <c r="J12" s="106" t="inlineStr">
        <is>
          <t>AR1700</t>
        </is>
      </c>
    </row>
    <row r="13" ht="13.2" customHeight="1" s="169">
      <c r="A13" s="105" t="inlineStr">
        <is>
          <t>RND</t>
        </is>
      </c>
      <c r="B13" s="105" t="inlineStr">
        <is>
          <t>총괄</t>
        </is>
      </c>
      <c r="C13" s="107" t="n">
        <v>12</v>
      </c>
      <c r="G13" s="103" t="inlineStr">
        <is>
          <t>RND</t>
        </is>
      </c>
      <c r="I13" s="166" t="inlineStr">
        <is>
          <t>경기광주점</t>
        </is>
      </c>
      <c r="J13" s="106" t="inlineStr">
        <is>
          <t>AR1790</t>
        </is>
      </c>
    </row>
    <row r="14" ht="13.2" customHeight="1" s="169">
      <c r="A14" s="103" t="inlineStr">
        <is>
          <t>RND</t>
        </is>
      </c>
      <c r="B14" s="103" t="inlineStr">
        <is>
          <t>RND</t>
        </is>
      </c>
      <c r="C14" s="107" t="n">
        <v>13</v>
      </c>
      <c r="G14" s="103" t="inlineStr">
        <is>
          <t>SMD</t>
        </is>
      </c>
      <c r="I14" s="166" t="inlineStr">
        <is>
          <t>일산점</t>
        </is>
      </c>
      <c r="J14" s="106" t="inlineStr">
        <is>
          <t>AR1800</t>
        </is>
      </c>
    </row>
    <row r="15" ht="13.2" customHeight="1" s="169">
      <c r="A15" s="103" t="inlineStr">
        <is>
          <t>RND</t>
        </is>
      </c>
      <c r="B15" s="103" t="inlineStr">
        <is>
          <t>VMD</t>
        </is>
      </c>
      <c r="C15" s="107" t="n">
        <v>14</v>
      </c>
      <c r="G15" s="103" t="inlineStr">
        <is>
          <t>VMD</t>
        </is>
      </c>
      <c r="I15" s="166" t="inlineStr">
        <is>
          <t>전주점</t>
        </is>
      </c>
      <c r="J15" s="106" t="inlineStr">
        <is>
          <t>AR1910</t>
        </is>
      </c>
    </row>
    <row r="16" ht="13.2" customHeight="1" s="169">
      <c r="A16" s="104" t="inlineStr">
        <is>
          <t>AMD</t>
        </is>
      </c>
      <c r="B16" s="104" t="inlineStr">
        <is>
          <t>AMD</t>
        </is>
      </c>
      <c r="C16" s="107" t="n">
        <v>15</v>
      </c>
      <c r="G16" s="103" t="inlineStr">
        <is>
          <t>가든5점_현대아울렛</t>
        </is>
      </c>
      <c r="I16" s="166" t="inlineStr">
        <is>
          <t>NC충장점</t>
        </is>
      </c>
      <c r="J16" s="106" t="inlineStr">
        <is>
          <t>AR1940</t>
        </is>
      </c>
    </row>
    <row r="17" ht="13.2" customHeight="1" s="169">
      <c r="A17" s="104" t="inlineStr">
        <is>
          <t>CXD</t>
        </is>
      </c>
      <c r="B17" s="104" t="inlineStr">
        <is>
          <t>CXD</t>
        </is>
      </c>
      <c r="C17" s="107" t="n">
        <v>16</v>
      </c>
      <c r="G17" s="103" t="inlineStr">
        <is>
          <t>갤러리아</t>
        </is>
      </c>
      <c r="I17" s="166" t="inlineStr">
        <is>
          <t>NC불광점</t>
        </is>
      </c>
      <c r="J17" s="106" t="inlineStr">
        <is>
          <t>AR1950</t>
        </is>
      </c>
    </row>
    <row r="18" ht="13.2" customHeight="1" s="169">
      <c r="A18" s="104" t="inlineStr">
        <is>
          <t>ETC</t>
        </is>
      </c>
      <c r="B18" s="104" t="inlineStr">
        <is>
          <t>ETC</t>
        </is>
      </c>
      <c r="C18" s="107" t="n">
        <v>17</v>
      </c>
      <c r="G18" s="103" t="inlineStr">
        <is>
          <t>고양터미널점(롯데아울렛)</t>
        </is>
      </c>
      <c r="I18" s="166" t="inlineStr">
        <is>
          <t>양재점</t>
        </is>
      </c>
      <c r="J18" s="106" t="inlineStr">
        <is>
          <t>AR1960</t>
        </is>
      </c>
    </row>
    <row r="19" ht="13.2" customHeight="1" s="169">
      <c r="A19" s="103" t="inlineStr">
        <is>
          <t>직영점</t>
        </is>
      </c>
      <c r="B19" s="103" t="inlineStr">
        <is>
          <t>양재점</t>
        </is>
      </c>
      <c r="C19" s="107" t="n">
        <v>18</v>
      </c>
      <c r="G19" s="103" t="inlineStr">
        <is>
          <t>광주점</t>
        </is>
      </c>
      <c r="I19" s="166" t="inlineStr">
        <is>
          <t>청주점</t>
        </is>
      </c>
      <c r="J19" s="106" t="inlineStr">
        <is>
          <t>AR1970</t>
        </is>
      </c>
    </row>
    <row r="20" ht="13.2" customHeight="1" s="169">
      <c r="A20" s="103" t="inlineStr">
        <is>
          <t>직영점</t>
        </is>
      </c>
      <c r="B20" s="103" t="inlineStr">
        <is>
          <t>일산점</t>
        </is>
      </c>
      <c r="C20" s="107" t="n">
        <v>19</v>
      </c>
      <c r="G20" s="103" t="inlineStr">
        <is>
          <t>롯데</t>
        </is>
      </c>
      <c r="I20" s="166" t="inlineStr">
        <is>
          <t>NC해운대점</t>
        </is>
      </c>
      <c r="J20" s="106" t="inlineStr">
        <is>
          <t>AR1980</t>
        </is>
      </c>
    </row>
    <row r="21" ht="13.2" customHeight="1" s="169">
      <c r="A21" s="103" t="inlineStr">
        <is>
          <t>직영점</t>
        </is>
      </c>
      <c r="B21" s="103" t="inlineStr">
        <is>
          <t>광주점</t>
        </is>
      </c>
      <c r="C21" s="107" t="n">
        <v>20</v>
      </c>
      <c r="G21" s="103" t="inlineStr">
        <is>
          <t>백화점</t>
        </is>
      </c>
      <c r="I21" s="166" t="inlineStr">
        <is>
          <t>NC일산점</t>
        </is>
      </c>
      <c r="J21" s="106" t="inlineStr">
        <is>
          <t>AR1981</t>
        </is>
      </c>
    </row>
    <row r="22" ht="13.2" customHeight="1" s="169">
      <c r="A22" s="103" t="inlineStr">
        <is>
          <t>직영점</t>
        </is>
      </c>
      <c r="B22" s="103" t="inlineStr">
        <is>
          <t>전주점</t>
        </is>
      </c>
      <c r="C22" s="107" t="n">
        <v>21</v>
      </c>
      <c r="G22" s="103" t="inlineStr">
        <is>
          <t>신세계</t>
        </is>
      </c>
      <c r="I22" s="166" t="inlineStr">
        <is>
          <t>현대커넥트부산점</t>
        </is>
      </c>
      <c r="J22" s="106" t="inlineStr">
        <is>
          <t>AR1982</t>
        </is>
      </c>
    </row>
    <row r="23" ht="13.2" customHeight="1" s="169">
      <c r="A23" s="103" t="inlineStr">
        <is>
          <t>직영점</t>
        </is>
      </c>
      <c r="B23" s="103" t="inlineStr">
        <is>
          <t>NC충장</t>
        </is>
      </c>
      <c r="C23" s="107" t="n">
        <v>22</v>
      </c>
      <c r="G23" s="103" t="inlineStr">
        <is>
          <t>양재점</t>
        </is>
      </c>
      <c r="I23" s="106" t="inlineStr">
        <is>
          <t>양주점(LF몰)</t>
        </is>
      </c>
      <c r="J23" s="106" t="inlineStr">
        <is>
          <t>AR2311</t>
        </is>
      </c>
    </row>
    <row r="24" ht="13.2" customHeight="1" s="169">
      <c r="A24" s="103" t="inlineStr">
        <is>
          <t>직영점</t>
        </is>
      </c>
      <c r="B24" s="103" t="inlineStr">
        <is>
          <t>NC불광</t>
        </is>
      </c>
      <c r="C24" s="107" t="n">
        <v>23</v>
      </c>
      <c r="G24" s="103" t="inlineStr">
        <is>
          <t>영업지원</t>
        </is>
      </c>
      <c r="I24" s="106" t="inlineStr">
        <is>
          <t>광명점(롯데아울렛)</t>
        </is>
      </c>
      <c r="J24" s="106" t="inlineStr">
        <is>
          <t>AR2403</t>
        </is>
      </c>
    </row>
    <row r="25" ht="13.2" customHeight="1" s="169">
      <c r="A25" s="103" t="inlineStr">
        <is>
          <t>직영점</t>
        </is>
      </c>
      <c r="B25" s="103" t="inlineStr">
        <is>
          <t>청주점</t>
        </is>
      </c>
      <c r="C25" s="107" t="n">
        <v>24</v>
      </c>
      <c r="G25" s="104" t="inlineStr">
        <is>
          <t>온라인사업부</t>
        </is>
      </c>
      <c r="I25" s="106" t="inlineStr">
        <is>
          <t>고양점(롯데아울렛)</t>
        </is>
      </c>
      <c r="J25" s="106" t="inlineStr">
        <is>
          <t>AR2501</t>
        </is>
      </c>
    </row>
    <row r="26" ht="13.2" customHeight="1" s="169">
      <c r="A26" s="103" t="inlineStr">
        <is>
          <t>직영점</t>
        </is>
      </c>
      <c r="B26" s="103" t="inlineStr">
        <is>
          <t>NC해운대점</t>
        </is>
      </c>
      <c r="C26" s="107" t="n">
        <v>25</v>
      </c>
      <c r="G26" s="103" t="inlineStr">
        <is>
          <t>일산점</t>
        </is>
      </c>
      <c r="I26" s="106" t="inlineStr">
        <is>
          <t>광교점(롯데아울렛)</t>
        </is>
      </c>
      <c r="J26" s="106" t="inlineStr">
        <is>
          <t>AR2502</t>
        </is>
      </c>
    </row>
    <row r="27" ht="13.2" customHeight="1" s="169">
      <c r="A27" s="103" t="inlineStr">
        <is>
          <t>직영점</t>
        </is>
      </c>
      <c r="B27" s="103" t="inlineStr">
        <is>
          <t>NC일산점</t>
        </is>
      </c>
      <c r="C27" s="107" t="n">
        <v>26</v>
      </c>
      <c r="G27" s="103" t="inlineStr">
        <is>
          <t>임원</t>
        </is>
      </c>
      <c r="I27" s="106" t="inlineStr">
        <is>
          <t>군산점(롯데아울렛)</t>
        </is>
      </c>
      <c r="J27" s="106" t="inlineStr">
        <is>
          <t>AR2503</t>
        </is>
      </c>
    </row>
    <row r="28" ht="13.2" customHeight="1" s="169">
      <c r="A28" s="103" t="inlineStr">
        <is>
          <t>직영점</t>
        </is>
      </c>
      <c r="B28" s="103" t="inlineStr">
        <is>
          <t>고양터미널점(롯데아울렛)</t>
        </is>
      </c>
      <c r="C28" s="107" t="n">
        <v>27</v>
      </c>
      <c r="G28" s="103" t="inlineStr">
        <is>
          <t>전주점</t>
        </is>
      </c>
      <c r="I28" s="106" t="inlineStr">
        <is>
          <t>동부산점(롯데아울렛)</t>
        </is>
      </c>
      <c r="J28" s="106" t="inlineStr">
        <is>
          <t>AR2505</t>
        </is>
      </c>
    </row>
    <row r="29" ht="13.2" customHeight="1" s="169">
      <c r="A29" s="103" t="inlineStr">
        <is>
          <t>직영점</t>
        </is>
      </c>
      <c r="B29" s="103" t="inlineStr">
        <is>
          <t>가든5점_현대아울렛</t>
        </is>
      </c>
      <c r="C29" s="107" t="n">
        <v>28</v>
      </c>
      <c r="G29" s="103" t="inlineStr">
        <is>
          <t>청주점</t>
        </is>
      </c>
      <c r="I29" s="106" t="inlineStr">
        <is>
          <t>롯데광복점</t>
        </is>
      </c>
      <c r="J29" s="106" t="inlineStr">
        <is>
          <t>AR2603</t>
        </is>
      </c>
    </row>
    <row r="30" ht="13.2" customHeight="1" s="169">
      <c r="A30" s="103" t="inlineStr">
        <is>
          <t>중간관리</t>
        </is>
      </c>
      <c r="B30" s="103" t="inlineStr">
        <is>
          <t>롯데</t>
        </is>
      </c>
      <c r="G30" s="103" t="inlineStr">
        <is>
          <t>총괄</t>
        </is>
      </c>
      <c r="I30" s="106" t="inlineStr">
        <is>
          <t>신세계충청점</t>
        </is>
      </c>
      <c r="J30" s="106" t="inlineStr">
        <is>
          <t>AR2604</t>
        </is>
      </c>
    </row>
    <row r="31" ht="13.2" customHeight="1" s="169">
      <c r="A31" s="103" t="inlineStr">
        <is>
          <t>중간관리</t>
        </is>
      </c>
      <c r="B31" s="103" t="inlineStr">
        <is>
          <t>현대</t>
        </is>
      </c>
      <c r="G31" s="103" t="inlineStr">
        <is>
          <t>현대</t>
        </is>
      </c>
      <c r="I31" s="106" t="inlineStr">
        <is>
          <t>신세계의정부점</t>
        </is>
      </c>
      <c r="J31" s="106" t="inlineStr">
        <is>
          <t>AR2605</t>
        </is>
      </c>
    </row>
    <row r="32" ht="13.2" customHeight="1" s="169">
      <c r="A32" s="103" t="inlineStr">
        <is>
          <t>중간관리</t>
        </is>
      </c>
      <c r="B32" s="103" t="inlineStr">
        <is>
          <t>신세계</t>
        </is>
      </c>
      <c r="I32" s="106" t="inlineStr">
        <is>
          <t>롯데구리점</t>
        </is>
      </c>
      <c r="J32" s="106" t="inlineStr">
        <is>
          <t>AR2607</t>
        </is>
      </c>
    </row>
    <row r="33" ht="13.2" customHeight="1" s="169">
      <c r="A33" s="103" t="inlineStr">
        <is>
          <t>중간관리</t>
        </is>
      </c>
      <c r="B33" s="103" t="inlineStr">
        <is>
          <t>갤러리아</t>
        </is>
      </c>
      <c r="I33" s="106" t="inlineStr">
        <is>
          <t>신세계김해점</t>
        </is>
      </c>
      <c r="J33" s="106" t="inlineStr">
        <is>
          <t>AR2609</t>
        </is>
      </c>
    </row>
    <row r="34" ht="13.2" customHeight="1" s="169">
      <c r="I34" s="106" t="inlineStr">
        <is>
          <t>현대중동점</t>
        </is>
      </c>
      <c r="J34" s="106" t="inlineStr">
        <is>
          <t>AR2612</t>
        </is>
      </c>
    </row>
    <row r="35" ht="13.2" customHeight="1" s="169">
      <c r="I35" s="106" t="inlineStr">
        <is>
          <t>현대동구점</t>
        </is>
      </c>
      <c r="J35" s="106" t="inlineStr">
        <is>
          <t>AR2613</t>
        </is>
      </c>
    </row>
    <row r="36" ht="13.2" customHeight="1" s="169">
      <c r="I36" s="106" t="inlineStr">
        <is>
          <t>스타필드하남점</t>
        </is>
      </c>
      <c r="J36" s="106" t="inlineStr">
        <is>
          <t>AR2621</t>
        </is>
      </c>
    </row>
    <row r="37" ht="13.2" customHeight="1" s="169">
      <c r="I37" s="106" t="inlineStr">
        <is>
          <t>롯데잠실점</t>
        </is>
      </c>
      <c r="J37" s="106" t="inlineStr">
        <is>
          <t>AR2622</t>
        </is>
      </c>
    </row>
    <row r="38" ht="13.2" customHeight="1" s="169">
      <c r="I38" s="106" t="inlineStr">
        <is>
          <t>롯데미아점</t>
        </is>
      </c>
      <c r="J38" s="106" t="inlineStr">
        <is>
          <t>AR2624</t>
        </is>
      </c>
    </row>
    <row r="39" ht="13.2" customHeight="1" s="169">
      <c r="I39" s="106" t="inlineStr">
        <is>
          <t>롯데수원점</t>
        </is>
      </c>
      <c r="J39" s="106" t="inlineStr">
        <is>
          <t>AR2625</t>
        </is>
      </c>
    </row>
    <row r="40" ht="13.2" customHeight="1" s="169">
      <c r="I40" s="106" t="inlineStr">
        <is>
          <t>롯데상인점</t>
        </is>
      </c>
      <c r="J40" s="106" t="inlineStr">
        <is>
          <t>AR2630</t>
        </is>
      </c>
    </row>
    <row r="41" ht="13.2" customHeight="1" s="169">
      <c r="I41" s="106" t="inlineStr">
        <is>
          <t>롯데강남점</t>
        </is>
      </c>
      <c r="J41" s="106" t="inlineStr">
        <is>
          <t>AR2632</t>
        </is>
      </c>
    </row>
    <row r="42" ht="13.2" customHeight="1" s="169">
      <c r="I42" s="106" t="inlineStr">
        <is>
          <t>현대울산점</t>
        </is>
      </c>
      <c r="J42" s="106" t="inlineStr">
        <is>
          <t>AR2639</t>
        </is>
      </c>
    </row>
    <row r="43" ht="13.2" customHeight="1" s="169">
      <c r="I43" s="106" t="inlineStr">
        <is>
          <t>롯데전주점</t>
        </is>
      </c>
      <c r="J43" s="106" t="inlineStr">
        <is>
          <t>AR2640</t>
        </is>
      </c>
    </row>
    <row r="44" ht="13.2" customHeight="1" s="169">
      <c r="I44" s="106" t="inlineStr">
        <is>
          <t>갤러리아천안점</t>
        </is>
      </c>
      <c r="J44" s="106" t="inlineStr">
        <is>
          <t>AR2646</t>
        </is>
      </c>
    </row>
    <row r="45" ht="13.2" customHeight="1" s="169">
      <c r="I45" s="106" t="inlineStr">
        <is>
          <t>롯데관악점</t>
        </is>
      </c>
      <c r="J45" s="106" t="inlineStr">
        <is>
          <t>AR2647</t>
        </is>
      </c>
    </row>
    <row r="46" ht="13.2" customHeight="1" s="169">
      <c r="I46" s="106" t="inlineStr">
        <is>
          <t>롯데안산점</t>
        </is>
      </c>
      <c r="J46" s="106" t="inlineStr">
        <is>
          <t>AR2649</t>
        </is>
      </c>
    </row>
    <row r="47" ht="13.2" customHeight="1" s="169">
      <c r="I47" s="106" t="inlineStr">
        <is>
          <t>롯데인천터미널점</t>
        </is>
      </c>
      <c r="J47" s="106" t="inlineStr">
        <is>
          <t>AR2651</t>
        </is>
      </c>
    </row>
    <row r="48" ht="13.2" customHeight="1" s="169">
      <c r="I48" s="106" t="inlineStr">
        <is>
          <t>롯데부산본점</t>
        </is>
      </c>
      <c r="J48" s="106" t="inlineStr">
        <is>
          <t>AR2652</t>
        </is>
      </c>
    </row>
    <row r="49" ht="13.2" customHeight="1" s="169">
      <c r="I49" s="106" t="inlineStr">
        <is>
          <t>AK분당점</t>
        </is>
      </c>
      <c r="J49" s="106" t="inlineStr">
        <is>
          <t>AR2655</t>
        </is>
      </c>
    </row>
    <row r="50" ht="13.2" customHeight="1" s="169">
      <c r="I50" s="106" t="inlineStr">
        <is>
          <t>현대충청점</t>
        </is>
      </c>
      <c r="J50" s="106" t="inlineStr">
        <is>
          <t>AR2658</t>
        </is>
      </c>
    </row>
    <row r="51" ht="13.2" customHeight="1" s="169">
      <c r="I51" s="106" t="inlineStr">
        <is>
          <t>롯데동탄점</t>
        </is>
      </c>
      <c r="J51" s="106" t="inlineStr">
        <is>
          <t>AR2669</t>
        </is>
      </c>
    </row>
    <row r="52" ht="13.2" customHeight="1" s="169">
      <c r="I52" s="106" t="inlineStr">
        <is>
          <t>신세계대전점</t>
        </is>
      </c>
      <c r="J52" s="106" t="inlineStr">
        <is>
          <t>AR2670</t>
        </is>
      </c>
    </row>
    <row r="53" ht="13.2" customHeight="1" s="169">
      <c r="I53" s="106" t="inlineStr">
        <is>
          <t>갤러리아진주점</t>
        </is>
      </c>
      <c r="J53" s="106" t="inlineStr">
        <is>
          <t>AR2671</t>
        </is>
      </c>
    </row>
    <row r="54" ht="13.2" customHeight="1" s="169">
      <c r="I54" s="106" t="inlineStr">
        <is>
          <t>신세계강남점</t>
        </is>
      </c>
      <c r="J54" s="106" t="inlineStr">
        <is>
          <t>AR2673</t>
        </is>
      </c>
    </row>
    <row r="55" ht="13.2" customHeight="1" s="169">
      <c r="I55" s="106" t="inlineStr">
        <is>
          <t>파주점_신세계아울렛</t>
        </is>
      </c>
      <c r="J55" s="106" t="inlineStr">
        <is>
          <t>AR2674</t>
        </is>
      </c>
    </row>
    <row r="56" ht="13.2" customHeight="1" s="169">
      <c r="I56" s="106" t="inlineStr">
        <is>
          <t>갤러리아타임월드점</t>
        </is>
      </c>
      <c r="J56" s="106" t="inlineStr">
        <is>
          <t>AR2677</t>
        </is>
      </c>
    </row>
    <row r="57" ht="13.2" customHeight="1" s="169">
      <c r="I57" s="106" t="inlineStr">
        <is>
          <t>가든5점_현대아울렛</t>
        </is>
      </c>
      <c r="J57" s="106" t="inlineStr">
        <is>
          <t>AR2683</t>
        </is>
      </c>
    </row>
    <row r="58" ht="13.2" customHeight="1" s="169">
      <c r="I58" s="106" t="inlineStr">
        <is>
          <t>현대신촌점</t>
        </is>
      </c>
      <c r="J58" s="106" t="inlineStr">
        <is>
          <t>AR2684</t>
        </is>
      </c>
    </row>
    <row r="59" ht="13.2" customHeight="1" s="169">
      <c r="I59" s="106" t="inlineStr">
        <is>
          <t>AK수원점</t>
        </is>
      </c>
      <c r="J59" s="106" t="inlineStr">
        <is>
          <t>AR2685</t>
        </is>
      </c>
    </row>
    <row r="60" ht="13.2" customHeight="1" s="169">
      <c r="I60" s="106" t="inlineStr">
        <is>
          <t>현대킨텍스점</t>
        </is>
      </c>
      <c r="J60" s="106" t="inlineStr">
        <is>
          <t>AR2686</t>
        </is>
      </c>
    </row>
    <row r="61" ht="13.2" customHeight="1" s="169">
      <c r="I61" s="106" t="inlineStr">
        <is>
          <t>AK광명점</t>
        </is>
      </c>
      <c r="J61" s="106" t="inlineStr">
        <is>
          <t>AR2688</t>
        </is>
      </c>
    </row>
    <row r="62" ht="13.2" customHeight="1" s="169">
      <c r="I62" s="106" t="inlineStr">
        <is>
          <t>현대미아점</t>
        </is>
      </c>
      <c r="J62" s="106" t="inlineStr">
        <is>
          <t>AR2690</t>
        </is>
      </c>
    </row>
    <row r="63" ht="13.2" customHeight="1" s="169">
      <c r="I63" s="106" t="inlineStr">
        <is>
          <t>상품본부</t>
        </is>
      </c>
      <c r="J63" s="106" t="inlineStr">
        <is>
          <t>AR3100</t>
        </is>
      </c>
    </row>
    <row r="64" ht="13.2" customHeight="1" s="169">
      <c r="I64" s="106" t="inlineStr">
        <is>
          <t>PDD</t>
        </is>
      </c>
      <c r="J64" s="106" t="inlineStr">
        <is>
          <t>AR3102</t>
        </is>
      </c>
    </row>
    <row r="65" ht="13.2" customHeight="1" s="169">
      <c r="I65" s="106" t="inlineStr">
        <is>
          <t>ETC</t>
        </is>
      </c>
      <c r="J65" s="106" t="inlineStr">
        <is>
          <t>AR3104</t>
        </is>
      </c>
    </row>
    <row r="66" ht="13.2" customHeight="1" s="169">
      <c r="I66" s="106" t="inlineStr">
        <is>
          <t>MMD</t>
        </is>
      </c>
      <c r="J66" s="106" t="inlineStr">
        <is>
          <t>AR3105</t>
        </is>
      </c>
    </row>
    <row r="67" ht="13.2" customHeight="1" s="169">
      <c r="I67" s="106" t="inlineStr">
        <is>
          <t>영업본부</t>
        </is>
      </c>
      <c r="J67" s="106" t="inlineStr">
        <is>
          <t>AR4100</t>
        </is>
      </c>
    </row>
    <row r="68" ht="13.2" customHeight="1" s="169">
      <c r="I68" s="106" t="inlineStr">
        <is>
          <t>영업지원</t>
        </is>
      </c>
      <c r="J68" s="106" t="inlineStr">
        <is>
          <t>AR4101</t>
        </is>
      </c>
    </row>
    <row r="69" ht="13.2" customHeight="1" s="169">
      <c r="I69" s="106" t="inlineStr">
        <is>
          <t>SMD</t>
        </is>
      </c>
      <c r="J69" s="106" t="inlineStr">
        <is>
          <t>AR4103</t>
        </is>
      </c>
    </row>
    <row r="70" ht="13.2" customHeight="1" s="169">
      <c r="I70" s="106" t="inlineStr">
        <is>
          <t>원팀</t>
        </is>
      </c>
      <c r="J70" s="106" t="inlineStr">
        <is>
          <t>AR4104</t>
        </is>
      </c>
    </row>
    <row r="71" ht="13.2" customHeight="1" s="169">
      <c r="I71" s="106" t="inlineStr">
        <is>
          <t>올라운더팀</t>
        </is>
      </c>
      <c r="J71" s="106" t="inlineStr">
        <is>
          <t>AR4105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azmang</dc:creator>
  <dcterms:created xmlns:dcterms="http://purl.org/dc/terms/" xmlns:xsi="http://www.w3.org/2001/XMLSchema-instance" xsi:type="dcterms:W3CDTF">2026-03-19T08:10:50Z</dcterms:created>
  <dcterms:modified xmlns:dcterms="http://purl.org/dc/terms/" xmlns:xsi="http://www.w3.org/2001/XMLSchema-instance" xsi:type="dcterms:W3CDTF">2026-07-10T07:48:43Z</dcterms:modified>
  <cp:lastModifiedBy>azmang</cp:lastModifiedBy>
  <cp:lastPrinted>2026-06-05T08:55:15Z</cp:lastPrinted>
</cp:coreProperties>
</file>