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mang\Documents\결산\★월별손익\부서별인원현황\"/>
    </mc:Choice>
  </mc:AlternateContent>
  <xr:revisionPtr revIDLastSave="0" documentId="13_ncr:1_{79DF7697-0B89-4BEB-AF94-1D8ACA34E77B}" xr6:coauthVersionLast="47" xr6:coauthVersionMax="47" xr10:uidLastSave="{00000000-0000-0000-0000-000000000000}"/>
  <bookViews>
    <workbookView xWindow="22932" yWindow="1644" windowWidth="23256" windowHeight="12576" xr2:uid="{00000000-000D-0000-FFFF-FFFF00000000}"/>
  </bookViews>
  <sheets>
    <sheet name="전년대비 인원증감현황" sheetId="2" r:id="rId1"/>
    <sheet name="신규입사자명단" sheetId="9" r:id="rId2"/>
    <sheet name="퇴사자명단" sheetId="10" r:id="rId3"/>
    <sheet name="Sheet1" sheetId="4" r:id="rId4"/>
    <sheet name="구분LIST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</externalReferences>
  <definedNames>
    <definedName name="_">#REF!</definedName>
    <definedName name="_.4">#REF!</definedName>
    <definedName name="_?">[1]손익합산!$L$5:$L$92</definedName>
    <definedName name="_?__C">#REF!</definedName>
    <definedName name="__?">[1]손익합산!$L$5:$L$92</definedName>
    <definedName name="__?__C">#REF!</definedName>
    <definedName name="___?">[1]손익합산!$L$5:$L$92</definedName>
    <definedName name="___?__C">#REF!</definedName>
    <definedName name="____?">[1]손익합산!$L$5:$L$92</definedName>
    <definedName name="____?__C">#REF!</definedName>
    <definedName name="_____?">[1]손익합산!$L$5:$L$92</definedName>
    <definedName name="_____?__C">#REF!</definedName>
    <definedName name="______?">[1]손익합산!$L$5:$L$92</definedName>
    <definedName name="______?__C">#REF!</definedName>
    <definedName name="_______?">[1]손익합산!$L$5:$L$92</definedName>
    <definedName name="_______?__C">#REF!</definedName>
    <definedName name="________?__C">#REF!</definedName>
    <definedName name="________a1">'[2]97년추정손익계산서'!$I$6:$I$8</definedName>
    <definedName name="________A100000">#REF!</definedName>
    <definedName name="________A19999">'[3]8S발주관리대장'!#REF!</definedName>
    <definedName name="________A20000">'[3]8S발주관리대장'!#REF!</definedName>
    <definedName name="________A70000">#REF!</definedName>
    <definedName name="________A99999">'[3]8S발주관리대장'!#REF!</definedName>
    <definedName name="________B20996">#REF!</definedName>
    <definedName name="________DAT1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E100000">#REF!</definedName>
    <definedName name="________PRN10">#N/A</definedName>
    <definedName name="________PRN3">#N/A</definedName>
    <definedName name="________PRN4">#N/A</definedName>
    <definedName name="________PRN9">#N/A</definedName>
    <definedName name="________ZZ16384">'[3]8S발주관리대장'!#REF!</definedName>
    <definedName name="_______a1">'[2]97년추정손익계산서'!$I$6:$I$8</definedName>
    <definedName name="_______A100000">#REF!</definedName>
    <definedName name="_______A19999">'[3]8S발주관리대장'!#REF!</definedName>
    <definedName name="_______A20000">'[3]8S발주관리대장'!#REF!</definedName>
    <definedName name="_______A70000">#REF!</definedName>
    <definedName name="_______A99999">'[3]8S발주관리대장'!#REF!</definedName>
    <definedName name="_______B20996">#REF!</definedName>
    <definedName name="_______DAT1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E100000">#REF!</definedName>
    <definedName name="_______PRN10">#N/A</definedName>
    <definedName name="_______PRN3">#N/A</definedName>
    <definedName name="_______PRN4">#N/A</definedName>
    <definedName name="_______PRN9">#N/A</definedName>
    <definedName name="_______ZZ16384">'[3]8S발주관리대장'!#REF!</definedName>
    <definedName name="______a1">'[2]97년추정손익계산서'!$I$6:$I$8</definedName>
    <definedName name="______A100000">#REF!</definedName>
    <definedName name="______A19999">'[3]8S발주관리대장'!#REF!</definedName>
    <definedName name="______A20000">'[3]8S발주관리대장'!#REF!</definedName>
    <definedName name="______A70000">#REF!</definedName>
    <definedName name="______A99999">'[3]8S발주관리대장'!#REF!</definedName>
    <definedName name="______B20996">#REF!</definedName>
    <definedName name="______DAT1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E100000">#REF!</definedName>
    <definedName name="______PRN10">#N/A</definedName>
    <definedName name="______PRN3">#N/A</definedName>
    <definedName name="______PRN4">#N/A</definedName>
    <definedName name="______PRN9">#N/A</definedName>
    <definedName name="______ZZ16384">'[3]8S발주관리대장'!#REF!</definedName>
    <definedName name="_____a1">'[2]97년추정손익계산서'!$I$6:$I$8</definedName>
    <definedName name="_____A100000">#REF!</definedName>
    <definedName name="_____A19999">'[3]8S발주관리대장'!#REF!</definedName>
    <definedName name="_____A20000">'[3]8S발주관리대장'!#REF!</definedName>
    <definedName name="_____A70000">#REF!</definedName>
    <definedName name="_____A99999">'[3]8S발주관리대장'!#REF!</definedName>
    <definedName name="_____B20996">#REF!</definedName>
    <definedName name="_____DAT1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E100000">#REF!</definedName>
    <definedName name="_____PRN10">#N/A</definedName>
    <definedName name="_____PRN3">#N/A</definedName>
    <definedName name="_____PRN4">#N/A</definedName>
    <definedName name="_____PRN9">#N/A</definedName>
    <definedName name="_____ZZ16384">'[3]8S발주관리대장'!#REF!</definedName>
    <definedName name="____a1">'[2]97년추정손익계산서'!$I$6:$I$8</definedName>
    <definedName name="____A100000">#REF!</definedName>
    <definedName name="____A19999">'[3]8S발주관리대장'!#REF!</definedName>
    <definedName name="____A20000">'[3]8S발주관리대장'!#REF!</definedName>
    <definedName name="____A70000">#REF!</definedName>
    <definedName name="____A99999">'[3]8S발주관리대장'!#REF!</definedName>
    <definedName name="____B20996">#REF!</definedName>
    <definedName name="____DAT1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E100000">#REF!</definedName>
    <definedName name="____PRN10">#N/A</definedName>
    <definedName name="____PRN3">#N/A</definedName>
    <definedName name="____PRN4">#N/A</definedName>
    <definedName name="____PRN9">#N/A</definedName>
    <definedName name="____ZZ16384">'[3]8S발주관리대장'!#REF!</definedName>
    <definedName name="___a1">'[2]97년추정손익계산서'!$I$6:$I$8</definedName>
    <definedName name="___A100000">#REF!</definedName>
    <definedName name="___A19999">'[3]8S발주관리대장'!#REF!</definedName>
    <definedName name="___A20000">'[3]8S발주관리대장'!#REF!</definedName>
    <definedName name="___A70000">#REF!</definedName>
    <definedName name="___A99999">'[3]8S발주관리대장'!#REF!</definedName>
    <definedName name="___B20996">#REF!</definedName>
    <definedName name="___DAT1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E100000">#REF!</definedName>
    <definedName name="___e33" localSheetId="1" hidden="1">{#N/A,#N/A,FALSE,"Aging Summary";#N/A,#N/A,FALSE,"Ratio Analysis";#N/A,#N/A,FALSE,"Test 120 Day Accts";#N/A,#N/A,FALSE,"Tickmarks"}</definedName>
    <definedName name="___e33" localSheetId="0" hidden="1">{#N/A,#N/A,FALSE,"Aging Summary";#N/A,#N/A,FALSE,"Ratio Analysis";#N/A,#N/A,FALSE,"Test 120 Day Accts";#N/A,#N/A,FALSE,"Tickmarks"}</definedName>
    <definedName name="___e33" localSheetId="2" hidden="1">{#N/A,#N/A,FALSE,"Aging Summary";#N/A,#N/A,FALSE,"Ratio Analysis";#N/A,#N/A,FALSE,"Test 120 Day Accts";#N/A,#N/A,FALSE,"Tickmarks"}</definedName>
    <definedName name="___e33" hidden="1">{#N/A,#N/A,FALSE,"Aging Summary";#N/A,#N/A,FALSE,"Ratio Analysis";#N/A,#N/A,FALSE,"Test 120 Day Accts";#N/A,#N/A,FALSE,"Tickmarks"}</definedName>
    <definedName name="___PRN10">#N/A</definedName>
    <definedName name="___PRN3">#N/A</definedName>
    <definedName name="___PRN4">#N/A</definedName>
    <definedName name="___PRN9">#N/A</definedName>
    <definedName name="___ZZ16384">'[3]8S발주관리대장'!#REF!</definedName>
    <definedName name="__123Graph_A" localSheetId="0" hidden="1">[4]시산표!#REF!</definedName>
    <definedName name="__123Graph_A" hidden="1">[4]시산표!#REF!</definedName>
    <definedName name="__123Graph_B" localSheetId="0" hidden="1">[4]시산표!#REF!</definedName>
    <definedName name="__123Graph_B" hidden="1">[4]시산표!#REF!</definedName>
    <definedName name="__123Graph_LBL_A" localSheetId="0" hidden="1">[4]시산표!#REF!</definedName>
    <definedName name="__123Graph_LBL_A" hidden="1">[4]시산표!#REF!</definedName>
    <definedName name="__123Graph_LBL_B" localSheetId="0" hidden="1">[4]시산표!#REF!</definedName>
    <definedName name="__123Graph_LBL_B" hidden="1">[4]시산표!#REF!</definedName>
    <definedName name="__123Graph_X" localSheetId="0" hidden="1">[4]시산표!#REF!</definedName>
    <definedName name="__123Graph_X" hidden="1">[4]시산표!#REF!</definedName>
    <definedName name="__a1">'[2]97년추정손익계산서'!$I$6:$I$8</definedName>
    <definedName name="__A100000">#REF!</definedName>
    <definedName name="__A19999">'[3]8S발주관리대장'!#REF!</definedName>
    <definedName name="__A20000">'[3]8S발주관리대장'!#REF!</definedName>
    <definedName name="__A70000">#REF!</definedName>
    <definedName name="__A99999">'[3]8S발주관리대장'!#REF!</definedName>
    <definedName name="__B20996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100000">#REF!</definedName>
    <definedName name="__PRN10">#N/A</definedName>
    <definedName name="__PRN3">#N/A</definedName>
    <definedName name="__PRN4">#N/A</definedName>
    <definedName name="__PRN9">#N/A</definedName>
    <definedName name="__ZZ16384">'[3]8S발주관리대장'!#REF!</definedName>
    <definedName name="_10">'[5]96T'!#REF!</definedName>
    <definedName name="_10월">#REF!</definedName>
    <definedName name="_11">'[5]96T'!#REF!</definedName>
    <definedName name="_11월">#REF!</definedName>
    <definedName name="_12">'[5]96T'!#REF!</definedName>
    <definedName name="_12월">#REF!</definedName>
    <definedName name="_1item">#REF!</definedName>
    <definedName name="_1월">#REF!</definedName>
    <definedName name="_2item">#REF!</definedName>
    <definedName name="_2월">#REF!</definedName>
    <definedName name="_3item">#REF!</definedName>
    <definedName name="_3월">#REF!</definedName>
    <definedName name="_4item">#REF!</definedName>
    <definedName name="_4월">#REF!</definedName>
    <definedName name="_5item">#REF!</definedName>
    <definedName name="_5월">#REF!</definedName>
    <definedName name="_6월">#REF!</definedName>
    <definedName name="_7">'[5]96T'!#REF!</definedName>
    <definedName name="_7월">#REF!</definedName>
    <definedName name="_8">'[5]96T'!#REF!</definedName>
    <definedName name="_8월">#REF!</definedName>
    <definedName name="_9">'[5]96T'!#REF!</definedName>
    <definedName name="_9월">#REF!</definedName>
    <definedName name="_a1">'[2]97년추정손익계산서'!$I$6:$I$8</definedName>
    <definedName name="_A100000">#REF!</definedName>
    <definedName name="_A19999">'[3]8S발주관리대장'!#REF!</definedName>
    <definedName name="_A20000">'[3]8S발주관리대장'!#REF!</definedName>
    <definedName name="_A70000">#REF!</definedName>
    <definedName name="_A99999">'[3]8S발주관리대장'!#REF!</definedName>
    <definedName name="_B20996">#REF!</definedName>
    <definedName name="_c4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E100000">#REF!</definedName>
    <definedName name="_Fill" localSheetId="0" hidden="1">#REF!</definedName>
    <definedName name="_Fill" hidden="1">#REF!</definedName>
    <definedName name="_xlnm._FilterDatabase" localSheetId="1">신규입사자명단!$B$3:$G$15</definedName>
    <definedName name="_xlnm._FilterDatabase" localSheetId="0" hidden="1">'전년대비 인원증감현황'!$A$4:$L$42</definedName>
    <definedName name="_xlnm._FilterDatabase" localSheetId="2">퇴사자명단!$E$3:$H$3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PRN10">#N/A</definedName>
    <definedName name="_PRN3">#N/A</definedName>
    <definedName name="_PRN4">#N/A</definedName>
    <definedName name="_PRN9">#N/A</definedName>
    <definedName name="_Sort" localSheetId="0" hidden="1">#REF!</definedName>
    <definedName name="_Sort" hidden="1">#REF!</definedName>
    <definedName name="_spv2" localSheetId="1" hidden="1">{"'9월'!$F$38"}</definedName>
    <definedName name="_spv2" localSheetId="0" hidden="1">{"'9월'!$F$38"}</definedName>
    <definedName name="_spv2" localSheetId="2" hidden="1">{"'9월'!$F$38"}</definedName>
    <definedName name="_spv2" hidden="1">{"'9월'!$F$38"}</definedName>
    <definedName name="_ss3" localSheetId="1" hidden="1">{"'9월'!$F$38"}</definedName>
    <definedName name="_ss3" localSheetId="0" hidden="1">{"'9월'!$F$38"}</definedName>
    <definedName name="_ss3" localSheetId="2" hidden="1">{"'9월'!$F$38"}</definedName>
    <definedName name="_ss3" hidden="1">{"'9월'!$F$38"}</definedName>
    <definedName name="_ss4" localSheetId="1" hidden="1">{"'9월'!$F$38"}</definedName>
    <definedName name="_ss4" localSheetId="0" hidden="1">{"'9월'!$F$38"}</definedName>
    <definedName name="_ss4" localSheetId="2" hidden="1">{"'9월'!$F$38"}</definedName>
    <definedName name="_ss4" hidden="1">{"'9월'!$F$38"}</definedName>
    <definedName name="_Threshold">'[6]Balance Sheet(AR)'!$E$2</definedName>
    <definedName name="_ZZ16384">'[3]8S발주관리대장'!#REF!</definedName>
    <definedName name="\0">#REF!</definedName>
    <definedName name="\3">#N/A</definedName>
    <definedName name="\4">#N/A</definedName>
    <definedName name="\a">#N/A</definedName>
    <definedName name="\b">#N/A</definedName>
    <definedName name="\c">[7]월간!#REF!</definedName>
    <definedName name="\e">#N/A</definedName>
    <definedName name="\f">#N/A</definedName>
    <definedName name="\g">#REF!</definedName>
    <definedName name="\G1">#REF!</definedName>
    <definedName name="\G2">#REF!</definedName>
    <definedName name="\G3">#REF!</definedName>
    <definedName name="\G4">#REF!</definedName>
    <definedName name="\G5">#REF!</definedName>
    <definedName name="\G6">#N/A</definedName>
    <definedName name="\G7">#REF!</definedName>
    <definedName name="\G8">#REF!</definedName>
    <definedName name="\h">#REF!</definedName>
    <definedName name="\h1">#REF!</definedName>
    <definedName name="\k">#REF!</definedName>
    <definedName name="\l">#REF!</definedName>
    <definedName name="\m">#N/A</definedName>
    <definedName name="\p">#REF!</definedName>
    <definedName name="\q">#N/A</definedName>
    <definedName name="\r">#REF!</definedName>
    <definedName name="\s">#REF!</definedName>
    <definedName name="\t">[7]월간!#REF!</definedName>
    <definedName name="\x">#REF!</definedName>
    <definedName name="\y">#N/A</definedName>
    <definedName name="\z">#N/A</definedName>
    <definedName name="\ㅈㅂ">#REF!</definedName>
    <definedName name="a">#REF!</definedName>
    <definedName name="a4_">#REF!</definedName>
    <definedName name="aa" localSheetId="0" hidden="1">[4]시산표!#REF!</definedName>
    <definedName name="aa" hidden="1">[4]시산표!#REF!</definedName>
    <definedName name="aa2_">#REF!</definedName>
    <definedName name="aaa">[8]회사정보!$C$6</definedName>
    <definedName name="aadsfkfjgjqiou123asf">[9]!BlankMacro1</definedName>
    <definedName name="ac">#N/A</definedName>
    <definedName name="ad">#N/A</definedName>
    <definedName name="adfasfasffffqqwsdrr">'[10]0.0ControlSheet'!#REF!</definedName>
    <definedName name="adsas" localSheetId="1" hidden="1">{#N/A,#N/A,FALSE,"Aging Summary";#N/A,#N/A,FALSE,"Ratio Analysis";#N/A,#N/A,FALSE,"Test 120 Day Accts";#N/A,#N/A,FALSE,"Tickmarks"}</definedName>
    <definedName name="adsas" localSheetId="0" hidden="1">{#N/A,#N/A,FALSE,"Aging Summary";#N/A,#N/A,FALSE,"Ratio Analysis";#N/A,#N/A,FALSE,"Test 120 Day Accts";#N/A,#N/A,FALSE,"Tickmarks"}</definedName>
    <definedName name="adsas" localSheetId="2" hidden="1">{#N/A,#N/A,FALSE,"Aging Summary";#N/A,#N/A,FALSE,"Ratio Analysis";#N/A,#N/A,FALSE,"Test 120 Day Accts";#N/A,#N/A,FALSE,"Tickmarks"}</definedName>
    <definedName name="adsas" hidden="1">{#N/A,#N/A,FALSE,"Aging Summary";#N/A,#N/A,FALSE,"Ratio Analysis";#N/A,#N/A,FALSE,"Test 120 Day Accts";#N/A,#N/A,FALSE,"Tickmarks"}</definedName>
    <definedName name="ai">#REF!</definedName>
    <definedName name="al">#REF!</definedName>
    <definedName name="AS2DocOpenMode" hidden="1">"AS2DocumentEdit"</definedName>
    <definedName name="asd" localSheetId="1" hidden="1">{#N/A,#N/A,FALSE,"Aging Summary";#N/A,#N/A,FALSE,"Ratio Analysis";#N/A,#N/A,FALSE,"Test 120 Day Accts";#N/A,#N/A,FALSE,"Tickmarks"}</definedName>
    <definedName name="asd" localSheetId="0" hidden="1">{#N/A,#N/A,FALSE,"Aging Summary";#N/A,#N/A,FALSE,"Ratio Analysis";#N/A,#N/A,FALSE,"Test 120 Day Accts";#N/A,#N/A,FALSE,"Tickmarks"}</definedName>
    <definedName name="asd" localSheetId="2" hidden="1">{#N/A,#N/A,FALSE,"Aging Summary";#N/A,#N/A,FALSE,"Ratio Analysis";#N/A,#N/A,FALSE,"Test 120 Day Accts";#N/A,#N/A,FALSE,"Tickmarks"}</definedName>
    <definedName name="asd" hidden="1">{#N/A,#N/A,FALSE,"Aging Summary";#N/A,#N/A,FALSE,"Ratio Analysis";#N/A,#N/A,FALSE,"Test 120 Day Accts";#N/A,#N/A,FALSE,"Tickmarks"}</definedName>
    <definedName name="ASDF">#REF!</definedName>
    <definedName name="ASDFASDFG">[9]!BlankMacro1</definedName>
    <definedName name="asdfgg24323fasf">#REF!</definedName>
    <definedName name="audit_button2_click">#N/A</definedName>
    <definedName name="b">#REF!</definedName>
    <definedName name="B28OO">'[11]점별(추정)'!#REF!</definedName>
    <definedName name="b4_">#REF!</definedName>
    <definedName name="BB">#N/A</definedName>
    <definedName name="bb2_">#REF!</definedName>
    <definedName name="bbbb">#N/A</definedName>
    <definedName name="BEG">[12]admin!$C$14</definedName>
    <definedName name="big_sorting">#REF!</definedName>
    <definedName name="BO">'[2]97년추정손익계산서'!$I$6:$I$86</definedName>
    <definedName name="BS">#N/A</definedName>
    <definedName name="bsNote">#N/A</definedName>
    <definedName name="bs건설">#REF!</definedName>
    <definedName name="bs양재">#REF!</definedName>
    <definedName name="btnClose">#N/A</definedName>
    <definedName name="btnFootNoting">#N/A</definedName>
    <definedName name="btnNext">#N/A</definedName>
    <definedName name="btnOK">#N/A</definedName>
    <definedName name="btnPrevious">#N/A</definedName>
    <definedName name="btnReturn">#N/A</definedName>
    <definedName name="C.TOTAL" localSheetId="1" hidden="1">{#N/A,#N/A,FALSE,"95FW"}</definedName>
    <definedName name="C.TOTAL" localSheetId="0" hidden="1">{#N/A,#N/A,FALSE,"95FW"}</definedName>
    <definedName name="C.TOTAL" localSheetId="2" hidden="1">{#N/A,#N/A,FALSE,"95FW"}</definedName>
    <definedName name="C.TOTAL" hidden="1">{#N/A,#N/A,FALSE,"95FW"}</definedName>
    <definedName name="CALC_DATA">#REF!</definedName>
    <definedName name="cash">#N/A</definedName>
    <definedName name="CashFlow_Button1_Click">#N/A</definedName>
    <definedName name="cashIndex">#N/A</definedName>
    <definedName name="CASHM">#N/A</definedName>
    <definedName name="CC">#REF!</definedName>
    <definedName name="cc2_">#REF!</definedName>
    <definedName name="CHD" localSheetId="1" hidden="1">{#N/A,#N/A,FALSE,"재고현황";#N/A,#N/A,FALSE,"어음현황";#N/A,#N/A,FALSE,"생산계획";#N/A,#N/A,FALSE,"판매계획";#N/A,#N/A,FALSE,"수금계획서";#N/A,#N/A,FALSE,"요약손익"}</definedName>
    <definedName name="CHD" localSheetId="0" hidden="1">{#N/A,#N/A,FALSE,"재고현황";#N/A,#N/A,FALSE,"어음현황";#N/A,#N/A,FALSE,"생산계획";#N/A,#N/A,FALSE,"판매계획";#N/A,#N/A,FALSE,"수금계획서";#N/A,#N/A,FALSE,"요약손익"}</definedName>
    <definedName name="CHD" localSheetId="2" hidden="1">{#N/A,#N/A,FALSE,"재고현황";#N/A,#N/A,FALSE,"어음현황";#N/A,#N/A,FALSE,"생산계획";#N/A,#N/A,FALSE,"판매계획";#N/A,#N/A,FALSE,"수금계획서";#N/A,#N/A,FALSE,"요약손익"}</definedName>
    <definedName name="CHD" hidden="1">{#N/A,#N/A,FALSE,"재고현황";#N/A,#N/A,FALSE,"어음현황";#N/A,#N/A,FALSE,"생산계획";#N/A,#N/A,FALSE,"판매계획";#N/A,#N/A,FALSE,"수금계획서";#N/A,#N/A,FALSE,"요약손익"}</definedName>
    <definedName name="client">[13]admin!$C$13</definedName>
    <definedName name="CY_Accounts_Receivable">'[6]Balance Sheet(AR)'!$B$7</definedName>
    <definedName name="CY_Administration">'[6]Income Statement(AR)'!$B$10</definedName>
    <definedName name="CY_Cash">'[6]Balance Sheet(AR)'!$B$5</definedName>
    <definedName name="CY_Cash_Div_Dec">'[6]Income Statement(AR)'!$B$30</definedName>
    <definedName name="CY_Common_Equity">'[6]Balance Sheet(AR)'!$B$29</definedName>
    <definedName name="CY_Cost_of_Sales">'[6]Income Statement(AR)'!$B$6</definedName>
    <definedName name="CY_Current_Liabilities">'[6]Balance Sheet(AR)'!$B$22</definedName>
    <definedName name="CY_Depreciation">'[6]Income Statement(AR)'!$B$13</definedName>
    <definedName name="CY_Gross_Profit">'[6]Income Statement(AR)'!$B$8</definedName>
    <definedName name="CY_Inc_Bef_Tax">'[6]Income Statement(AR)'!$B$19</definedName>
    <definedName name="CY_Intangible_Assets">'[6]Balance Sheet(AR)'!$B$17</definedName>
    <definedName name="CY_Interest_Expense">'[6]Income Statement(AR)'!$B$17</definedName>
    <definedName name="CY_Inventory">'[6]Balance Sheet(AR)'!$B$11</definedName>
    <definedName name="CY_LIABIL_EQUITY">'[6]Balance Sheet(AR)'!$B$34</definedName>
    <definedName name="CY_LT_Debt">'[6]Balance Sheet(AR)'!$B$23</definedName>
    <definedName name="CY_Market_Value_of_Equity">'[6]Income Statement(AR)'!$B$34</definedName>
    <definedName name="CY_Marketable_Sec">'[6]Balance Sheet(AR)'!$B$6</definedName>
    <definedName name="CY_NET_PROFIT">'[6]Income Statement(AR)'!$B$26</definedName>
    <definedName name="CY_Net_Revenue">'[6]Income Statement(AR)'!$B$5</definedName>
    <definedName name="CY_Operating_Income">'[6]Income Statement(AR)'!$B$15</definedName>
    <definedName name="CY_Other">'[6]Income Statement(AR)'!$B$12</definedName>
    <definedName name="CY_Other_Curr_Assets">'[6]Balance Sheet(AR)'!$B$12</definedName>
    <definedName name="CY_Other_LT_Assets">'[6]Balance Sheet(AR)'!$B$18</definedName>
    <definedName name="CY_Other_LT_Liabilities">'[6]Balance Sheet(AR)'!$B$24</definedName>
    <definedName name="CY_Preferred_Stock">'[6]Balance Sheet(AR)'!$B$28</definedName>
    <definedName name="CY_QUICK_ASSETS">'[6]Balance Sheet(AR)'!$B$9</definedName>
    <definedName name="CY_Retained_Earnings">'[6]Balance Sheet(AR)'!$B$30</definedName>
    <definedName name="CY_Selling">'[6]Income Statement(AR)'!$B$11</definedName>
    <definedName name="CY_Tangible_Assets">'[6]Balance Sheet(AR)'!$B$16</definedName>
    <definedName name="CY_Tangible_Net_Worth">'[6]Income Statement(AR)'!$B$36</definedName>
    <definedName name="CY_Taxes">'[6]Income Statement(AR)'!$B$24</definedName>
    <definedName name="CY_TOTAL_ASSETS">'[6]Balance Sheet(AR)'!$B$20</definedName>
    <definedName name="CY_TOTAL_CURR_ASSETS">'[6]Balance Sheet(AR)'!$B$14</definedName>
    <definedName name="CY_TOTAL_DEBT">'[6]Balance Sheet(AR)'!$B$26</definedName>
    <definedName name="CY_TOTAL_EQUITY">'[6]Balance Sheet(AR)'!$B$32</definedName>
    <definedName name="CY_Weighted_Average">'[6]Income Statement(AR)'!$B$29</definedName>
    <definedName name="CY_Working_Capital">'[6]Income Statement(AR)'!$B$35</definedName>
    <definedName name="D">#REF!,#REF!,#REF!,#REF!,#REF!,#REF!,#REF!,#REF!,#REF!,#REF!,#REF!,#REF!,#REF!,[9]!PC점공</definedName>
    <definedName name="d4_">#REF!</definedName>
    <definedName name="dasd">[9]!BlankMacro1</definedName>
    <definedName name="DASD1DDFA2D" localSheetId="0" hidden="1">[4]시산표!#REF!</definedName>
    <definedName name="DASD1DDFA2D" hidden="1">[4]시산표!#REF!</definedName>
    <definedName name="_xlnm.Database">#REF!</definedName>
    <definedName name="dd">[9]!BlankMacro1</definedName>
    <definedName name="dd2_">#REF!</definedName>
    <definedName name="ddd">#N/A</definedName>
    <definedName name="DDDD">[14]참조!$G$4:$Q$282</definedName>
    <definedName name="dddddddd">[9]!BlankMacro1</definedName>
    <definedName name="ddddddddddddddddddddddddddddddddddddddddddd">[9]!BlankMacro1</definedName>
    <definedName name="DF" localSheetId="1" hidden="1">{#N/A,#N/A,FALSE,"Aging Summary";#N/A,#N/A,FALSE,"Ratio Analysis";#N/A,#N/A,FALSE,"Test 120 Day Accts";#N/A,#N/A,FALSE,"Tickmarks"}</definedName>
    <definedName name="DF" localSheetId="0" hidden="1">{#N/A,#N/A,FALSE,"Aging Summary";#N/A,#N/A,FALSE,"Ratio Analysis";#N/A,#N/A,FALSE,"Test 120 Day Accts";#N/A,#N/A,FALSE,"Tickmarks"}</definedName>
    <definedName name="DF" localSheetId="2" hidden="1">{#N/A,#N/A,FALSE,"Aging Summary";#N/A,#N/A,FALSE,"Ratio Analysis";#N/A,#N/A,FALSE,"Test 120 Day Accts";#N/A,#N/A,FALSE,"Tickmarks"}</definedName>
    <definedName name="DF" hidden="1">{#N/A,#N/A,FALSE,"Aging Summary";#N/A,#N/A,FALSE,"Ratio Analysis";#N/A,#N/A,FALSE,"Test 120 Day Accts";#N/A,#N/A,FALSE,"Tickmarks"}</definedName>
    <definedName name="DFBDFDFDDFDF">[9]!BlankMacro1</definedName>
    <definedName name="DFBGFGFBGFGFBGFG">[9]!BlankMacro1</definedName>
    <definedName name="DFDF" localSheetId="1" hidden="1">{#N/A,#N/A,FALSE,"Aging Summary";#N/A,#N/A,FALSE,"Ratio Analysis";#N/A,#N/A,FALSE,"Test 120 Day Accts";#N/A,#N/A,FALSE,"Tickmarks"}</definedName>
    <definedName name="DFDF" localSheetId="0" hidden="1">{#N/A,#N/A,FALSE,"Aging Summary";#N/A,#N/A,FALSE,"Ratio Analysis";#N/A,#N/A,FALSE,"Test 120 Day Accts";#N/A,#N/A,FALSE,"Tickmarks"}</definedName>
    <definedName name="DFDF" localSheetId="2" hidden="1">{#N/A,#N/A,FALSE,"Aging Summary";#N/A,#N/A,FALSE,"Ratio Analysis";#N/A,#N/A,FALSE,"Test 120 Day Accts";#N/A,#N/A,FALSE,"Tickmarks"}</definedName>
    <definedName name="DFDF" hidden="1">{#N/A,#N/A,FALSE,"Aging Summary";#N/A,#N/A,FALSE,"Ratio Analysis";#N/A,#N/A,FALSE,"Test 120 Day Accts";#N/A,#N/A,FALSE,"Tickmarks"}</definedName>
    <definedName name="dfg">[9]!BlankMacro1</definedName>
    <definedName name="dfsdafsdgs">#REF!</definedName>
    <definedName name="DFSDFR54212DFFWSDF">#REF!</definedName>
    <definedName name="didideid">[9]!BlankMacro1</definedName>
    <definedName name="dkjjie">[9]!BlankMacro1</definedName>
    <definedName name="dlfj">[9]!BlankMacro1</definedName>
    <definedName name="DLGKSTN">#REF!</definedName>
    <definedName name="dnjfrks">[9]!BlankMacro1</definedName>
    <definedName name="Dollar_Threshold">'[6]Balance Sheet(AR)'!$E$2</definedName>
    <definedName name="e">[15]공통가설!$X$6</definedName>
    <definedName name="e4_">#REF!</definedName>
    <definedName name="ee2_">#REF!</definedName>
    <definedName name="END">[16]admin!$C$15</definedName>
    <definedName name="EUR">#REF!</definedName>
    <definedName name="_xlnm.Extract">#REF!</definedName>
    <definedName name="f">#REF!</definedName>
    <definedName name="F.W" localSheetId="1" hidden="1">{"'9월'!$F$38"}</definedName>
    <definedName name="F.W" localSheetId="0" hidden="1">{"'9월'!$F$38"}</definedName>
    <definedName name="F.W" localSheetId="2" hidden="1">{"'9월'!$F$38"}</definedName>
    <definedName name="F.W" hidden="1">{"'9월'!$F$38"}</definedName>
    <definedName name="F_123">#N/A</definedName>
    <definedName name="f4_">#REF!</definedName>
    <definedName name="FBGBGFBGFGFBBGGFGFGFFFF">[9]!BlankMacro1</definedName>
    <definedName name="FD" localSheetId="1" hidden="1">{#N/A,#N/A,FALSE,"Aging Summary";#N/A,#N/A,FALSE,"Ratio Analysis";#N/A,#N/A,FALSE,"Test 120 Day Accts";#N/A,#N/A,FALSE,"Tickmarks"}</definedName>
    <definedName name="FD" localSheetId="0" hidden="1">{#N/A,#N/A,FALSE,"Aging Summary";#N/A,#N/A,FALSE,"Ratio Analysis";#N/A,#N/A,FALSE,"Test 120 Day Accts";#N/A,#N/A,FALSE,"Tickmarks"}</definedName>
    <definedName name="FD" localSheetId="2" hidden="1">{#N/A,#N/A,FALSE,"Aging Summary";#N/A,#N/A,FALSE,"Ratio Analysis";#N/A,#N/A,FALSE,"Test 120 Day Accts";#N/A,#N/A,FALSE,"Tickmarks"}</definedName>
    <definedName name="FD" hidden="1">{#N/A,#N/A,FALSE,"Aging Summary";#N/A,#N/A,FALSE,"Ratio Analysis";#N/A,#N/A,FALSE,"Test 120 Day Accts";#N/A,#N/A,FALSE,"Tickmarks"}</definedName>
    <definedName name="FDFD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FDGHFHGFH">[9]!BlankMacro1</definedName>
    <definedName name="FDI">#REF!</definedName>
    <definedName name="ff" localSheetId="1" hidden="1">{#N/A,#N/A,FALSE,"Aging Summary";#N/A,#N/A,FALSE,"Ratio Analysis";#N/A,#N/A,FALSE,"Test 120 Day Accts";#N/A,#N/A,FALSE,"Tickmarks"}</definedName>
    <definedName name="ff" localSheetId="0" hidden="1">{#N/A,#N/A,FALSE,"Aging Summary";#N/A,#N/A,FALSE,"Ratio Analysis";#N/A,#N/A,FALSE,"Test 120 Day Accts";#N/A,#N/A,FALSE,"Tickmarks"}</definedName>
    <definedName name="ff" localSheetId="2" hidden="1">{#N/A,#N/A,FALSE,"Aging Summary";#N/A,#N/A,FALSE,"Ratio Analysis";#N/A,#N/A,FALSE,"Test 120 Day Accts";#N/A,#N/A,FALSE,"Tickmarks"}</definedName>
    <definedName name="ff" hidden="1">{#N/A,#N/A,FALSE,"Aging Summary";#N/A,#N/A,FALSE,"Ratio Analysis";#N/A,#N/A,FALSE,"Test 120 Day Accts";#N/A,#N/A,FALSE,"Tickmarks"}</definedName>
    <definedName name="ff2_">#REF!</definedName>
    <definedName name="FINAL_FS">#N/A</definedName>
    <definedName name="finalReport">#N/A</definedName>
    <definedName name="FKGKGK23993AS_232">#REF!</definedName>
    <definedName name="FLUCTUATIONS">#REF!</definedName>
    <definedName name="FW주간" localSheetId="1" hidden="1">{"'9월'!$F$38"}</definedName>
    <definedName name="FW주간" localSheetId="0" hidden="1">{"'9월'!$F$38"}</definedName>
    <definedName name="FW주간" localSheetId="2" hidden="1">{"'9월'!$F$38"}</definedName>
    <definedName name="FW주간" hidden="1">{"'9월'!$F$38"}</definedName>
    <definedName name="fyftyfy" localSheetId="1" hidden="1">{#N/A,#N/A,FALSE,"재고현황";#N/A,#N/A,FALSE,"어음현황";#N/A,#N/A,FALSE,"생산계획";#N/A,#N/A,FALSE,"판매계획";#N/A,#N/A,FALSE,"수금계획서";#N/A,#N/A,FALSE,"요약손익"}</definedName>
    <definedName name="fyftyfy" localSheetId="0" hidden="1">{#N/A,#N/A,FALSE,"재고현황";#N/A,#N/A,FALSE,"어음현황";#N/A,#N/A,FALSE,"생산계획";#N/A,#N/A,FALSE,"판매계획";#N/A,#N/A,FALSE,"수금계획서";#N/A,#N/A,FALSE,"요약손익"}</definedName>
    <definedName name="fyftyfy" localSheetId="2" hidden="1">{#N/A,#N/A,FALSE,"재고현황";#N/A,#N/A,FALSE,"어음현황";#N/A,#N/A,FALSE,"생산계획";#N/A,#N/A,FALSE,"판매계획";#N/A,#N/A,FALSE,"수금계획서";#N/A,#N/A,FALSE,"요약손익"}</definedName>
    <definedName name="fyftyfy" hidden="1">{#N/A,#N/A,FALSE,"재고현황";#N/A,#N/A,FALSE,"어음현황";#N/A,#N/A,FALSE,"생산계획";#N/A,#N/A,FALSE,"판매계획";#N/A,#N/A,FALSE,"수금계획서";#N/A,#N/A,FALSE,"요약손익"}</definedName>
    <definedName name="G">'[17] 견적서'!#REF!</definedName>
    <definedName name="G_1">#N/A</definedName>
    <definedName name="G_2">#N/A</definedName>
    <definedName name="G_3">#N/A</definedName>
    <definedName name="G_4">#N/A</definedName>
    <definedName name="G_T">#N/A</definedName>
    <definedName name="g4_">#REF!</definedName>
    <definedName name="GFGFGGHGF">[9]!BlankMacro1</definedName>
    <definedName name="GFGGF">[9]!BlankMacro1</definedName>
    <definedName name="gg">[9]!BlankMacro1</definedName>
    <definedName name="gg2_">#REF!</definedName>
    <definedName name="GROUP">#N/A</definedName>
    <definedName name="gsdfgdfg">[9]!BlankMacro1</definedName>
    <definedName name="h" localSheetId="0" hidden="1">[4]시산표!#REF!</definedName>
    <definedName name="h" hidden="1">[4]시산표!#REF!</definedName>
    <definedName name="h4_">#REF!</definedName>
    <definedName name="hh2_">#REF!</definedName>
    <definedName name="HHJL">#REF!</definedName>
    <definedName name="HTML_CodePage" hidden="1">949</definedName>
    <definedName name="HTML_Control" localSheetId="1" hidden="1">{"'9월'!$F$38"}</definedName>
    <definedName name="HTML_Control" localSheetId="0" hidden="1">{"'9월'!$F$38"}</definedName>
    <definedName name="HTML_Control" localSheetId="2" hidden="1">{"'9월'!$F$38"}</definedName>
    <definedName name="HTML_Control" hidden="1">{"'9월'!$F$38"}</definedName>
    <definedName name="HTML_Description" hidden="1">""</definedName>
    <definedName name="HTML_Email" hidden="1">""</definedName>
    <definedName name="HTML_Header" hidden="1">"9월"</definedName>
    <definedName name="HTML_LastUpdate" hidden="1">"99-08-19"</definedName>
    <definedName name="HTML_LineAfter" hidden="1">FALSE</definedName>
    <definedName name="HTML_LineBefore" hidden="1">FALSE</definedName>
    <definedName name="HTML_Name" hidden="1">"문정웅"</definedName>
    <definedName name="HTML_OBDlg2" hidden="1">TRUE</definedName>
    <definedName name="HTML_OBDlg4" hidden="1">TRUE</definedName>
    <definedName name="HTML_OS" hidden="1">0</definedName>
    <definedName name="HTML_PathFile" hidden="1">"\\TIJANG\冬扇房\MyHTML.htm"</definedName>
    <definedName name="HTML_Title" hidden="1">"지점집행계획1"</definedName>
    <definedName name="i">#REF!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4_">#REF!</definedName>
    <definedName name="ii2_">#REF!</definedName>
    <definedName name="IMP티">#N/A</definedName>
    <definedName name="ini_button_Click">#N/A</definedName>
    <definedName name="INPUT">#REF!</definedName>
    <definedName name="ITEM">#N/A</definedName>
    <definedName name="j4_">#REF!</definedName>
    <definedName name="jj2_">#REF!</definedName>
    <definedName name="job_run">#N/A</definedName>
    <definedName name="k4_">#REF!</definedName>
    <definedName name="kk" localSheetId="1" hidden="1">{#N/A,#N/A,FALSE,"재고현황";#N/A,#N/A,FALSE,"어음현황";#N/A,#N/A,FALSE,"생산계획";#N/A,#N/A,FALSE,"판매계획";#N/A,#N/A,FALSE,"수금계획서";#N/A,#N/A,FALSE,"요약손익"}</definedName>
    <definedName name="kk" localSheetId="0" hidden="1">{#N/A,#N/A,FALSE,"재고현황";#N/A,#N/A,FALSE,"어음현황";#N/A,#N/A,FALSE,"생산계획";#N/A,#N/A,FALSE,"판매계획";#N/A,#N/A,FALSE,"수금계획서";#N/A,#N/A,FALSE,"요약손익"}</definedName>
    <definedName name="kk" localSheetId="2" hidden="1">{#N/A,#N/A,FALSE,"재고현황";#N/A,#N/A,FALSE,"어음현황";#N/A,#N/A,FALSE,"생산계획";#N/A,#N/A,FALSE,"판매계획";#N/A,#N/A,FALSE,"수금계획서";#N/A,#N/A,FALSE,"요약손익"}</definedName>
    <definedName name="kk" hidden="1">{#N/A,#N/A,FALSE,"재고현황";#N/A,#N/A,FALSE,"어음현황";#N/A,#N/A,FALSE,"생산계획";#N/A,#N/A,FALSE,"판매계획";#N/A,#N/A,FALSE,"수금계획서";#N/A,#N/A,FALSE,"요약손익"}</definedName>
    <definedName name="kk2_">#REF!</definedName>
    <definedName name="l4_">#REF!</definedName>
    <definedName name="leadsheet">#REF!</definedName>
    <definedName name="ll" localSheetId="1" hidden="1">{#N/A,#N/A,FALSE,"재고현황";#N/A,#N/A,FALSE,"어음현황";#N/A,#N/A,FALSE,"생산계획";#N/A,#N/A,FALSE,"판매계획";#N/A,#N/A,FALSE,"수금계획서";#N/A,#N/A,FALSE,"요약손익"}</definedName>
    <definedName name="ll" localSheetId="0" hidden="1">{#N/A,#N/A,FALSE,"재고현황";#N/A,#N/A,FALSE,"어음현황";#N/A,#N/A,FALSE,"생산계획";#N/A,#N/A,FALSE,"판매계획";#N/A,#N/A,FALSE,"수금계획서";#N/A,#N/A,FALSE,"요약손익"}</definedName>
    <definedName name="ll" localSheetId="2" hidden="1">{#N/A,#N/A,FALSE,"재고현황";#N/A,#N/A,FALSE,"어음현황";#N/A,#N/A,FALSE,"생산계획";#N/A,#N/A,FALSE,"판매계획";#N/A,#N/A,FALSE,"수금계획서";#N/A,#N/A,FALSE,"요약손익"}</definedName>
    <definedName name="ll" hidden="1">{#N/A,#N/A,FALSE,"재고현황";#N/A,#N/A,FALSE,"어음현황";#N/A,#N/A,FALSE,"생산계획";#N/A,#N/A,FALSE,"판매계획";#N/A,#N/A,FALSE,"수금계획서";#N/A,#N/A,FALSE,"요약손익"}</definedName>
    <definedName name="ll2_">#REF!</definedName>
    <definedName name="LPP" localSheetId="1" hidden="1">{#N/A,#N/A,FALSE,"재고현황";#N/A,#N/A,FALSE,"어음현황";#N/A,#N/A,FALSE,"생산계획";#N/A,#N/A,FALSE,"판매계획";#N/A,#N/A,FALSE,"수금계획서";#N/A,#N/A,FALSE,"요약손익"}</definedName>
    <definedName name="LPP" localSheetId="0" hidden="1">{#N/A,#N/A,FALSE,"재고현황";#N/A,#N/A,FALSE,"어음현황";#N/A,#N/A,FALSE,"생산계획";#N/A,#N/A,FALSE,"판매계획";#N/A,#N/A,FALSE,"수금계획서";#N/A,#N/A,FALSE,"요약손익"}</definedName>
    <definedName name="LPP" localSheetId="2" hidden="1">{#N/A,#N/A,FALSE,"재고현황";#N/A,#N/A,FALSE,"어음현황";#N/A,#N/A,FALSE,"생산계획";#N/A,#N/A,FALSE,"판매계획";#N/A,#N/A,FALSE,"수금계획서";#N/A,#N/A,FALSE,"요약손익"}</definedName>
    <definedName name="LPP" hidden="1">{#N/A,#N/A,FALSE,"재고현황";#N/A,#N/A,FALSE,"어음현황";#N/A,#N/A,FALSE,"생산계획";#N/A,#N/A,FALSE,"판매계획";#N/A,#N/A,FALSE,"수금계획서";#N/A,#N/A,FALSE,"요약손익"}</definedName>
    <definedName name="M" localSheetId="1" hidden="1">{#N/A,#N/A,FALSE,"95FW"}</definedName>
    <definedName name="M" localSheetId="0" hidden="1">{#N/A,#N/A,FALSE,"95FW"}</definedName>
    <definedName name="M" localSheetId="2" hidden="1">{#N/A,#N/A,FALSE,"95FW"}</definedName>
    <definedName name="M" hidden="1">{#N/A,#N/A,FALSE,"95FW"}</definedName>
    <definedName name="m4_">#REF!</definedName>
    <definedName name="menu_button_Click">#N/A</definedName>
    <definedName name="mil">'[10]0.1keyAssumption'!$E$24</definedName>
    <definedName name="mm2_">#REF!</definedName>
    <definedName name="MN">[18]공사개요!$D$8</definedName>
    <definedName name="n4_">#REF!</definedName>
    <definedName name="NA">[19]Data!$D$8</definedName>
    <definedName name="nn">#N/A</definedName>
    <definedName name="nn2_">#REF!</definedName>
    <definedName name="NS">[19]Data!$D$6</definedName>
    <definedName name="O">[20]인건비!$D$7:$X$65</definedName>
    <definedName name="OptionButton21_Click">#N/A</definedName>
    <definedName name="OUTPUT">#REF!</definedName>
    <definedName name="P">#REF!</definedName>
    <definedName name="P_?">'[2]97년추정손익계산서'!$G$6:$G$86</definedName>
    <definedName name="PAGE4">'[21]T6-6(2)'!#REF!</definedName>
    <definedName name="PAGE5">'[21]T6-6(2)'!#REF!</definedName>
    <definedName name="PAGE8">'[21]T6-6(2)'!#REF!</definedName>
    <definedName name="PAGE9">'[21]T6-6(2)'!#REF!</definedName>
    <definedName name="PE">[19]Data!$D$11</definedName>
    <definedName name="Percent_Threshold">'[6]Balance Sheet(AR)'!$D$2</definedName>
    <definedName name="perpetuity_growth_rate">'[10]0.1keyAssumption'!$H$28</definedName>
    <definedName name="PICTURE1">#REF!</definedName>
    <definedName name="pl">#REF!</definedName>
    <definedName name="PL_Dollar_Threshold">'[6]Income Statement(AR)'!$E$2</definedName>
    <definedName name="PL_Percent_Threshold">'[6]Income Statement(AR)'!$D$2</definedName>
    <definedName name="plNote">#N/A</definedName>
    <definedName name="pl건설">#REF!</definedName>
    <definedName name="pl양재">#REF!</definedName>
    <definedName name="PP">#REF!</definedName>
    <definedName name="_xlnm.Print_Area" localSheetId="0">'전년대비 인원증감현황'!$A$1:$L$41</definedName>
    <definedName name="_xlnm.Print_Area" localSheetId="2">퇴사자명단!$B$1:$I$15</definedName>
    <definedName name="_xlnm.Print_Area">#REF!</definedName>
    <definedName name="Print_Area_MI">#REF!</definedName>
    <definedName name="PRINT_AREA_MI1">#REF!</definedName>
    <definedName name="Print_Title">#REF!</definedName>
    <definedName name="_xlnm.Print_Titles" localSheetId="1">신규입사자명단!$1:$3</definedName>
    <definedName name="_xlnm.Print_Titles" localSheetId="2">퇴사자명단!$1:$3</definedName>
    <definedName name="_xlnm.Print_Titles">#N/A</definedName>
    <definedName name="Print_Titles_MI">#REF!</definedName>
    <definedName name="PRINT_TITLES_MI1">#REF!</definedName>
    <definedName name="Printing">#N/A</definedName>
    <definedName name="PS">[19]Data!$D$10</definedName>
    <definedName name="PY">[18]공사개요!$E$17</definedName>
    <definedName name="PY_Accounts_Receivable">'[6]Balance Sheet(AR)'!$C$7</definedName>
    <definedName name="PY_Administration">'[6]Income Statement(AR)'!$C$10</definedName>
    <definedName name="PY_Cash">'[6]Balance Sheet(AR)'!$C$5</definedName>
    <definedName name="PY_Cash_Dev_Dec">'[6]Income Statement(AR)'!$C$30</definedName>
    <definedName name="PY_Cash_Div_Dec">'[6]Income Statement(AR)'!$B$30</definedName>
    <definedName name="PY_Common_Equity">'[6]Balance Sheet(AR)'!$C$29</definedName>
    <definedName name="PY_Cost_of_Sales">'[6]Income Statement(AR)'!$C$6</definedName>
    <definedName name="PY_Current_Liabilities">'[6]Balance Sheet(AR)'!$C$22</definedName>
    <definedName name="PY_Depreciation">'[6]Income Statement(AR)'!$C$13</definedName>
    <definedName name="PY_Gross_Profit">'[6]Income Statement(AR)'!$C$8</definedName>
    <definedName name="PY_Inc_Bef_Tax">'[6]Income Statement(AR)'!$C$19</definedName>
    <definedName name="PY_Intangible_Assets">'[6]Balance Sheet(AR)'!$C$17</definedName>
    <definedName name="PY_Interest_Expense">'[6]Income Statement(AR)'!$C$17</definedName>
    <definedName name="PY_Inventory">'[6]Balance Sheet(AR)'!$C$11</definedName>
    <definedName name="PY_LIABIL_EQUITY">'[6]Balance Sheet(AR)'!$C$34</definedName>
    <definedName name="PY_LT_Debt">'[6]Balance Sheet(AR)'!$C$23</definedName>
    <definedName name="PY_Market_Value_of_Equity">'[6]Income Statement(AR)'!$C$34</definedName>
    <definedName name="PY_Marketable_Sec">'[6]Balance Sheet(AR)'!$C$6</definedName>
    <definedName name="PY_NET_PROFIT">'[6]Income Statement(AR)'!$C$26</definedName>
    <definedName name="PY_Net_Revenue">'[6]Income Statement(AR)'!$C$5</definedName>
    <definedName name="PY_Operating_Inc">'[6]Income Statement(AR)'!$C$15</definedName>
    <definedName name="PY_Operating_Income">'[6]Income Statement(AR)'!$C$15</definedName>
    <definedName name="PY_Other_Curr_Assets">'[6]Balance Sheet(AR)'!$C$12</definedName>
    <definedName name="PY_Other_Exp">'[6]Income Statement(AR)'!$C$12</definedName>
    <definedName name="PY_Other_LT_Assets">'[6]Balance Sheet(AR)'!$C$18</definedName>
    <definedName name="PY_Other_LT_Liabilities">'[6]Balance Sheet(AR)'!$C$24</definedName>
    <definedName name="PY_Preferred_Stock">'[6]Balance Sheet(AR)'!$C$28</definedName>
    <definedName name="PY_QUICK_ASSETS">'[6]Balance Sheet(AR)'!$C$9</definedName>
    <definedName name="PY_Retained_Earnings">'[6]Balance Sheet(AR)'!$C$30</definedName>
    <definedName name="PY_Selling">'[6]Income Statement(AR)'!$C$11</definedName>
    <definedName name="PY_Tangible_Assets">'[6]Balance Sheet(AR)'!$C$16</definedName>
    <definedName name="PY_Tangible_Net_Worth">'[6]Income Statement(AR)'!$C$36</definedName>
    <definedName name="PY_Taxes">'[6]Income Statement(AR)'!$C$24</definedName>
    <definedName name="PY_TOTAL_ASSETS">'[6]Balance Sheet(AR)'!$C$20</definedName>
    <definedName name="PY_TOTAL_CURR_ASSETS">'[6]Balance Sheet(AR)'!$C$14</definedName>
    <definedName name="PY_TOTAL_DEBT">'[6]Balance Sheet(AR)'!$C$26</definedName>
    <definedName name="PY_TOTAL_EQUITY">'[6]Balance Sheet(AR)'!$C$32</definedName>
    <definedName name="PY_Weighted_Average">'[6]Income Statement(AR)'!$C$29</definedName>
    <definedName name="PY_Working_Capital">'[6]Income Statement(AR)'!$C$35</definedName>
    <definedName name="PY2_Accounts_Receivable">'[6]Balance Sheet(AR)'!$F$7</definedName>
    <definedName name="PY2_Administration">'[6]Income Statement(AR)'!$F$10</definedName>
    <definedName name="PY2_Cash">'[6]Balance Sheet(AR)'!$F$5</definedName>
    <definedName name="PY2_Cash_Dev_Dec">'[6]Income Statement(AR)'!$F$30</definedName>
    <definedName name="PY2_Common_Equity">'[6]Balance Sheet(AR)'!$F$29</definedName>
    <definedName name="PY2_Cost_of_Sales">'[6]Income Statement(AR)'!$F$6</definedName>
    <definedName name="PY2_Current_Liabilities">'[6]Balance Sheet(AR)'!$F$22</definedName>
    <definedName name="PY2_Depreciation">'[6]Income Statement(AR)'!$F$13</definedName>
    <definedName name="PY2_Gross_Profit">'[6]Income Statement(AR)'!$F$8</definedName>
    <definedName name="PY2_Inc_Bef_Tax">'[6]Income Statement(AR)'!$F$19</definedName>
    <definedName name="PY2_Intangible_Assets">'[6]Balance Sheet(AR)'!$F$17</definedName>
    <definedName name="PY2_Interest_Expense">'[6]Income Statement(AR)'!$F$17</definedName>
    <definedName name="PY2_Inventory">'[6]Balance Sheet(AR)'!$F$11</definedName>
    <definedName name="PY2_LIABIL_EQUITY">'[6]Balance Sheet(AR)'!$F$34</definedName>
    <definedName name="PY2_LT_Debt">'[6]Balance Sheet(AR)'!$F$23</definedName>
    <definedName name="PY2_Marketable_Sec">'[6]Balance Sheet(AR)'!$F$6</definedName>
    <definedName name="PY2_NET_PROFIT">'[6]Income Statement(AR)'!$F$26</definedName>
    <definedName name="PY2_Net_Revenue">'[6]Income Statement(AR)'!$F$5</definedName>
    <definedName name="PY2_Operating_Inc">'[6]Income Statement(AR)'!$F$15</definedName>
    <definedName name="PY2_Operating_Income">'[6]Income Statement(AR)'!$F$15</definedName>
    <definedName name="PY2_Other_Curr_Assets">'[6]Balance Sheet(AR)'!$F$12</definedName>
    <definedName name="PY2_Other_Exp.">'[6]Income Statement(AR)'!$F$12</definedName>
    <definedName name="PY2_Other_LT_Assets">'[6]Balance Sheet(AR)'!$F$18</definedName>
    <definedName name="PY2_Other_LT_Liabilities">'[6]Balance Sheet(AR)'!$F$24</definedName>
    <definedName name="PY2_Preferred_Stock">'[6]Balance Sheet(AR)'!$F$28</definedName>
    <definedName name="PY2_QUICK_ASSETS">'[6]Balance Sheet(AR)'!$F$9</definedName>
    <definedName name="PY2_Retained_Earnings">'[6]Balance Sheet(AR)'!$F$30</definedName>
    <definedName name="PY2_Selling">'[6]Income Statement(AR)'!$F$11</definedName>
    <definedName name="PY2_Tangible_Assets">'[6]Balance Sheet(AR)'!$F$16</definedName>
    <definedName name="PY2_Tangible_Net_Worth">'[6]Income Statement(AR)'!$F$36</definedName>
    <definedName name="PY2_Taxes">'[6]Income Statement(AR)'!$F$24</definedName>
    <definedName name="PY2_TOTAL_ASSETS">'[6]Balance Sheet(AR)'!$F$20</definedName>
    <definedName name="PY2_TOTAL_CURR_ASSETS">'[6]Balance Sheet(AR)'!$F$14</definedName>
    <definedName name="PY2_TOTAL_DEBT">'[6]Balance Sheet(AR)'!$F$26</definedName>
    <definedName name="PY2_TOTAL_EQUITY">'[6]Balance Sheet(AR)'!$F$32</definedName>
    <definedName name="PY2_Weighted_Average">'[6]Income Statement(AR)'!$F$29</definedName>
    <definedName name="PY2_Working_Capital">'[6]Income Statement(AR)'!$F$35</definedName>
    <definedName name="QQ">#REF!</definedName>
    <definedName name="qqq">#N/A</definedName>
    <definedName name="quit_button_Click">#N/A</definedName>
    <definedName name="QWQQ">[9]!BlankMacro1</definedName>
    <definedName name="RATIOS">#REF!</definedName>
    <definedName name="re">#N/A</definedName>
    <definedName name="REITs_choice">'[10]0.0ControlSheet'!#REF!</definedName>
    <definedName name="Reits_choice1">'[22]0.0ControlSheet'!#REF!</definedName>
    <definedName name="rental_base">'[10]0.0ControlSheet'!$F$30</definedName>
    <definedName name="rental_global_choice">'[10]0.0ControlSheet'!$F$28</definedName>
    <definedName name="reportP2">#N/A</definedName>
    <definedName name="reportPl">#N/A</definedName>
    <definedName name="rk">[9]!BlankMacro1</definedName>
    <definedName name="r그래">[9]!BlankMacro1</definedName>
    <definedName name="s">#REF!</definedName>
    <definedName name="sadf23g24f1">[9]!BlankMacro1</definedName>
    <definedName name="sales_increase_rate">'[10]0.1keyAssumption'!$A$21:$IV$21</definedName>
    <definedName name="SAPBEXrevision" hidden="1">5</definedName>
    <definedName name="SAPBEXsysID" hidden="1">"PBW"</definedName>
    <definedName name="SAPBEXwbID" hidden="1">"461MV176AFZ8EMO9X5CXOB1LL"</definedName>
    <definedName name="sk" localSheetId="1" hidden="1">{#N/A,#N/A,FALSE,"재고현황";#N/A,#N/A,FALSE,"어음현황";#N/A,#N/A,FALSE,"생산계획";#N/A,#N/A,FALSE,"판매계획";#N/A,#N/A,FALSE,"수금계획서";#N/A,#N/A,FALSE,"요약손익"}</definedName>
    <definedName name="sk" localSheetId="0" hidden="1">{#N/A,#N/A,FALSE,"재고현황";#N/A,#N/A,FALSE,"어음현황";#N/A,#N/A,FALSE,"생산계획";#N/A,#N/A,FALSE,"판매계획";#N/A,#N/A,FALSE,"수금계획서";#N/A,#N/A,FALSE,"요약손익"}</definedName>
    <definedName name="sk" localSheetId="2" hidden="1">{#N/A,#N/A,FALSE,"재고현황";#N/A,#N/A,FALSE,"어음현황";#N/A,#N/A,FALSE,"생산계획";#N/A,#N/A,FALSE,"판매계획";#N/A,#N/A,FALSE,"수금계획서";#N/A,#N/A,FALSE,"요약손익"}</definedName>
    <definedName name="sk" hidden="1">{#N/A,#N/A,FALSE,"재고현황";#N/A,#N/A,FALSE,"어음현황";#N/A,#N/A,FALSE,"생산계획";#N/A,#N/A,FALSE,"판매계획";#N/A,#N/A,FALSE,"수금계획서";#N/A,#N/A,FALSE,"요약손익"}</definedName>
    <definedName name="small_ch">#REF!</definedName>
    <definedName name="spv" localSheetId="1" hidden="1">{"'9월'!$F$38"}</definedName>
    <definedName name="spv" localSheetId="0" hidden="1">{"'9월'!$F$38"}</definedName>
    <definedName name="spv" localSheetId="2" hidden="1">{"'9월'!$F$38"}</definedName>
    <definedName name="spv" hidden="1">{"'9월'!$F$38"}</definedName>
    <definedName name="SS월별판매전략">#REF!</definedName>
    <definedName name="start">[23]ADMIN!$C$14</definedName>
    <definedName name="statrt">[23]ADMIN!$C$14</definedName>
    <definedName name="T">[9]!BlankMacro1</definedName>
    <definedName name="tax_rate">'[10]0.1keyAssumption'!$A$16:$IV$16</definedName>
    <definedName name="terminal_multiplier">'[10]0.1keyAssumption'!$H$29</definedName>
    <definedName name="terminal_value_calculation">'[10]0.0ControlSheet'!$F$36</definedName>
    <definedName name="TEST0">#REF!</definedName>
    <definedName name="TESTHKEY">#REF!</definedName>
    <definedName name="TESTKEYS">#REF!</definedName>
    <definedName name="TESTVKEY">#REF!</definedName>
    <definedName name="TextRefCopy1">#REF!</definedName>
    <definedName name="TextRefCopyRangeCount" hidden="1">1</definedName>
    <definedName name="Threshold">'[6]Balance Sheet(AR)'!$E$2</definedName>
    <definedName name="TlQMeod">[9]!BlankMacro1</definedName>
    <definedName name="TO">[18]공사개요!$D$9</definedName>
    <definedName name="TOTAL" localSheetId="1" hidden="1">{#N/A,#N/A,FALSE,"95FW"}</definedName>
    <definedName name="TOTAL" localSheetId="0" hidden="1">{#N/A,#N/A,FALSE,"95FW"}</definedName>
    <definedName name="TOTAL" localSheetId="2" hidden="1">{#N/A,#N/A,FALSE,"95FW"}</definedName>
    <definedName name="TOTAL" hidden="1">{#N/A,#N/A,FALSE,"95FW"}</definedName>
    <definedName name="TS.DN">#N/A</definedName>
    <definedName name="USD">#REF!</definedName>
    <definedName name="useful_life">'[10]0.0ControlSheet'!$F$38</definedName>
    <definedName name="uyuy" localSheetId="1" hidden="1">{#N/A,#N/A,FALSE,"Aging Summary";#N/A,#N/A,FALSE,"Ratio Analysis";#N/A,#N/A,FALSE,"Test 120 Day Accts";#N/A,#N/A,FALSE,"Tickmarks"}</definedName>
    <definedName name="uyuy" localSheetId="0" hidden="1">{#N/A,#N/A,FALSE,"Aging Summary";#N/A,#N/A,FALSE,"Ratio Analysis";#N/A,#N/A,FALSE,"Test 120 Day Accts";#N/A,#N/A,FALSE,"Tickmarks"}</definedName>
    <definedName name="uyuy" localSheetId="2" hidden="1">{#N/A,#N/A,FALSE,"Aging Summary";#N/A,#N/A,FALSE,"Ratio Analysis";#N/A,#N/A,FALSE,"Test 120 Day Accts";#N/A,#N/A,FALSE,"Tickmarks"}</definedName>
    <definedName name="uyuy" hidden="1">{#N/A,#N/A,FALSE,"Aging Summary";#N/A,#N/A,FALSE,"Ratio Analysis";#N/A,#N/A,FALSE,"Test 120 Day Accts";#N/A,#N/A,FALSE,"Tickmarks"}</definedName>
    <definedName name="votus">[9]!BlankMacro1</definedName>
    <definedName name="vv">#N/A</definedName>
    <definedName name="wacc">'[10]0.1keyAssumption'!$H$27</definedName>
    <definedName name="wew">[9]!BlankMacro1</definedName>
    <definedName name="wrn.95._.fw._.진행현황." localSheetId="1" hidden="1">{#N/A,#N/A,FALSE,"95FW"}</definedName>
    <definedName name="wrn.95._.fw._.진행현황." localSheetId="0" hidden="1">{#N/A,#N/A,FALSE,"95FW"}</definedName>
    <definedName name="wrn.95._.fw._.진행현황." localSheetId="2" hidden="1">{#N/A,#N/A,FALSE,"95FW"}</definedName>
    <definedName name="wrn.95._.fw._.진행현황." hidden="1">{#N/A,#N/A,FALSE,"95FW"}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jck94TAXRETURN.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간단한세무조정계산서.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2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손익보고.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자금계획보고." localSheetId="1" hidden="1">{#N/A,#N/A,FALSE,"재고현황";#N/A,#N/A,FALSE,"어음현황";#N/A,#N/A,FALSE,"생산계획";#N/A,#N/A,FALSE,"판매계획";#N/A,#N/A,FALSE,"수금계획서";#N/A,#N/A,FALSE,"요약손익"}</definedName>
    <definedName name="wrn.자금계획보고." localSheetId="0" hidden="1">{#N/A,#N/A,FALSE,"재고현황";#N/A,#N/A,FALSE,"어음현황";#N/A,#N/A,FALSE,"생산계획";#N/A,#N/A,FALSE,"판매계획";#N/A,#N/A,FALSE,"수금계획서";#N/A,#N/A,FALSE,"요약손익"}</definedName>
    <definedName name="wrn.자금계획보고." localSheetId="2" hidden="1">{#N/A,#N/A,FALSE,"재고현황";#N/A,#N/A,FALSE,"어음현황";#N/A,#N/A,FALSE,"생산계획";#N/A,#N/A,FALSE,"판매계획";#N/A,#N/A,FALSE,"수금계획서";#N/A,#N/A,FALSE,"요약손익"}</definedName>
    <definedName name="wrn.자금계획보고." hidden="1">{#N/A,#N/A,FALSE,"재고현황";#N/A,#N/A,FALSE,"어음현황";#N/A,#N/A,FALSE,"생산계획";#N/A,#N/A,FALSE,"판매계획";#N/A,#N/A,FALSE,"수금계획서";#N/A,#N/A,FALSE,"요약손익"}</definedName>
    <definedName name="Ε_샥dⅨ">#REF!</definedName>
    <definedName name="ㄱ">#N/A</definedName>
    <definedName name="ㄱㄱㄱㄱㄱㄱㄱㄱㄱㄱㄱㄱㄱㄱ">#REF!</definedName>
    <definedName name="ㄱ솔소">#REF!</definedName>
    <definedName name="가">#REF!</definedName>
    <definedName name="가가">#REF!</definedName>
    <definedName name="가건물손료">[18]참고!$R$29</definedName>
    <definedName name="가격비">[24]가격비!$B$1:$C$16</definedName>
    <definedName name="가나">[9]!BlankMacro1</definedName>
    <definedName name="가나다">[9]!BlankMacro1</definedName>
    <definedName name="가나다라">[9]!BlankMacro1</definedName>
    <definedName name="가나다라마">[9]!BlankMacro1</definedName>
    <definedName name="가나다라마바사아자차">[9]!BlankMacro1</definedName>
    <definedName name="가라다">[9]!BlankMacro1</definedName>
    <definedName name="가설">#REF!</definedName>
    <definedName name="가설건물면적">[18]참고!$AC$27</definedName>
    <definedName name="가시나무R4">[25]데이타!$E$2</definedName>
    <definedName name="가시나무R5">[25]데이타!$E$3</definedName>
    <definedName name="가시나무R6">[25]데이타!$E$4</definedName>
    <definedName name="가시나무R8">[25]데이타!$E$5</definedName>
    <definedName name="가을기획">[9]!BlankMacro1</definedName>
    <definedName name="가이즈까향1204">[25]데이타!$E$6</definedName>
    <definedName name="가이즈까향1505">[25]데이타!$E$7</definedName>
    <definedName name="가이즈까향2006">[25]데이타!$E$8</definedName>
    <definedName name="가이즈까향2008">[25]데이타!$E$9</definedName>
    <definedName name="가이즈까향2510">[25]데이타!$E$10</definedName>
    <definedName name="가중나무B10">[25]데이타!$E$19</definedName>
    <definedName name="가중나무B4">[25]데이타!$E$15</definedName>
    <definedName name="가중나무B5">[25]데이타!$E$16</definedName>
    <definedName name="가중나무B6">[25]데이타!$E$17</definedName>
    <definedName name="가중나무B8">[25]데이타!$E$18</definedName>
    <definedName name="간접">#REF!</definedName>
    <definedName name="감R10">[25]데이타!$E$24</definedName>
    <definedName name="감R12">[25]데이타!$E$25</definedName>
    <definedName name="감R15">[25]데이타!$E$26</definedName>
    <definedName name="감R5">[25]데이타!$E$20</definedName>
    <definedName name="감R6">[25]데이타!$E$21</definedName>
    <definedName name="감R7">[25]데이타!$E$22</definedName>
    <definedName name="감R8">[25]데이타!$E$23</definedName>
    <definedName name="감가상각">#REF!</definedName>
    <definedName name="강">[26]회사정보!$C$7</definedName>
    <definedName name="강동윤">[9]!BlankMacro1</definedName>
    <definedName name="개나리12">[25]데이타!$E$31</definedName>
    <definedName name="개나리3">[25]데이타!$E$27</definedName>
    <definedName name="개나리5">[25]데이타!$E$28</definedName>
    <definedName name="개나리7">[25]데이타!$E$29</definedName>
    <definedName name="개나리9">[25]데이타!$E$30</definedName>
    <definedName name="개발비">#N/A</definedName>
    <definedName name="개쉬땅1204">[25]데이타!$E$32</definedName>
    <definedName name="개쉬땅1506">[25]데이타!$E$33</definedName>
    <definedName name="건물">#REF!</definedName>
    <definedName name="건축면적">[18]공사개요!$C$16</definedName>
    <definedName name="겹동백1002">[25]데이타!$E$145</definedName>
    <definedName name="겹동백1204">[25]데이타!$E$146</definedName>
    <definedName name="겹동백1506">[25]데이타!$E$147</definedName>
    <definedName name="겹벗R6">[25]데이타!$E$34</definedName>
    <definedName name="겹벗R8">[25]데이타!$E$35</definedName>
    <definedName name="겹철쭉0304">[25]데이타!$E$36</definedName>
    <definedName name="겹철쭉0506">[25]데이타!$E$37</definedName>
    <definedName name="겹철쭉0608">[25]데이타!$E$38</definedName>
    <definedName name="겹철쭉0810">[25]데이타!$E$39</definedName>
    <definedName name="겹철쭉0812">[25]데이타!$E$40</definedName>
    <definedName name="경비">#REF!</definedName>
    <definedName name="계3">[27]데이터!$C$87:$L$93</definedName>
    <definedName name="계4">[27]데이터!$C$94:$L$100</definedName>
    <definedName name="계5">[27]데이터!$C$101:$L$107</definedName>
    <definedName name="계6">[27]데이터!$C$108:$L$114</definedName>
    <definedName name="계7">[27]데이터!$C$115:$L$121</definedName>
    <definedName name="계8">[27]데이터!$C$122:$L$128</definedName>
    <definedName name="계수B5">[25]데이타!$E$41</definedName>
    <definedName name="계수B6">[25]데이타!$E$42</definedName>
    <definedName name="계수B8">[25]데이타!$E$43</definedName>
    <definedName name="계정" localSheetId="2">#REF!,#REF!,#REF!,#REF!,#REF!,#REF!,#REF!,#REF!,#REF!,#REF!,#REF!,#REF!,#REF!,PC점공</definedName>
    <definedName name="계정">#REF!,#REF!,#REF!,#REF!,#REF!,#REF!,#REF!,#REF!,#REF!,#REF!,#REF!,#REF!,#REF!,PC점공</definedName>
    <definedName name="계정코드">[28]계정code!$A$2:$C$674</definedName>
    <definedName name="고광3">[25]데이타!$E$44</definedName>
    <definedName name="고광5">[25]데이타!$E$45</definedName>
    <definedName name="고양양야야야ㅑㅇㅇ">[9]!BlankMacro1</definedName>
    <definedName name="고양이">[9]!BlankMacro1</definedName>
    <definedName name="고용">#REF!</definedName>
    <definedName name="곰솔2508">[29]데이타!$E$46</definedName>
    <definedName name="곰솔3010">[25]데이타!$E$47</definedName>
    <definedName name="곰솔R10">[25]데이타!$E$48</definedName>
    <definedName name="곰솔R12">[25]데이타!$E$49</definedName>
    <definedName name="곰솔R15">[25]데이타!$E$50</definedName>
    <definedName name="공간" hidden="1">5</definedName>
    <definedName name="공사명">[18]공사개요!$C$5</definedName>
    <definedName name="공조실급수2">#REF!</definedName>
    <definedName name="광나무1003">[25]데이타!$E$51</definedName>
    <definedName name="광나무1203">[25]데이타!$E$52</definedName>
    <definedName name="광나무1506">[25]데이타!$E$53</definedName>
    <definedName name="광편백0405">[25]데이타!$E$153</definedName>
    <definedName name="광편백0507">[25]데이타!$E$154</definedName>
    <definedName name="광편백0509">[25]데이타!$E$155</definedName>
    <definedName name="교통">#REF!</definedName>
    <definedName name="구구">[9]!BlankMacro1</definedName>
    <definedName name="구분10">'[30]예상판매율 10'!$I$3:$I$302</definedName>
    <definedName name="구상나무1505">[25]데이타!$E$69</definedName>
    <definedName name="구상나무2008">[25]데이타!$E$70</definedName>
    <definedName name="구상나무2510">[25]데이타!$E$71</definedName>
    <definedName name="구상나무3012">[25]데이타!$E$72</definedName>
    <definedName name="국민연금">#REF!</definedName>
    <definedName name="그냥그냥">[9]!BlankMacro1</definedName>
    <definedName name="그룹">#N/A</definedName>
    <definedName name="금송1006">[25]데이타!$E$73</definedName>
    <definedName name="금송1208">[25]데이타!$E$74</definedName>
    <definedName name="금송1510">[25]데이타!$E$75</definedName>
    <definedName name="금액판매율2">#REF!</definedName>
    <definedName name="금액판매율4">#REF!</definedName>
    <definedName name="기간판매수량1">'[30]DB 2018 SS 1'!$AJ$3:$AJ$516</definedName>
    <definedName name="기간판매수량10">'[30]예상판매율 10'!$L$3:$L$302</definedName>
    <definedName name="기간판매수량2">'[30]DB 2017 SS 2'!$AJ$3:$AJ$642</definedName>
    <definedName name="기간판매수량3">'[30]2018 금주 판매'!$AB$3:$AB$516</definedName>
    <definedName name="기간판매수량4">'[30]2017 주간 4'!$AB$3:$AB$642</definedName>
    <definedName name="기간판매수량5">'[30]2018 전주 판매'!$AB$3:$AB$516</definedName>
    <definedName name="기말">[31]Ctrl!$C$5</definedName>
    <definedName name="기준액">#REF!</definedName>
    <definedName name="기초">[31]Ctrl!$C$4</definedName>
    <definedName name="기타잡이익미니">#REF!</definedName>
    <definedName name="기획량">#REF!</definedName>
    <definedName name="기획량1">[32]오더분석1!$M$3:$M$1664</definedName>
    <definedName name="긴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긴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긴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긴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김" localSheetId="0" hidden="1">[4]시산표!#REF!</definedName>
    <definedName name="김" hidden="1">[4]시산표!#REF!</definedName>
    <definedName name="김윤형">#REF!</definedName>
    <definedName name="꽃복숭아R3">[25]데이타!$E$58</definedName>
    <definedName name="꽃복숭아R4">[25]데이타!$E$59</definedName>
    <definedName name="꽃복숭아R5">[25]데이타!$E$60</definedName>
    <definedName name="꽃사과R10">[25]데이타!$E$64</definedName>
    <definedName name="꽃사과R4">[25]데이타!$E$61</definedName>
    <definedName name="꽃사과R6">[25]데이타!$E$62</definedName>
    <definedName name="꽃사과R8">[25]데이타!$E$63</definedName>
    <definedName name="꽃아그배R10">[25]데이타!$E$68</definedName>
    <definedName name="꽃아그배R4">[25]데이타!$E$65</definedName>
    <definedName name="꽃아그배R6">[25]데이타!$E$66</definedName>
    <definedName name="꽃아그배R8">[25]데이타!$E$67</definedName>
    <definedName name="꽝꽝0304">[25]데이타!$E$54</definedName>
    <definedName name="꽝꽝0406">[25]데이타!$E$55</definedName>
    <definedName name="꽝꽝0508">[25]데이타!$E$56</definedName>
    <definedName name="꽝꽝0610">[25]데이타!$E$57</definedName>
    <definedName name="ㄴ" localSheetId="1" hidden="1">{#N/A,#N/A,FALSE,"95FW"}</definedName>
    <definedName name="ㄴ" localSheetId="0" hidden="1">{#N/A,#N/A,FALSE,"95FW"}</definedName>
    <definedName name="ㄴ" localSheetId="2" hidden="1">{#N/A,#N/A,FALSE,"95FW"}</definedName>
    <definedName name="ㄴ" hidden="1">{#N/A,#N/A,FALSE,"95FW"}</definedName>
    <definedName name="ㄴㄴ">[9]!BlankMacro1</definedName>
    <definedName name="ㄴㄴㄴ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ㄴㄴㄴ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ㄴㄴㄴ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ㄴㄴㄴ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ㄴㄴㄴㄴㄴㄴㄴㄴㄴㄴㄴㄴㄴㄴㄴㄴㄴ">[9]!BlankMacro1</definedName>
    <definedName name="ㄴㄴㄴㄴㄴㄴㄴㄴㄴㄴㄴㄴㄴㄴㄴㄴㄴㄴㄴㄴㄴㄴㄴㄴ">[9]!BlankMacro1</definedName>
    <definedName name="ㄴㄴㄴㄴㄴㄴㄴㄴㄴㄴㄷㄱㄽㄷㄳㄷㄳㄳ">[9]!BlankMacro1</definedName>
    <definedName name="ㄴㄴㄴㄴㄴㅁㅁ">#REF!</definedName>
    <definedName name="ㄴㄹ">#REF!</definedName>
    <definedName name="ㄴㄹㅇㄹㅇㄴ" localSheetId="1" hidden="1">{#N/A,#N/A,FALSE,"Aging Summary";#N/A,#N/A,FALSE,"Ratio Analysis";#N/A,#N/A,FALSE,"Test 120 Day Accts";#N/A,#N/A,FALSE,"Tickmarks"}</definedName>
    <definedName name="ㄴㄹㅇㄹㅇㄴ" localSheetId="0" hidden="1">{#N/A,#N/A,FALSE,"Aging Summary";#N/A,#N/A,FALSE,"Ratio Analysis";#N/A,#N/A,FALSE,"Test 120 Day Accts";#N/A,#N/A,FALSE,"Tickmarks"}</definedName>
    <definedName name="ㄴㄹㅇㄹㅇㄴ" localSheetId="2" hidden="1">{#N/A,#N/A,FALSE,"Aging Summary";#N/A,#N/A,FALSE,"Ratio Analysis";#N/A,#N/A,FALSE,"Test 120 Day Accts";#N/A,#N/A,FALSE,"Tickmarks"}</definedName>
    <definedName name="ㄴㄹㅇㄹㅇㄴ" hidden="1">{#N/A,#N/A,FALSE,"Aging Summary";#N/A,#N/A,FALSE,"Ratio Analysis";#N/A,#N/A,FALSE,"Test 120 Day Accts";#N/A,#N/A,FALSE,"Tickmarks"}</definedName>
    <definedName name="ㄴㅁㅇㄹ">[9]!BlankMacro1</definedName>
    <definedName name="ㄴㅇㄴㅇ" localSheetId="1" hidden="1">{#N/A,#N/A,FALSE,"재고현황";#N/A,#N/A,FALSE,"어음현황";#N/A,#N/A,FALSE,"생산계획";#N/A,#N/A,FALSE,"판매계획";#N/A,#N/A,FALSE,"수금계획서";#N/A,#N/A,FALSE,"요약손익"}</definedName>
    <definedName name="ㄴㅇㄴㅇ" localSheetId="0" hidden="1">{#N/A,#N/A,FALSE,"재고현황";#N/A,#N/A,FALSE,"어음현황";#N/A,#N/A,FALSE,"생산계획";#N/A,#N/A,FALSE,"판매계획";#N/A,#N/A,FALSE,"수금계획서";#N/A,#N/A,FALSE,"요약손익"}</definedName>
    <definedName name="ㄴㅇㄴㅇ" localSheetId="2" hidden="1">{#N/A,#N/A,FALSE,"재고현황";#N/A,#N/A,FALSE,"어음현황";#N/A,#N/A,FALSE,"생산계획";#N/A,#N/A,FALSE,"판매계획";#N/A,#N/A,FALSE,"수금계획서";#N/A,#N/A,FALSE,"요약손익"}</definedName>
    <definedName name="ㄴㅇㄴㅇ" hidden="1">{#N/A,#N/A,FALSE,"재고현황";#N/A,#N/A,FALSE,"어음현황";#N/A,#N/A,FALSE,"생산계획";#N/A,#N/A,FALSE,"판매계획";#N/A,#N/A,FALSE,"수금계획서";#N/A,#N/A,FALSE,"요약손익"}</definedName>
    <definedName name="ㄴㅇㄴㅇㅇㅇ" localSheetId="1" hidden="1">{#N/A,#N/A,FALSE,"재고현황";#N/A,#N/A,FALSE,"어음현황";#N/A,#N/A,FALSE,"생산계획";#N/A,#N/A,FALSE,"판매계획";#N/A,#N/A,FALSE,"수금계획서";#N/A,#N/A,FALSE,"요약손익"}</definedName>
    <definedName name="ㄴㅇㄴㅇㅇㅇ" localSheetId="0" hidden="1">{#N/A,#N/A,FALSE,"재고현황";#N/A,#N/A,FALSE,"어음현황";#N/A,#N/A,FALSE,"생산계획";#N/A,#N/A,FALSE,"판매계획";#N/A,#N/A,FALSE,"수금계획서";#N/A,#N/A,FALSE,"요약손익"}</definedName>
    <definedName name="ㄴㅇㄴㅇㅇㅇ" localSheetId="2" hidden="1">{#N/A,#N/A,FALSE,"재고현황";#N/A,#N/A,FALSE,"어음현황";#N/A,#N/A,FALSE,"생산계획";#N/A,#N/A,FALSE,"판매계획";#N/A,#N/A,FALSE,"수금계획서";#N/A,#N/A,FALSE,"요약손익"}</definedName>
    <definedName name="ㄴㅇㄴㅇㅇㅇ" hidden="1">{#N/A,#N/A,FALSE,"재고현황";#N/A,#N/A,FALSE,"어음현황";#N/A,#N/A,FALSE,"생산계획";#N/A,#N/A,FALSE,"판매계획";#N/A,#N/A,FALSE,"수금계획서";#N/A,#N/A,FALSE,"요약손익"}</definedName>
    <definedName name="ㄴㅇㄹ">#N/A</definedName>
    <definedName name="ㄴㅇ런ㅇㄹ허옹ㄹ">[9]!BlankMacro1</definedName>
    <definedName name="ㄴㅇ롤ㅇ혼런ㅇㄹ">[9]!BlankMacro1</definedName>
    <definedName name="ㄴㅇㄻㄻ">[9]!BlankMacro1</definedName>
    <definedName name="나">[9]!BlankMacro1</definedName>
    <definedName name="나나">#REF!</definedName>
    <definedName name="나다">[9]!BlankMacro1</definedName>
    <definedName name="나라">[9]!BlankMacro1</definedName>
    <definedName name="낙상홍1004">[25]데이타!$E$76</definedName>
    <definedName name="낙상홍1506">[25]데이타!$E$77</definedName>
    <definedName name="낙상홍1808">[25]데이타!$E$78</definedName>
    <definedName name="낙상홍2010">[25]데이타!$E$79</definedName>
    <definedName name="낙상홍2515">[25]데이타!$E$80</definedName>
    <definedName name="낙우송R10">[25]데이타!$E$84</definedName>
    <definedName name="낙우송R12">[25]데이타!$E$85</definedName>
    <definedName name="낙우송R5">[25]데이타!$E$81</definedName>
    <definedName name="낙우송R6">[25]데이타!$E$82</definedName>
    <definedName name="낙우송R8">[25]데이타!$E$83</definedName>
    <definedName name="날짜">[16]admin!$G$2</definedName>
    <definedName name="남4">[27]데이터!$C$10:$L$16</definedName>
    <definedName name="남5">[27]데이터!$C$17:$L$23</definedName>
    <definedName name="남6">[27]데이터!$C$24:$L$30</definedName>
    <definedName name="남7">[27]데이터!$C$31:$L$37</definedName>
    <definedName name="남8">[27]데이터!$C$38:$L$44</definedName>
    <definedName name="내다">[9]!BlankMacro1</definedName>
    <definedName name="내선수금">#REF!</definedName>
    <definedName name="년도구분">[33]DB!$A$3:$A$1203</definedName>
    <definedName name="년도구분1">'[30]DB 2018 SS 1'!$A$3:$A$516</definedName>
    <definedName name="년도구분2">'[30]DB 2017 SS 2'!$A$3:$A$642</definedName>
    <definedName name="년도구분4">#REF!</definedName>
    <definedName name="노르웨이R12">[25]데이타!$E$90</definedName>
    <definedName name="노르웨이R15">[25]데이타!$E$91</definedName>
    <definedName name="노르웨이R4">[25]데이타!$E$86</definedName>
    <definedName name="노르웨이R5">[25]데이타!$E$87</definedName>
    <definedName name="노르웨이R6">[25]데이타!$E$88</definedName>
    <definedName name="노르웨이R8">[25]데이타!$E$89</definedName>
    <definedName name="누적입고량1">'[30]DB 2018 SS 1'!$U$3:$U$516</definedName>
    <definedName name="누적입고량10">'[30]예상판매율 10'!$K$3:$K$302</definedName>
    <definedName name="누적입고량2">'[30]DB 2017 SS 2'!$U$3:$U$642</definedName>
    <definedName name="누적입고량4">#REF!</definedName>
    <definedName name="눈향L06">[25]데이타!$E$92</definedName>
    <definedName name="눈향L08">[25]데이타!$E$93</definedName>
    <definedName name="눈향L10">[25]데이타!$E$94</definedName>
    <definedName name="눈향L14">[25]데이타!$E$95</definedName>
    <definedName name="눈향L20">[25]데이타!$E$96</definedName>
    <definedName name="뉴욕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욕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욕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욕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뉴폴에">[9]!BlankMacro1</definedName>
    <definedName name="느릅R10">[25]데이타!$E$100</definedName>
    <definedName name="느릅R4">[25]데이타!$E$97</definedName>
    <definedName name="느릅R5">[25]데이타!$E$98</definedName>
    <definedName name="느릅R8">[29]데이타!$E$99</definedName>
    <definedName name="느티R10">[29]데이타!$E$104</definedName>
    <definedName name="느티R12">[25]데이타!$E$105</definedName>
    <definedName name="느티R15">[25]데이타!$E$106</definedName>
    <definedName name="느티R18">[25]데이타!$E$107</definedName>
    <definedName name="느티R20">[25]데이타!$E$108</definedName>
    <definedName name="느티R25">[25]데이타!$E$109</definedName>
    <definedName name="느티R30">[25]데이타!$E$110</definedName>
    <definedName name="느티R5">[25]데이타!$E$101</definedName>
    <definedName name="느티R6">[25]데이타!$E$102</definedName>
    <definedName name="느티R8">[25]데이타!$E$103</definedName>
    <definedName name="능소화R2">[25]데이타!$E$111</definedName>
    <definedName name="능소화R4">[25]데이타!$E$112</definedName>
    <definedName name="능소화R6">[25]데이타!$E$113</definedName>
    <definedName name="닞이ㅣㅣㅈ">[9]!BlankMacro1</definedName>
    <definedName name="ㄵㄴㄴ">#REF!</definedName>
    <definedName name="ㄷ">#REF!</definedName>
    <definedName name="ㄷㄳ">#N/A</definedName>
    <definedName name="ㄷㄷ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ㄷ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ㄷ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ㄷ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ㄷㄷㄷ" localSheetId="1" hidden="1">{#N/A,#N/A,FALSE,"Aging Summary";#N/A,#N/A,FALSE,"Ratio Analysis";#N/A,#N/A,FALSE,"Test 120 Day Accts";#N/A,#N/A,FALSE,"Tickmarks"}</definedName>
    <definedName name="ㄷㄷㄷ" localSheetId="0" hidden="1">{#N/A,#N/A,FALSE,"Aging Summary";#N/A,#N/A,FALSE,"Ratio Analysis";#N/A,#N/A,FALSE,"Test 120 Day Accts";#N/A,#N/A,FALSE,"Tickmarks"}</definedName>
    <definedName name="ㄷㄷㄷ" localSheetId="2" hidden="1">{#N/A,#N/A,FALSE,"Aging Summary";#N/A,#N/A,FALSE,"Ratio Analysis";#N/A,#N/A,FALSE,"Test 120 Day Accts";#N/A,#N/A,FALSE,"Tickmarks"}</definedName>
    <definedName name="ㄷㄷㄷ" hidden="1">{#N/A,#N/A,FALSE,"Aging Summary";#N/A,#N/A,FALSE,"Ratio Analysis";#N/A,#N/A,FALSE,"Test 120 Day Accts";#N/A,#N/A,FALSE,"Tickmarks"}</definedName>
    <definedName name="ㄷㅅ">#REF!</definedName>
    <definedName name="ㄷ쇼ㄷ">[9]!BlankMacro1</definedName>
    <definedName name="ㄷㅇ">#REF!</definedName>
    <definedName name="다">[9]!BlankMacro1</definedName>
    <definedName name="다라마">[9]!BlankMacro1</definedName>
    <definedName name="다시">#REF!</definedName>
    <definedName name="다시2">#REF!</definedName>
    <definedName name="다시3">#REF!</definedName>
    <definedName name="다시4">#REF!</definedName>
    <definedName name="단가">#REF!</definedName>
    <definedName name="단계설정">[9]!BlankMacro1</definedName>
    <definedName name="단위">#REF!</definedName>
    <definedName name="담쟁이L03">[25]데이타!$E$114</definedName>
    <definedName name="대왕참R10">[25]데이타!$E$118</definedName>
    <definedName name="대왕참R4">[25]데이타!$E$115</definedName>
    <definedName name="대왕참R6">[25]데이타!$E$116</definedName>
    <definedName name="대왕참R8">[25]데이타!$E$117</definedName>
    <definedName name="대우북부">#N/A</definedName>
    <definedName name="대지면적">[18]공사개요!$C$15</definedName>
    <definedName name="대차대조표.." localSheetId="0" hidden="1">#REF!</definedName>
    <definedName name="대차대조표.." hidden="1">#REF!</definedName>
    <definedName name="대책">[9]!BlankMacro1</definedName>
    <definedName name="대책2">[9]!BlankMacro1</definedName>
    <definedName name="대책3">[9]!BlankMacro1</definedName>
    <definedName name="대책4">[9]!BlankMacro1</definedName>
    <definedName name="대추R10">[25]데이타!$E$123</definedName>
    <definedName name="대추R4">[25]데이타!$E$119</definedName>
    <definedName name="대추R5">[25]데이타!$E$120</definedName>
    <definedName name="대추R6">[25]데이타!$E$121</definedName>
    <definedName name="대추R8">[25]데이타!$E$122</definedName>
    <definedName name="대표자성명">[26]회사정보!$C$7</definedName>
    <definedName name="덩굴장미3">[25]데이타!$E$128</definedName>
    <definedName name="덩굴장미4">[25]데이타!$E$129</definedName>
    <definedName name="덩굴장미5">[25]데이타!$E$130</definedName>
    <definedName name="도">[9]!BlankMacro1</definedName>
    <definedName name="도급공사비">'[34]2공구산출내역'!#REF!</definedName>
    <definedName name="도서">#REF!</definedName>
    <definedName name="독서">[35]!독서</definedName>
    <definedName name="독일가문비1206">[25]데이타!$E$131</definedName>
    <definedName name="독일가문비1508">[25]데이타!$E$132</definedName>
    <definedName name="독일가문비2010">[25]데이타!$E$133</definedName>
    <definedName name="독일가문비2512">[25]데이타!$E$134</definedName>
    <definedName name="독일가문비3015">[25]데이타!$E$135</definedName>
    <definedName name="독일가문비3518">[25]데이타!$E$136</definedName>
    <definedName name="돈나무0504">[25]데이타!$E$137</definedName>
    <definedName name="돈나무0805">[25]데이타!$E$138</definedName>
    <definedName name="돈나무1007">[25]데이타!$E$139</definedName>
    <definedName name="돈나무1210">[25]데이타!$E$140</definedName>
    <definedName name="동백1002">[25]데이타!$E$141</definedName>
    <definedName name="동백1204">[25]데이타!$E$142</definedName>
    <definedName name="동백1506">[25]데이타!$E$143</definedName>
    <definedName name="동백1808">[25]데이타!$E$144</definedName>
    <definedName name="등R2">[25]데이타!$E$156</definedName>
    <definedName name="등R4">[25]데이타!$E$157</definedName>
    <definedName name="등R6">[25]데이타!$E$158</definedName>
    <definedName name="등R8">[25]데이타!$E$159</definedName>
    <definedName name="디자이너2">#REF!</definedName>
    <definedName name="디자이너4">#REF!</definedName>
    <definedName name="때죽R10">[25]데이타!$E$127</definedName>
    <definedName name="때죽R4">[25]데이타!$E$124</definedName>
    <definedName name="때죽R6">[25]데이타!$E$125</definedName>
    <definedName name="때죽R8">[25]데이타!$E$126</definedName>
    <definedName name="ㄹ" localSheetId="2">#REF!,#REF!,#REF!,#REF!,#REF!,#REF!,#REF!,#REF!,#REF!,#REF!,#REF!,#REF!,#REF!,PC점공</definedName>
    <definedName name="ㄹ">#REF!,#REF!,#REF!,#REF!,#REF!,#REF!,#REF!,#REF!,#REF!,#REF!,#REF!,#REF!,#REF!,PC점공</definedName>
    <definedName name="ㄹ190">#REF!</definedName>
    <definedName name="ㄹㄴㅇㄹ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ㄴㅇ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ㄵ">[9]!BlankMacro1</definedName>
    <definedName name="ㄹㄹ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ㄹㄹㄹㄹㄹㄹ">[9]!BlankMacro1</definedName>
    <definedName name="ㄹㄹㄹㄹㄹㄹㄹㄹㄹㄹㄹㄹ">[9]!BlankMacro1</definedName>
    <definedName name="ㄹㄹㄹㄹㄹㄹㄹㄹㄹㄹㄹㄹㄹㄹㄹㄹㄹ">[9]!BlankMacro1</definedName>
    <definedName name="ㄹㄹㄹㄹㄹㄹㄹㄹㄹㄹㄹㄹㄹㄹㄹㄹㄹㄹㄹㄹㄹㄹㄹ">[9]!BlankMacro1</definedName>
    <definedName name="ㄹㅇㄻㄴㅇㄹ1234">#REF!</definedName>
    <definedName name="ㄹㅇ호호홓로">[9]!BlankMacro1</definedName>
    <definedName name="ㄹ옿롤">[9]!BlankMacro1</definedName>
    <definedName name="라인구분2">#REF!</definedName>
    <definedName name="러ㅏㅇ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러ㅏㅇ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롱ㅎ롷ㄹ로">[9]!BlankMacro1</definedName>
    <definedName name="롷">#REF!</definedName>
    <definedName name="루동">[9]!BlankMacro1</definedName>
    <definedName name="리빙">#REF!</definedName>
    <definedName name="리하미지치읽ㄹ">#REF!</definedName>
    <definedName name="ㄺ" localSheetId="1" hidden="1">{#N/A,#N/A,FALSE,"Aging Summary";#N/A,#N/A,FALSE,"Ratio Analysis";#N/A,#N/A,FALSE,"Test 120 Day Accts";#N/A,#N/A,FALSE,"Tickmarks"}</definedName>
    <definedName name="ㄺ" localSheetId="0" hidden="1">{#N/A,#N/A,FALSE,"Aging Summary";#N/A,#N/A,FALSE,"Ratio Analysis";#N/A,#N/A,FALSE,"Test 120 Day Accts";#N/A,#N/A,FALSE,"Tickmarks"}</definedName>
    <definedName name="ㄺ" localSheetId="2" hidden="1">{#N/A,#N/A,FALSE,"Aging Summary";#N/A,#N/A,FALSE,"Ratio Analysis";#N/A,#N/A,FALSE,"Test 120 Day Accts";#N/A,#N/A,FALSE,"Tickmarks"}</definedName>
    <definedName name="ㄺ" hidden="1">{#N/A,#N/A,FALSE,"Aging Summary";#N/A,#N/A,FALSE,"Ratio Analysis";#N/A,#N/A,FALSE,"Test 120 Day Accts";#N/A,#N/A,FALSE,"Tickmarks"}</definedName>
    <definedName name="ㅀ">#REF!</definedName>
    <definedName name="ㅁ" localSheetId="1" hidden="1">{#N/A,#N/A,FALSE,"95FW"}</definedName>
    <definedName name="ㅁ" localSheetId="0" hidden="1">{#N/A,#N/A,FALSE,"95FW"}</definedName>
    <definedName name="ㅁ" localSheetId="2" hidden="1">{#N/A,#N/A,FALSE,"95FW"}</definedName>
    <definedName name="ㅁ" hidden="1">{#N/A,#N/A,FALSE,"95FW"}</definedName>
    <definedName name="ㅁ1">#REF!</definedName>
    <definedName name="ㅁ130">[5]rs94!#REF!</definedName>
    <definedName name="ㅁㄴㅇ">#N/A</definedName>
    <definedName name="ㅁㄴㅇㄹ">[9]!BlankMacro1</definedName>
    <definedName name="ㅁㄴㅇㄹ1423123ㄴㄹㅇㅁㄻㄴㄹ14">[9]!BlankMacro1</definedName>
    <definedName name="ㅁㄴㅇㄻㄴㅇㄻㄴㄹ">[9]!BlankMacro1</definedName>
    <definedName name="ㅁㄴㅇㄻㄴㅇㄻㄴㅇㄹ" localSheetId="0" hidden="1">[4]시산표!#REF!</definedName>
    <definedName name="ㅁㄴㅇㄻㄴㅇㄻㄴㅇㄹ" hidden="1">[4]시산표!#REF!</definedName>
    <definedName name="ㅁㄴㅇㅁㄴㅇ" localSheetId="1" hidden="1">{#N/A,#N/A,FALSE,"재고현황";#N/A,#N/A,FALSE,"어음현황";#N/A,#N/A,FALSE,"생산계획";#N/A,#N/A,FALSE,"판매계획";#N/A,#N/A,FALSE,"수금계획서";#N/A,#N/A,FALSE,"요약손익"}</definedName>
    <definedName name="ㅁㄴㅇㅁㄴㅇ" localSheetId="0" hidden="1">{#N/A,#N/A,FALSE,"재고현황";#N/A,#N/A,FALSE,"어음현황";#N/A,#N/A,FALSE,"생산계획";#N/A,#N/A,FALSE,"판매계획";#N/A,#N/A,FALSE,"수금계획서";#N/A,#N/A,FALSE,"요약손익"}</definedName>
    <definedName name="ㅁㄴㅇㅁㄴㅇ" localSheetId="2" hidden="1">{#N/A,#N/A,FALSE,"재고현황";#N/A,#N/A,FALSE,"어음현황";#N/A,#N/A,FALSE,"생산계획";#N/A,#N/A,FALSE,"판매계획";#N/A,#N/A,FALSE,"수금계획서";#N/A,#N/A,FALSE,"요약손익"}</definedName>
    <definedName name="ㅁㄴㅇㅁㄴㅇ" hidden="1">{#N/A,#N/A,FALSE,"재고현황";#N/A,#N/A,FALSE,"어음현황";#N/A,#N/A,FALSE,"생산계획";#N/A,#N/A,FALSE,"판매계획";#N/A,#N/A,FALSE,"수금계획서";#N/A,#N/A,FALSE,"요약손익"}</definedName>
    <definedName name="ㅁㄴㅇㅎㄻㅇㄶㄻㅇㅎㄻ">[9]!BlankMacro1</definedName>
    <definedName name="ㅁㄴㅇㅎㄻㅇㅎㅁㅇㅎ">[9]!BlankMacro1</definedName>
    <definedName name="ㅁㅁ">#REF!</definedName>
    <definedName name="ㅁㅁㅁ">[9]!BlankMacro1</definedName>
    <definedName name="ㅁㅁㅁㅁ">[9]!BlankMacro1</definedName>
    <definedName name="ㅁㅁㅁㅁㅁ">#N/A</definedName>
    <definedName name="ㅁㅇㄴㅁㅇ">#REF!</definedName>
    <definedName name="ㅁㅇㄴㅇㅁㄴㅇ">#REF!</definedName>
    <definedName name="ㅁㅇㄻㅇㄹ" localSheetId="1" hidden="1">{#N/A,#N/A,FALSE,"재고현황";#N/A,#N/A,FALSE,"어음현황";#N/A,#N/A,FALSE,"생산계획";#N/A,#N/A,FALSE,"판매계획";#N/A,#N/A,FALSE,"수금계획서";#N/A,#N/A,FALSE,"요약손익"}</definedName>
    <definedName name="ㅁㅇㄻㅇㄹ" localSheetId="0" hidden="1">{#N/A,#N/A,FALSE,"재고현황";#N/A,#N/A,FALSE,"어음현황";#N/A,#N/A,FALSE,"생산계획";#N/A,#N/A,FALSE,"판매계획";#N/A,#N/A,FALSE,"수금계획서";#N/A,#N/A,FALSE,"요약손익"}</definedName>
    <definedName name="ㅁㅇㄻㅇㄹ" localSheetId="2" hidden="1">{#N/A,#N/A,FALSE,"재고현황";#N/A,#N/A,FALSE,"어음현황";#N/A,#N/A,FALSE,"생산계획";#N/A,#N/A,FALSE,"판매계획";#N/A,#N/A,FALSE,"수금계획서";#N/A,#N/A,FALSE,"요약손익"}</definedName>
    <definedName name="ㅁㅇㄻㅇㄹ" hidden="1">{#N/A,#N/A,FALSE,"재고현황";#N/A,#N/A,FALSE,"어음현황";#N/A,#N/A,FALSE,"생산계획";#N/A,#N/A,FALSE,"판매계획";#N/A,#N/A,FALSE,"수금계획서";#N/A,#N/A,FALSE,"요약손익"}</definedName>
    <definedName name="ㅁㅎㄹㅇㅀㄴㅇㅀㅁㄴㅇ롷ㄴ오">[9]!BlankMacro1</definedName>
    <definedName name="마가목R3">[25]데이타!$E$160</definedName>
    <definedName name="마가목R5">[25]데이타!$E$161</definedName>
    <definedName name="마가목R7">[25]데이타!$E$162</definedName>
    <definedName name="말발도리1003">[25]데이타!$E$163</definedName>
    <definedName name="말발도리1204">[25]데이타!$E$164</definedName>
    <definedName name="말발도리1506">[25]데이타!$E$165</definedName>
    <definedName name="매자0804">[25]데이타!$E$166</definedName>
    <definedName name="매자1005">[25]데이타!$E$167</definedName>
    <definedName name="매장_코드">#REF!</definedName>
    <definedName name="매장명">#REF!</definedName>
    <definedName name="매출">[36]과!#REF!</definedName>
    <definedName name="매출계획" localSheetId="1" hidden="1">{#N/A,#N/A,FALSE,"Aging Summary";#N/A,#N/A,FALSE,"Ratio Analysis";#N/A,#N/A,FALSE,"Test 120 Day Accts";#N/A,#N/A,FALSE,"Tickmarks"}</definedName>
    <definedName name="매출계획" localSheetId="0" hidden="1">{#N/A,#N/A,FALSE,"Aging Summary";#N/A,#N/A,FALSE,"Ratio Analysis";#N/A,#N/A,FALSE,"Test 120 Day Accts";#N/A,#N/A,FALSE,"Tickmarks"}</definedName>
    <definedName name="매출계획" localSheetId="2" hidden="1">{#N/A,#N/A,FALSE,"Aging Summary";#N/A,#N/A,FALSE,"Ratio Analysis";#N/A,#N/A,FALSE,"Test 120 Day Accts";#N/A,#N/A,FALSE,"Tickmarks"}</definedName>
    <definedName name="매출계획" hidden="1">{#N/A,#N/A,FALSE,"Aging Summary";#N/A,#N/A,FALSE,"Ratio Analysis";#N/A,#N/A,FALSE,"Test 120 Day Accts";#N/A,#N/A,FALSE,"Tickmarks"}</definedName>
    <definedName name="매출채권">#REF!</definedName>
    <definedName name="매화R10">[25]데이타!$E$174</definedName>
    <definedName name="매화R4">[25]데이타!$E$171</definedName>
    <definedName name="매화R6">[25]데이타!$E$172</definedName>
    <definedName name="매화R8">[25]데이타!$E$173</definedName>
    <definedName name="메타B10">[25]데이타!$E$179</definedName>
    <definedName name="메타B12">[25]데이타!$E$180</definedName>
    <definedName name="메타B15">[25]데이타!$E$181</definedName>
    <definedName name="메타B18">[25]데이타!$E$182</definedName>
    <definedName name="메타B4">[25]데이타!$E$175</definedName>
    <definedName name="메타B5">[25]데이타!$E$176</definedName>
    <definedName name="메타B6">[25]데이타!$E$177</definedName>
    <definedName name="메타B8">[25]데이타!$E$178</definedName>
    <definedName name="면적">#REF!</definedName>
    <definedName name="명세서">#REF!</definedName>
    <definedName name="명자0604">[25]데이타!$E$183</definedName>
    <definedName name="명자0805">[25]데이타!$E$184</definedName>
    <definedName name="명자1006">[25]데이타!$E$185</definedName>
    <definedName name="명자1208">[25]데이타!$E$186</definedName>
    <definedName name="모감주R10">[25]데이타!$E$190</definedName>
    <definedName name="모감주R4">[25]데이타!$E$187</definedName>
    <definedName name="모감주R6">[25]데이타!$E$188</definedName>
    <definedName name="모감주R8">[25]데이타!$E$189</definedName>
    <definedName name="모과2005">[25]데이타!$E$191</definedName>
    <definedName name="모과2507">[25]데이타!$E$192</definedName>
    <definedName name="모과R10">[25]데이타!$E$195</definedName>
    <definedName name="모과R12">[25]데이타!$E$196</definedName>
    <definedName name="모과R15">[25]데이타!$E$197</definedName>
    <definedName name="모과R20">[25]데이타!$E$198</definedName>
    <definedName name="모과R25">[25]데이타!$E$199</definedName>
    <definedName name="모과R5">[25]데이타!$E$193</definedName>
    <definedName name="모과R8">[25]데이타!$E$194</definedName>
    <definedName name="모델수량1">'[30]DB 2018 SS 1'!$G$3:$G$516</definedName>
    <definedName name="모델수량2">'[30]DB 2017 SS 2'!$G$3:$G$642</definedName>
    <definedName name="모란5가지">[25]데이타!$E$200</definedName>
    <definedName name="모란6가지">[25]데이타!$E$201</definedName>
    <definedName name="모르">#REF!</definedName>
    <definedName name="모름">[37]회사정보!$C$8</definedName>
    <definedName name="목련R10">[25]데이타!$E$206</definedName>
    <definedName name="목련R12">[25]데이타!$E$207</definedName>
    <definedName name="목련R15">[25]데이타!$E$208</definedName>
    <definedName name="목련R20">[25]데이타!$E$209</definedName>
    <definedName name="목련R4">[25]데이타!$E$202</definedName>
    <definedName name="목련R5">[25]데이타!$E$203</definedName>
    <definedName name="목련R6">[25]데이타!$E$204</definedName>
    <definedName name="목련R8">[25]데이타!$E$205</definedName>
    <definedName name="목서1506">[25]데이타!$E$213</definedName>
    <definedName name="목서2012">[25]데이타!$E$214</definedName>
    <definedName name="목서2515">[25]데이타!$E$215</definedName>
    <definedName name="목수국1006">[25]데이타!$E$210</definedName>
    <definedName name="목수국1208">[25]데이타!$E$211</definedName>
    <definedName name="목수국1510">[25]데이타!$E$212</definedName>
    <definedName name="몰라">#REF!</definedName>
    <definedName name="무궁화1003">[25]데이타!$E$216</definedName>
    <definedName name="무궁화1203">[25]데이타!$E$217</definedName>
    <definedName name="무궁화1504">[25]데이타!$E$218</definedName>
    <definedName name="무궁화1805">[25]데이타!$E$219</definedName>
    <definedName name="무궁화2006">[25]데이타!$E$220</definedName>
    <definedName name="무형자산" localSheetId="1" hidden="1">{#N/A,#N/A,FALSE,"Aging Summary";#N/A,#N/A,FALSE,"Ratio Analysis";#N/A,#N/A,FALSE,"Test 120 Day Accts";#N/A,#N/A,FALSE,"Tickmarks"}</definedName>
    <definedName name="무형자산" localSheetId="0" hidden="1">{#N/A,#N/A,FALSE,"Aging Summary";#N/A,#N/A,FALSE,"Ratio Analysis";#N/A,#N/A,FALSE,"Test 120 Day Accts";#N/A,#N/A,FALSE,"Tickmarks"}</definedName>
    <definedName name="무형자산" localSheetId="2" hidden="1">{#N/A,#N/A,FALSE,"Aging Summary";#N/A,#N/A,FALSE,"Ratio Analysis";#N/A,#N/A,FALSE,"Test 120 Day Accts";#N/A,#N/A,FALSE,"Tickmarks"}</definedName>
    <definedName name="무형자산" hidden="1">{#N/A,#N/A,FALSE,"Aging Summary";#N/A,#N/A,FALSE,"Ratio Analysis";#N/A,#N/A,FALSE,"Test 120 Day Accts";#N/A,#N/A,FALSE,"Tickmarks"}</definedName>
    <definedName name="문서">#REF!</definedName>
    <definedName name="물" localSheetId="1" hidden="1">{#N/A,#N/A,FALSE,"95FW"}</definedName>
    <definedName name="물" localSheetId="0" hidden="1">{#N/A,#N/A,FALSE,"95FW"}</definedName>
    <definedName name="물" localSheetId="2" hidden="1">{#N/A,#N/A,FALSE,"95FW"}</definedName>
    <definedName name="물" hidden="1">{#N/A,#N/A,FALSE,"95FW"}</definedName>
    <definedName name="물량확보">[9]!BlankMacro1</definedName>
    <definedName name="물량확보라고하네요">[9]!BlankMacro1</definedName>
    <definedName name="물량확보라고하니깐">[9]!BlankMacro1</definedName>
    <definedName name="물량확보라니까">[9]!BlankMacro1</definedName>
    <definedName name="물푸레R5">[25]데이타!$E$221</definedName>
    <definedName name="물푸레R6">[25]데이타!$E$222</definedName>
    <definedName name="물푸레R8">[25]데이타!$E$223</definedName>
    <definedName name="뭐야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뭐야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뭐야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뭐야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선0804">[25]데이타!$E$224</definedName>
    <definedName name="미선1206">[25]데이타!$E$225</definedName>
    <definedName name="미수금">#REF!</definedName>
    <definedName name="미지급금">#REF!</definedName>
    <definedName name="미지급비">#REF!</definedName>
    <definedName name="ㅂ" localSheetId="1" hidden="1">{#N/A,#N/A,FALSE,"95FW"}</definedName>
    <definedName name="ㅂ" localSheetId="0" hidden="1">{#N/A,#N/A,FALSE,"95FW"}</definedName>
    <definedName name="ㅂ" localSheetId="2" hidden="1">{#N/A,#N/A,FALSE,"95FW"}</definedName>
    <definedName name="ㅂ" hidden="1">{#N/A,#N/A,FALSE,"95FW"}</definedName>
    <definedName name="ㅂㅁ">#REF!</definedName>
    <definedName name="ㅂㅂ">#REF!</definedName>
    <definedName name="ㅂㅂㅂ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2" localSheetId="1" hidden="1">{"'9월'!$F$38"}</definedName>
    <definedName name="ㅂㅂㅂ2" localSheetId="0" hidden="1">{"'9월'!$F$38"}</definedName>
    <definedName name="ㅂㅂㅂ2" localSheetId="2" hidden="1">{"'9월'!$F$38"}</definedName>
    <definedName name="ㅂㅂㅂ2" hidden="1">{"'9월'!$F$38"}</definedName>
    <definedName name="ㅂㅈ">[9]!BlankMacro1</definedName>
    <definedName name="ㅂㅈㄷ">#N/A</definedName>
    <definedName name="반송1012">[25]데이타!$E$148</definedName>
    <definedName name="반송1215">[25]데이타!$E$149</definedName>
    <definedName name="반송1518">[25]데이타!$E$150</definedName>
    <definedName name="반송1520">[25]데이타!$E$151</definedName>
    <definedName name="반송2022">[25]데이타!$E$152</definedName>
    <definedName name="배분1차">#REF!</definedName>
    <definedName name="배분1차다">#REF!</definedName>
    <definedName name="배분조">#REF!</definedName>
    <definedName name="배분조정">#REF!</definedName>
    <definedName name="법인등록번호">[26]회사정보!$C$9</definedName>
    <definedName name="법인명_상호명">[26]회사정보!$C$6</definedName>
    <definedName name="보등">#REF!</definedName>
    <definedName name="보증금">#REF!</definedName>
    <definedName name="보통인부">[29]데이타!$E$659</definedName>
    <definedName name="보통인부B10">[25]식재인부!$C$24</definedName>
    <definedName name="보통인부B4이하">[25]식재인부!$C$18</definedName>
    <definedName name="보통인부B5">[25]식재인부!$C$19</definedName>
    <definedName name="보통인부B6">[25]식재인부!$C$20</definedName>
    <definedName name="보통인부B8">[25]식재인부!$C$22</definedName>
    <definedName name="보통인부R10">[25]식재인부!$C$54</definedName>
    <definedName name="보통인부R12">[25]식재인부!$C$56</definedName>
    <definedName name="보통인부R15">[25]식재인부!$C$59</definedName>
    <definedName name="보통인부R4이하">[25]식재인부!$C$48</definedName>
    <definedName name="보통인부R5">[25]식재인부!$C$49</definedName>
    <definedName name="보통인부R6">[25]식재인부!$C$50</definedName>
    <definedName name="보통인부R7">[25]식재인부!$C$51</definedName>
    <definedName name="보통인부R8">[25]식재인부!$C$52</definedName>
    <definedName name="복리">#REF!</definedName>
    <definedName name="본점팀별">#N/A</definedName>
    <definedName name="부가">#REF!</definedName>
    <definedName name="부동산">[38]회사정보!$C$9</definedName>
    <definedName name="부동산보유">[39]회사정보!$C$6</definedName>
    <definedName name="부동산보유명세서">[40]회사정보!$C$7</definedName>
    <definedName name="부산영업소" localSheetId="1" hidden="1">{"'9월'!$F$38"}</definedName>
    <definedName name="부산영업소" localSheetId="0" hidden="1">{"'9월'!$F$38"}</definedName>
    <definedName name="부산영업소" localSheetId="2" hidden="1">{"'9월'!$F$38"}</definedName>
    <definedName name="부산영업소" hidden="1">{"'9월'!$F$38"}</definedName>
    <definedName name="분당">[9]!BlankMacro1</definedName>
    <definedName name="블랙">#REF!</definedName>
    <definedName name="블랙마틴싯">[9]!BlankMacro1</definedName>
    <definedName name="ㅅ" localSheetId="1" hidden="1">{#N/A,#N/A,FALSE,"95FW"}</definedName>
    <definedName name="ㅅ" localSheetId="0" hidden="1">{#N/A,#N/A,FALSE,"95FW"}</definedName>
    <definedName name="ㅅ" localSheetId="2" hidden="1">{#N/A,#N/A,FALSE,"95FW"}</definedName>
    <definedName name="ㅅ" hidden="1">{#N/A,#N/A,FALSE,"95FW"}</definedName>
    <definedName name="ㅅㄳ골ㅇㅎ">[9]!BlankMacro1</definedName>
    <definedName name="ㅅㄽㅀ" localSheetId="1" hidden="1">{#N/A,#N/A,FALSE,"Aging Summary";#N/A,#N/A,FALSE,"Ratio Analysis";#N/A,#N/A,FALSE,"Test 120 Day Accts";#N/A,#N/A,FALSE,"Tickmarks"}</definedName>
    <definedName name="ㅅㄽㅀ" localSheetId="0" hidden="1">{#N/A,#N/A,FALSE,"Aging Summary";#N/A,#N/A,FALSE,"Ratio Analysis";#N/A,#N/A,FALSE,"Test 120 Day Accts";#N/A,#N/A,FALSE,"Tickmarks"}</definedName>
    <definedName name="ㅅㄽㅀ" localSheetId="2" hidden="1">{#N/A,#N/A,FALSE,"Aging Summary";#N/A,#N/A,FALSE,"Ratio Analysis";#N/A,#N/A,FALSE,"Test 120 Day Accts";#N/A,#N/A,FALSE,"Tickmarks"}</definedName>
    <definedName name="ㅅㄽㅀ" hidden="1">{#N/A,#N/A,FALSE,"Aging Summary";#N/A,#N/A,FALSE,"Ratio Analysis";#N/A,#N/A,FALSE,"Test 120 Day Accts";#N/A,#N/A,FALSE,"Tickmarks"}</definedName>
    <definedName name="사랑">[9]!BlankMacro1</definedName>
    <definedName name="사업" localSheetId="1" hidden="1">{#N/A,#N/A,FALSE,"Aging Summary";#N/A,#N/A,FALSE,"Ratio Analysis";#N/A,#N/A,FALSE,"Test 120 Day Accts";#N/A,#N/A,FALSE,"Tickmarks"}</definedName>
    <definedName name="사업" localSheetId="0" hidden="1">{#N/A,#N/A,FALSE,"Aging Summary";#N/A,#N/A,FALSE,"Ratio Analysis";#N/A,#N/A,FALSE,"Test 120 Day Accts";#N/A,#N/A,FALSE,"Tickmarks"}</definedName>
    <definedName name="사업" localSheetId="2" hidden="1">{#N/A,#N/A,FALSE,"Aging Summary";#N/A,#N/A,FALSE,"Ratio Analysis";#N/A,#N/A,FALSE,"Test 120 Day Accts";#N/A,#N/A,FALSE,"Tickmarks"}</definedName>
    <definedName name="사업" hidden="1">{#N/A,#N/A,FALSE,"Aging Summary";#N/A,#N/A,FALSE,"Ratio Analysis";#N/A,#N/A,FALSE,"Test 120 Day Accts";#N/A,#N/A,FALSE,"Tickmarks"}</definedName>
    <definedName name="사업자등록번호">[26]회사정보!$C$8</definedName>
    <definedName name="사전_부가세">[32]원가!$AC$4:$AC$281</definedName>
    <definedName name="사전_실판매가">[32]원가!$AA$4:$AA$281</definedName>
    <definedName name="사전_일반경비">[32]원가!$AD$4:$AD$281</definedName>
    <definedName name="사전_입금액">[32]원가!$AB$4:$AB$281</definedName>
    <definedName name="사전_총_생산금액">[32]원가!$T$4:$T$281</definedName>
    <definedName name="사전_총_순수원가">[32]원가!$S$4:$S$281</definedName>
    <definedName name="사전생산금액">#REF!</definedName>
    <definedName name="사전순수원가">#REF!</definedName>
    <definedName name="사후_부가세">[32]원가!$AS$4:$AS$281</definedName>
    <definedName name="사후_실판매가">[32]원가!$AQ$4:$AQ$281</definedName>
    <definedName name="사후_일반경비">[32]원가!$AT$4:$AT$281</definedName>
    <definedName name="사후_입금액">[32]원가!$AR$4:$AR$281</definedName>
    <definedName name="사후_총_생산금액">[32]원가!$AJ$4:$AJ$281</definedName>
    <definedName name="사후_총_순수원가">[32]원가!$AI$4:$AI$281</definedName>
    <definedName name="산재">#REF!</definedName>
    <definedName name="상1">#REF!</definedName>
    <definedName name="상2">#REF!</definedName>
    <definedName name="상3">#REF!</definedName>
    <definedName name="상4">#REF!</definedName>
    <definedName name="상5">#REF!</definedName>
    <definedName name="상권_등급">#REF!</definedName>
    <definedName name="상품매출액">#REF!</definedName>
    <definedName name="상품매출원가">#N/A</definedName>
    <definedName name="상품세부계획안">#REF!</definedName>
    <definedName name="생">'[5]97사업'!#REF!</definedName>
    <definedName name="생산원가2">#REF!</definedName>
    <definedName name="생산원가4">#REF!</definedName>
    <definedName name="생산처표">#REF!</definedName>
    <definedName name="생활관">#REF!</definedName>
    <definedName name="서현점">#REF!</definedName>
    <definedName name="선급">#REF!</definedName>
    <definedName name="선급비용">#REF!</definedName>
    <definedName name="선수금">#REF!</definedName>
    <definedName name="선수금2">#REF!</definedName>
    <definedName name="성별구분">#REF!</definedName>
    <definedName name="성별구분1">'[30]DB 2018 SS 1'!$B$3:$B$516</definedName>
    <definedName name="성별구분2">'[30]DB 2017 SS 2'!$B$3:$B$642</definedName>
    <definedName name="세대수">[18]공사개요!$H$33</definedName>
    <definedName name="세부계획">[41]건재양식!$A$1:$I$38</definedName>
    <definedName name="세세목">#REF!</definedName>
    <definedName name="세율">#REF!</definedName>
    <definedName name="소">#REF!</definedName>
    <definedName name="소모">#REF!</definedName>
    <definedName name="손익">#REF!</definedName>
    <definedName name="손익현황">[9]!BlankMacro1</definedName>
    <definedName name="쇼ㅓㅜㄳ구">[9]!BlankMacro1</definedName>
    <definedName name="쇼ㅕ">#N/A</definedName>
    <definedName name="수량판매율2">#REF!</definedName>
    <definedName name="수량판매율4">#REF!</definedName>
    <definedName name="수언">[42]회사정보!$C$8</definedName>
    <definedName name="수정자료2">#REF!</definedName>
    <definedName name="숙제" localSheetId="0" hidden="1">#REF!</definedName>
    <definedName name="숙제" hidden="1">#REF!</definedName>
    <definedName name="순위4">#REF!</definedName>
    <definedName name="순위5">'[30]2018 전주 판매'!$C$3:$C$516</definedName>
    <definedName name="순천_연향_1차">#REF!</definedName>
    <definedName name="순천점">#REF!</definedName>
    <definedName name="순천킴스">#REF!</definedName>
    <definedName name="슈페리어">#REF!</definedName>
    <definedName name="시즌구분">#REF!</definedName>
    <definedName name="시즌구분1">'[30]DB 2018 SS 1'!$E$3:$E$516</definedName>
    <definedName name="시즌구분2">'[30]DB 2017 SS 2'!$E$3:$E$642</definedName>
    <definedName name="시즌별매출계획" localSheetId="1" hidden="1">{#N/A,#N/A,FALSE,"Aging Summary";#N/A,#N/A,FALSE,"Ratio Analysis";#N/A,#N/A,FALSE,"Test 120 Day Accts";#N/A,#N/A,FALSE,"Tickmarks"}</definedName>
    <definedName name="시즌별매출계획" localSheetId="0" hidden="1">{#N/A,#N/A,FALSE,"Aging Summary";#N/A,#N/A,FALSE,"Ratio Analysis";#N/A,#N/A,FALSE,"Test 120 Day Accts";#N/A,#N/A,FALSE,"Tickmarks"}</definedName>
    <definedName name="시즌별매출계획" localSheetId="2" hidden="1">{#N/A,#N/A,FALSE,"Aging Summary";#N/A,#N/A,FALSE,"Ratio Analysis";#N/A,#N/A,FALSE,"Test 120 Day Accts";#N/A,#N/A,FALSE,"Tickmarks"}</definedName>
    <definedName name="시즌별매출계획" hidden="1">{#N/A,#N/A,FALSE,"Aging Summary";#N/A,#N/A,FALSE,"Ratio Analysis";#N/A,#N/A,FALSE,"Test 120 Day Accts";#N/A,#N/A,FALSE,"Tickmarks"}</definedName>
    <definedName name="시즌판매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즌판매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즌판매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시즌판매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입금액">[33]DB!$AC$3:$AC$1203</definedName>
    <definedName name="실입금합계2">[33]DB2!$L$3:$L$1218</definedName>
    <definedName name="실적">#REF!</definedName>
    <definedName name="실제실적" localSheetId="0" hidden="1">#REF!</definedName>
    <definedName name="실제실적" hidden="1">#REF!</definedName>
    <definedName name="실판매금액">[33]DB!$AB$3:$AB$1203</definedName>
    <definedName name="실판매금액1">'[30]DB 2018 SS 1'!$AK$3:$AK$516</definedName>
    <definedName name="실판매금액2">'[30]DB 2017 SS 2'!$AK$3:$AK$642</definedName>
    <definedName name="실판매금액3">'[30]2018 금주 판매'!$AC$3:$AC$516</definedName>
    <definedName name="실판매금액4">'[30]2017 주간 4'!$AC$3:$AC$642</definedName>
    <definedName name="실판매금액5">'[30]2018 전주 판매'!$AC$3:$AC$516</definedName>
    <definedName name="실판합계2">[33]DB2!$K$3:$K$1218</definedName>
    <definedName name="ㅇ">[9]!BlankMacro1</definedName>
    <definedName name="ㅇ296">#REF!</definedName>
    <definedName name="ㅇㄴ">#REF!</definedName>
    <definedName name="ㅇㄴㅁㅇㅁㅇ">#N/A</definedName>
    <definedName name="ㅇㄴㅅ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ㄴㅅ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ㄴㅅ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ㄴㅅ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ㅇㄹ">[9]!BlankMacro1</definedName>
    <definedName name="ㅇㄹㅇㄹㅇㄹ">#REF!</definedName>
    <definedName name="ㅇㄹㅇㅇ">[9]!BlankMacro1</definedName>
    <definedName name="ㅇㄹ홀">[9]!BlankMacro1</definedName>
    <definedName name="ㅇㄹ홀호">[9]!BlankMacro1</definedName>
    <definedName name="ㅇㄹ홍ㅀ">[9]!BlankMacro1</definedName>
    <definedName name="ㅇ렁ㄹ호ㅠㅎ로홓류로">[9]!BlankMacro1</definedName>
    <definedName name="ㅇ렁렁ㄹ홍ㅀ">[9]!BlankMacro1</definedName>
    <definedName name="ㅇ로ㅓㅇ로ㅓㅇ루ㅗㅇㄹ호ㅜ휴">[9]!BlankMacro1</definedName>
    <definedName name="ㅇ로ㅓㅇㅀㅎ롱ㄹ">[9]!BlankMacro1</definedName>
    <definedName name="ㅇ롱ㄴㄹ">[9]!BlankMacro1</definedName>
    <definedName name="ㅇ롱ㄹ홓">[9]!BlankMacro1</definedName>
    <definedName name="ㅇ롱로ㅓㅇ호ㅓㅇㄹ허ㅜ">[9]!BlankMacro1</definedName>
    <definedName name="ㅇ롷">[9]!BlankMacro1</definedName>
    <definedName name="ㅇㅀ">#N/A</definedName>
    <definedName name="ㅇㅁㄹㅇ" localSheetId="1" hidden="1">{#N/A,#N/A,FALSE,"재고현황";#N/A,#N/A,FALSE,"어음현황";#N/A,#N/A,FALSE,"생산계획";#N/A,#N/A,FALSE,"판매계획";#N/A,#N/A,FALSE,"수금계획서";#N/A,#N/A,FALSE,"요약손익"}</definedName>
    <definedName name="ㅇㅁㄹㅇ" localSheetId="0" hidden="1">{#N/A,#N/A,FALSE,"재고현황";#N/A,#N/A,FALSE,"어음현황";#N/A,#N/A,FALSE,"생산계획";#N/A,#N/A,FALSE,"판매계획";#N/A,#N/A,FALSE,"수금계획서";#N/A,#N/A,FALSE,"요약손익"}</definedName>
    <definedName name="ㅇㅁㄹㅇ" localSheetId="2" hidden="1">{#N/A,#N/A,FALSE,"재고현황";#N/A,#N/A,FALSE,"어음현황";#N/A,#N/A,FALSE,"생산계획";#N/A,#N/A,FALSE,"판매계획";#N/A,#N/A,FALSE,"수금계획서";#N/A,#N/A,FALSE,"요약손익"}</definedName>
    <definedName name="ㅇㅁㄹㅇ" hidden="1">{#N/A,#N/A,FALSE,"재고현황";#N/A,#N/A,FALSE,"어음현황";#N/A,#N/A,FALSE,"생산계획";#N/A,#N/A,FALSE,"판매계획";#N/A,#N/A,FALSE,"수금계획서";#N/A,#N/A,FALSE,"요약손익"}</definedName>
    <definedName name="ㅇㅇ">[43]회사정보!$C$8</definedName>
    <definedName name="ㅇㅇㅇ">#REF!</definedName>
    <definedName name="ㅇㅇㅇㅇㅇ" localSheetId="1" hidden="1">{"'9월'!$F$38"}</definedName>
    <definedName name="ㅇㅇㅇㅇㅇ" localSheetId="0" hidden="1">{"'9월'!$F$38"}</definedName>
    <definedName name="ㅇㅇㅇㅇㅇ" localSheetId="2" hidden="1">{"'9월'!$F$38"}</definedName>
    <definedName name="ㅇㅇㅇㅇㅇ" hidden="1">{"'9월'!$F$38"}</definedName>
    <definedName name="ㅇㅇㅇㅇㅇㅇㅇㅇㅇㅇㅇㅇㅇㅇㅇㅇ" localSheetId="0" hidden="1">#REF!</definedName>
    <definedName name="ㅇㅇㅇㅇㅇㅇㅇㅇㅇㅇㅇㅇㅇㅇㅇㅇ" hidden="1">#REF!</definedName>
    <definedName name="ㅇㅎ롨">[9]!BlankMacro1</definedName>
    <definedName name="아아라ㅏ">[44]회사정보!$C$6</definedName>
    <definedName name="아앙">[9]!BlankMacro1</definedName>
    <definedName name="아이템">#N/A</definedName>
    <definedName name="아이템2">#REF!</definedName>
    <definedName name="아이템4">#REF!</definedName>
    <definedName name="아이템구분">#REF!</definedName>
    <definedName name="아이템구분1">'[30]DB 2018 SS 1'!$F$3:$F$516</definedName>
    <definedName name="아이템구분2">'[30]DB 2017 SS 2'!$F$3:$F$642</definedName>
    <definedName name="안전">#REF!</definedName>
    <definedName name="안전관리비">[45]공사개요!$C$5</definedName>
    <definedName name="안전본봉">#REF!</definedName>
    <definedName name="앙아">[9]!BlankMacro1</definedName>
    <definedName name="애인7">[46]!애인7</definedName>
    <definedName name="야옹이">[9]!BlankMacro1</definedName>
    <definedName name="양매자0403">[25]데이타!$E$168</definedName>
    <definedName name="양매자0505">[25]데이타!$E$169</definedName>
    <definedName name="양매자0606">[25]데이타!$E$170</definedName>
    <definedName name="양식">#REF!</definedName>
    <definedName name="어ㅏ아앙">[9]!BlankMacro1</definedName>
    <definedName name="업무" localSheetId="1" hidden="1">{"'9월'!$F$38"}</definedName>
    <definedName name="업무" localSheetId="0" hidden="1">{"'9월'!$F$38"}</definedName>
    <definedName name="업무" localSheetId="2" hidden="1">{"'9월'!$F$38"}</definedName>
    <definedName name="업무" hidden="1">{"'9월'!$F$38"}</definedName>
    <definedName name="여3">[27]데이터!$C$45:$L$51</definedName>
    <definedName name="여4">[27]데이터!$C$52:$L$58</definedName>
    <definedName name="여5">[27]데이터!$C$59:$L$65</definedName>
    <definedName name="여6">[27]데이터!$C$66:$L$72</definedName>
    <definedName name="여7">[27]데이터!$C$73:$L$79</definedName>
    <definedName name="여8">[27]데이터!$C$80:$L$86</definedName>
    <definedName name="연수1">[47]회사정보!$C$8</definedName>
    <definedName name="엿">[9]!BlankMacro1</definedName>
    <definedName name="영업개발" localSheetId="1" hidden="1">{#N/A,#N/A,FALSE,"재고현황";#N/A,#N/A,FALSE,"어음현황";#N/A,#N/A,FALSE,"생산계획";#N/A,#N/A,FALSE,"판매계획";#N/A,#N/A,FALSE,"수금계획서";#N/A,#N/A,FALSE,"요약손익"}</definedName>
    <definedName name="영업개발" localSheetId="0" hidden="1">{#N/A,#N/A,FALSE,"재고현황";#N/A,#N/A,FALSE,"어음현황";#N/A,#N/A,FALSE,"생산계획";#N/A,#N/A,FALSE,"판매계획";#N/A,#N/A,FALSE,"수금계획서";#N/A,#N/A,FALSE,"요약손익"}</definedName>
    <definedName name="영업개발" localSheetId="2" hidden="1">{#N/A,#N/A,FALSE,"재고현황";#N/A,#N/A,FALSE,"어음현황";#N/A,#N/A,FALSE,"생산계획";#N/A,#N/A,FALSE,"판매계획";#N/A,#N/A,FALSE,"수금계획서";#N/A,#N/A,FALSE,"요약손익"}</definedName>
    <definedName name="영업개발" hidden="1">{#N/A,#N/A,FALSE,"재고현황";#N/A,#N/A,FALSE,"어음현황";#N/A,#N/A,FALSE,"생산계획";#N/A,#N/A,FALSE,"판매계획";#N/A,#N/A,FALSE,"수금계획서";#N/A,#N/A,FALSE,"요약손익"}</definedName>
    <definedName name="영업개발2" localSheetId="1" hidden="1">{#N/A,#N/A,FALSE,"재고현황";#N/A,#N/A,FALSE,"어음현황";#N/A,#N/A,FALSE,"생산계획";#N/A,#N/A,FALSE,"판매계획";#N/A,#N/A,FALSE,"수금계획서";#N/A,#N/A,FALSE,"요약손익"}</definedName>
    <definedName name="영업개발2" localSheetId="0" hidden="1">{#N/A,#N/A,FALSE,"재고현황";#N/A,#N/A,FALSE,"어음현황";#N/A,#N/A,FALSE,"생산계획";#N/A,#N/A,FALSE,"판매계획";#N/A,#N/A,FALSE,"수금계획서";#N/A,#N/A,FALSE,"요약손익"}</definedName>
    <definedName name="영업개발2" localSheetId="2" hidden="1">{#N/A,#N/A,FALSE,"재고현황";#N/A,#N/A,FALSE,"어음현황";#N/A,#N/A,FALSE,"생산계획";#N/A,#N/A,FALSE,"판매계획";#N/A,#N/A,FALSE,"수금계획서";#N/A,#N/A,FALSE,"요약손익"}</definedName>
    <definedName name="영업개발2" hidden="1">{#N/A,#N/A,FALSE,"재고현황";#N/A,#N/A,FALSE,"어음현황";#N/A,#N/A,FALSE,"생산계획";#N/A,#N/A,FALSE,"판매계획";#N/A,#N/A,FALSE,"수금계획서";#N/A,#N/A,FALSE,"요약손익"}</definedName>
    <definedName name="영업계획" localSheetId="1" hidden="1">{#N/A,#N/A,FALSE,"재고현황";#N/A,#N/A,FALSE,"어음현황";#N/A,#N/A,FALSE,"생산계획";#N/A,#N/A,FALSE,"판매계획";#N/A,#N/A,FALSE,"수금계획서";#N/A,#N/A,FALSE,"요약손익"}</definedName>
    <definedName name="영업계획" localSheetId="0" hidden="1">{#N/A,#N/A,FALSE,"재고현황";#N/A,#N/A,FALSE,"어음현황";#N/A,#N/A,FALSE,"생산계획";#N/A,#N/A,FALSE,"판매계획";#N/A,#N/A,FALSE,"수금계획서";#N/A,#N/A,FALSE,"요약손익"}</definedName>
    <definedName name="영업계획" localSheetId="2" hidden="1">{#N/A,#N/A,FALSE,"재고현황";#N/A,#N/A,FALSE,"어음현황";#N/A,#N/A,FALSE,"생산계획";#N/A,#N/A,FALSE,"판매계획";#N/A,#N/A,FALSE,"수금계획서";#N/A,#N/A,FALSE,"요약손익"}</definedName>
    <definedName name="영업계획" hidden="1">{#N/A,#N/A,FALSE,"재고현황";#N/A,#N/A,FALSE,"어음현황";#N/A,#N/A,FALSE,"생산계획";#N/A,#N/A,FALSE,"판매계획";#N/A,#N/A,FALSE,"수금계획서";#N/A,#N/A,FALSE,"요약손익"}</definedName>
    <definedName name="영업외손익">#N/A</definedName>
    <definedName name="예">#REF!</definedName>
    <definedName name="예상마감" localSheetId="1" hidden="1">{"'9월'!$F$38"}</definedName>
    <definedName name="예상마감" localSheetId="0" hidden="1">{"'9월'!$F$38"}</definedName>
    <definedName name="예상마감" localSheetId="2" hidden="1">{"'9월'!$F$38"}</definedName>
    <definedName name="예상마감" hidden="1">{"'9월'!$F$38"}</definedName>
    <definedName name="예상판매율">'[30]예상판매율 10'!$B$2:$E$41</definedName>
    <definedName name="예수보증금">#REF!</definedName>
    <definedName name="예수보증금내꺼">#REF!</definedName>
    <definedName name="오">#REF!</definedName>
    <definedName name="오대산">[38]회사정보!$C$7</definedName>
    <definedName name="오대산점">#REF!</definedName>
    <definedName name="오더">[48]원가!$H$4:$H$268</definedName>
    <definedName name="오더1">'[30]DB 2018 SS 1'!$N$3:$N$516</definedName>
    <definedName name="오더2">#REF!</definedName>
    <definedName name="오더3">'[30]2018 금주 판매'!$F$3:$F$516</definedName>
    <definedName name="오더4">'[30]2017 주간 4'!$F$3:$F$642</definedName>
    <definedName name="오더5">'[30]2018 전주 판매'!$F$3:$F$516</definedName>
    <definedName name="오더9">'[30]입고일자 9'!$D$2:$D$1517</definedName>
    <definedName name="오더분석1">#REF!</definedName>
    <definedName name="오알">#REF!</definedName>
    <definedName name="오일">#REF!</definedName>
    <definedName name="오코오오라일훟">[9]!BlankMacro1</definedName>
    <definedName name="완서주택견본">#REF!</definedName>
    <definedName name="완성">#REF!</definedName>
    <definedName name="완성주태">#REF!</definedName>
    <definedName name="완성주택">#REF!</definedName>
    <definedName name="완성주택2">[49]회사정보!$C$7</definedName>
    <definedName name="외상매입금">#REF!</definedName>
    <definedName name="용">[9]!BlankMacro1</definedName>
    <definedName name="용지">#REF!</definedName>
    <definedName name="용지21">#REF!</definedName>
    <definedName name="용지거">#REF!</definedName>
    <definedName name="운반">#REF!</definedName>
    <definedName name="울" localSheetId="1" hidden="1">{"'9월'!$F$38"}</definedName>
    <definedName name="울" localSheetId="0" hidden="1">{"'9월'!$F$38"}</definedName>
    <definedName name="울" localSheetId="2" hidden="1">{"'9월'!$F$38"}</definedName>
    <definedName name="울" hidden="1">{"'9월'!$F$38"}</definedName>
    <definedName name="원">[50]회사정보!$C$8</definedName>
    <definedName name="원가">#N/A</definedName>
    <definedName name="원가1">[51]회사정보!$C$7</definedName>
    <definedName name="원가11">#REF!</definedName>
    <definedName name="원가표">[30]참조!$T:$AB</definedName>
    <definedName name="원금">#REF!</definedName>
    <definedName name="원본2" localSheetId="0" hidden="1">#REF!</definedName>
    <definedName name="원본2" hidden="1">#REF!</definedName>
    <definedName name="월간계획양식">[9]!BlankMacro1</definedName>
    <definedName name="월구분">[27]Sheet1!$D$3:$D$1659</definedName>
    <definedName name="월누계" localSheetId="1" hidden="1">{"'9월'!$F$38"}</definedName>
    <definedName name="월누계" localSheetId="0" hidden="1">{"'9월'!$F$38"}</definedName>
    <definedName name="월누계" localSheetId="2" hidden="1">{"'9월'!$F$38"}</definedName>
    <definedName name="월누계" hidden="1">{"'9월'!$F$38"}</definedName>
    <definedName name="월별판매율" localSheetId="0" hidden="1">#REF!</definedName>
    <definedName name="월별판매율" hidden="1">#REF!</definedName>
    <definedName name="유가">#REF!</definedName>
    <definedName name="유가증권" localSheetId="1" hidden="1">{#N/A,#N/A,FALSE,"Aging Summary";#N/A,#N/A,FALSE,"Ratio Analysis";#N/A,#N/A,FALSE,"Test 120 Day Accts";#N/A,#N/A,FALSE,"Tickmarks"}</definedName>
    <definedName name="유가증권" localSheetId="0" hidden="1">{#N/A,#N/A,FALSE,"Aging Summary";#N/A,#N/A,FALSE,"Ratio Analysis";#N/A,#N/A,FALSE,"Test 120 Day Accts";#N/A,#N/A,FALSE,"Tickmarks"}</definedName>
    <definedName name="유가증권" localSheetId="2" hidden="1">{#N/A,#N/A,FALSE,"Aging Summary";#N/A,#N/A,FALSE,"Ratio Analysis";#N/A,#N/A,FALSE,"Test 120 Day Accts";#N/A,#N/A,FALSE,"Tickmarks"}</definedName>
    <definedName name="유가증권" hidden="1">{#N/A,#N/A,FALSE,"Aging Summary";#N/A,#N/A,FALSE,"Ratio Analysis";#N/A,#N/A,FALSE,"Test 120 Day Accts";#N/A,#N/A,FALSE,"Tickmarks"}</definedName>
    <definedName name="유통">#REF!</definedName>
    <definedName name="유통_계획">#REF!</definedName>
    <definedName name="유통_구분">#REF!</definedName>
    <definedName name="유통구분">#REF!</definedName>
    <definedName name="유통별매출">'[3]8S발주관리대장'!#REF!</definedName>
    <definedName name="유형자산">[38]회사정보!$C$7</definedName>
    <definedName name="유형자산처분">[40]회사정보!$C$7</definedName>
    <definedName name="유형자산처분1">[40]회사정보!$C$6</definedName>
    <definedName name="유형자산처분손익명세">#REF!</definedName>
    <definedName name="이" localSheetId="1" hidden="1">{"'9월'!$F$38"}</definedName>
    <definedName name="이" localSheetId="0" hidden="1">{"'9월'!$F$38"}</definedName>
    <definedName name="이" localSheetId="2" hidden="1">{"'9월'!$F$38"}</definedName>
    <definedName name="이" hidden="1">{"'9월'!$F$38"}</definedName>
    <definedName name="이공구가설비">#REF!</definedName>
    <definedName name="이공구간접노무비">#REF!</definedName>
    <definedName name="이공구공사원가">#REF!</definedName>
    <definedName name="이공구기타경비">#REF!</definedName>
    <definedName name="이공구부가가치세">'[34]2공구산출내역'!#REF!</definedName>
    <definedName name="이공구산재보험료">#REF!</definedName>
    <definedName name="이공구안전관리비">#REF!</definedName>
    <definedName name="이공구이윤">#REF!</definedName>
    <definedName name="이공구일반관리비">#REF!</definedName>
    <definedName name="이름">[12]admin!$E$2</definedName>
    <definedName name="이름2">[9]!BlankMacro1</definedName>
    <definedName name="이문재">#REF!</definedName>
    <definedName name="이미">#REF!</definedName>
    <definedName name="이벤트2">[9]!BlankMacro1</definedName>
    <definedName name="이승필" localSheetId="1" hidden="1">{"'9월'!$F$38"}</definedName>
    <definedName name="이승필" localSheetId="0" hidden="1">{"'9월'!$F$38"}</definedName>
    <definedName name="이승필" localSheetId="2" hidden="1">{"'9월'!$F$38"}</definedName>
    <definedName name="이승필" hidden="1">{"'9월'!$F$38"}</definedName>
    <definedName name="이윤">#REF!</definedName>
    <definedName name="이자">#REF!</definedName>
    <definedName name="이자비용">#REF!</definedName>
    <definedName name="이자율">#REF!</definedName>
    <definedName name="이층">[9]!BlankMacro1</definedName>
    <definedName name="인쇄01">#REF!</definedName>
    <definedName name="인수자안">#REF!</definedName>
    <definedName name="인천킴스">#REF!</definedName>
    <definedName name="일공구직영비">#REF!</definedName>
    <definedName name="일므" localSheetId="1" hidden="1">{#N/A,#N/A,FALSE,"재고현황";#N/A,#N/A,FALSE,"어음현황";#N/A,#N/A,FALSE,"생산계획";#N/A,#N/A,FALSE,"판매계획";#N/A,#N/A,FALSE,"수금계획서";#N/A,#N/A,FALSE,"요약손익"}</definedName>
    <definedName name="일므" localSheetId="0" hidden="1">{#N/A,#N/A,FALSE,"재고현황";#N/A,#N/A,FALSE,"어음현황";#N/A,#N/A,FALSE,"생산계획";#N/A,#N/A,FALSE,"판매계획";#N/A,#N/A,FALSE,"수금계획서";#N/A,#N/A,FALSE,"요약손익"}</definedName>
    <definedName name="일므" localSheetId="2" hidden="1">{#N/A,#N/A,FALSE,"재고현황";#N/A,#N/A,FALSE,"어음현황";#N/A,#N/A,FALSE,"생산계획";#N/A,#N/A,FALSE,"판매계획";#N/A,#N/A,FALSE,"수금계획서";#N/A,#N/A,FALSE,"요약손익"}</definedName>
    <definedName name="일므" hidden="1">{#N/A,#N/A,FALSE,"재고현황";#N/A,#N/A,FALSE,"어음현황";#N/A,#N/A,FALSE,"생산계획";#N/A,#N/A,FALSE,"판매계획";#N/A,#N/A,FALSE,"수금계획서";#N/A,#N/A,FALSE,"요약손익"}</definedName>
    <definedName name="일반">#REF!</definedName>
    <definedName name="일반경비3">[33]참조!$H$3:$H$6</definedName>
    <definedName name="일산점">#REF!</definedName>
    <definedName name="일산푸드몰">#REF!</definedName>
    <definedName name="임대">#REF!</definedName>
    <definedName name="임대보증금">[52]회사정보!$C$8</definedName>
    <definedName name="임대보증금2">[53]회사정보!$C$7</definedName>
    <definedName name="임시">[54]T48a!$D$64,[54]T48a!$E$57,[54]T48a!$D$36,[54]T48a!$D$28,[54]T48a!$D$16</definedName>
    <definedName name="입고2">[33]DB2!$H$3:$H$1218</definedName>
    <definedName name="입고금액">[33]DB!$R$3:$R$1203</definedName>
    <definedName name="입고금액1">'[30]DB 2018 SS 1'!$AN$3:$AN$516</definedName>
    <definedName name="입고금액2">'[30]DB 2017 SS 2'!$AN$3:$AN$642</definedName>
    <definedName name="입고금액4">#REF!</definedName>
    <definedName name="입고량">#REF!</definedName>
    <definedName name="입고량1">[32]오더분석1!$N$3:$N$1664</definedName>
    <definedName name="입고생산금액">#REF!</definedName>
    <definedName name="입고순수원가">#REF!</definedName>
    <definedName name="입고원가">[33]DB!$Q$3:$Q$1203</definedName>
    <definedName name="입고원가1">'[30]DB 2018 SS 1'!$H$3:$H$516</definedName>
    <definedName name="입고원가2">'[30]DB 2017 SS 2'!$H$3:$H$642</definedName>
    <definedName name="ㅈㄷ3">#REF!</definedName>
    <definedName name="ㅈㄷㄱ">#N/A</definedName>
    <definedName name="ㅈㅈ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ㅈㅈ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ㅈㅈ" localSheetId="2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ㅈ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ㅈㅈㅈㅈㅈㅈㅈㅈㅈㅈㅈㅈㅈㅈㅈ">[9]!BlankMacro1</definedName>
    <definedName name="자료">#REF!</definedName>
    <definedName name="자본금" localSheetId="1" hidden="1">{#N/A,#N/A,FALSE,"Aging Summary";#N/A,#N/A,FALSE,"Ratio Analysis";#N/A,#N/A,FALSE,"Test 120 Day Accts";#N/A,#N/A,FALSE,"Tickmarks"}</definedName>
    <definedName name="자본금" localSheetId="0" hidden="1">{#N/A,#N/A,FALSE,"Aging Summary";#N/A,#N/A,FALSE,"Ratio Analysis";#N/A,#N/A,FALSE,"Test 120 Day Accts";#N/A,#N/A,FALSE,"Tickmarks"}</definedName>
    <definedName name="자본금" localSheetId="2" hidden="1">{#N/A,#N/A,FALSE,"Aging Summary";#N/A,#N/A,FALSE,"Ratio Analysis";#N/A,#N/A,FALSE,"Test 120 Day Accts";#N/A,#N/A,FALSE,"Tickmarks"}</definedName>
    <definedName name="자본금" hidden="1">{#N/A,#N/A,FALSE,"Aging Summary";#N/A,#N/A,FALSE,"Ratio Analysis";#N/A,#N/A,FALSE,"Test 120 Day Accts";#N/A,#N/A,FALSE,"Tickmarks"}</definedName>
    <definedName name="자산">#REF!</definedName>
    <definedName name="자자">[9]!BlankMacro1</definedName>
    <definedName name="자자자">[9]!BlankMacro1</definedName>
    <definedName name="작성일">[55]ADMIN!$G$2</definedName>
    <definedName name="작성자">[55]ADMIN!$E$2</definedName>
    <definedName name="잔여배분">#REF!</definedName>
    <definedName name="잔여배분2">#REF!</definedName>
    <definedName name="잔여배분3">#REF!</definedName>
    <definedName name="잔여배분4">#REF!</definedName>
    <definedName name="잡이익">[56]회사정보!$C$7</definedName>
    <definedName name="장">[9]!BlankMacro1</definedName>
    <definedName name="장기차">[57]회사정보!$C$6</definedName>
    <definedName name="재">#REF!</definedName>
    <definedName name="재고1">[51]회사정보!$C$6</definedName>
    <definedName name="재고금액2">#REF!</definedName>
    <definedName name="재고금액4">#REF!</definedName>
    <definedName name="재고원가">[58]회사정보!$C$8</definedName>
    <definedName name="재열" localSheetId="1" hidden="1">{#N/A,#N/A,FALSE,"재고현황";#N/A,#N/A,FALSE,"어음현황";#N/A,#N/A,FALSE,"생산계획";#N/A,#N/A,FALSE,"판매계획";#N/A,#N/A,FALSE,"수금계획서";#N/A,#N/A,FALSE,"요약손익"}</definedName>
    <definedName name="재열" localSheetId="0" hidden="1">{#N/A,#N/A,FALSE,"재고현황";#N/A,#N/A,FALSE,"어음현황";#N/A,#N/A,FALSE,"생산계획";#N/A,#N/A,FALSE,"판매계획";#N/A,#N/A,FALSE,"수금계획서";#N/A,#N/A,FALSE,"요약손익"}</definedName>
    <definedName name="재열" localSheetId="2" hidden="1">{#N/A,#N/A,FALSE,"재고현황";#N/A,#N/A,FALSE,"어음현황";#N/A,#N/A,FALSE,"생산계획";#N/A,#N/A,FALSE,"판매계획";#N/A,#N/A,FALSE,"수금계획서";#N/A,#N/A,FALSE,"요약손익"}</definedName>
    <definedName name="재열" hidden="1">{#N/A,#N/A,FALSE,"재고현황";#N/A,#N/A,FALSE,"어음현황";#N/A,#N/A,FALSE,"생산계획";#N/A,#N/A,FALSE,"판매계획";#N/A,#N/A,FALSE,"수금계획서";#N/A,#N/A,FALSE,"요약손익"}</definedName>
    <definedName name="저장품">#REF!</definedName>
    <definedName name="적용">#REF!</definedName>
    <definedName name="적용1">#REF!</definedName>
    <definedName name="전">[9]!BlankMacro1</definedName>
    <definedName name="전개">[9]!BlankMacro1</definedName>
    <definedName name="전개2층">[9]!BlankMacro1</definedName>
    <definedName name="전개객개개객개">[9]!BlankMacro1</definedName>
    <definedName name="전개방향">[9]!BlankMacro1</definedName>
    <definedName name="전개방향들">[9]!BlankMacro1</definedName>
    <definedName name="전개방향취합장">[9]!BlankMacro1</definedName>
    <definedName name="전략">#REF!</definedName>
    <definedName name="전상철">#REF!</definedName>
    <definedName name="전체실적" localSheetId="1" hidden="1">{"'9월'!$F$38"}</definedName>
    <definedName name="전체실적" localSheetId="0" hidden="1">{"'9월'!$F$38"}</definedName>
    <definedName name="전체실적" localSheetId="2" hidden="1">{"'9월'!$F$38"}</definedName>
    <definedName name="전체실적" hidden="1">{"'9월'!$F$38"}</definedName>
    <definedName name="점" localSheetId="1" hidden="1">{"'9월'!$F$38"}</definedName>
    <definedName name="점" localSheetId="0" hidden="1">{"'9월'!$F$38"}</definedName>
    <definedName name="점" localSheetId="2" hidden="1">{"'9월'!$F$38"}</definedName>
    <definedName name="점" hidden="1">{"'9월'!$F$38"}</definedName>
    <definedName name="점__명">#REF!</definedName>
    <definedName name="점손익3" localSheetId="1" hidden="1">{"'9월'!$F$38"}</definedName>
    <definedName name="점손익3" localSheetId="0" hidden="1">{"'9월'!$F$38"}</definedName>
    <definedName name="점손익3" localSheetId="2" hidden="1">{"'9월'!$F$38"}</definedName>
    <definedName name="점손익3" hidden="1">{"'9월'!$F$38"}</definedName>
    <definedName name="점손익급여2" localSheetId="1" hidden="1">{"'9월'!$F$38"}</definedName>
    <definedName name="점손익급여2" localSheetId="0" hidden="1">{"'9월'!$F$38"}</definedName>
    <definedName name="점손익급여2" localSheetId="2" hidden="1">{"'9월'!$F$38"}</definedName>
    <definedName name="점손익급여2" hidden="1">{"'9월'!$F$38"}</definedName>
    <definedName name="정리채권미지급금">#REF!</definedName>
    <definedName name="정인6">[46]!정인6</definedName>
    <definedName name="제목">#REF!</definedName>
    <definedName name="제품명">[59]참조!$T$4:$U$441</definedName>
    <definedName name="조경공">[29]데이타!$E$658</definedName>
    <definedName name="조경공B10">[25]식재인부!$B$24</definedName>
    <definedName name="조경공B4이하">[25]식재인부!$B$18</definedName>
    <definedName name="조경공B5">[25]식재인부!$B$19</definedName>
    <definedName name="조경공B6">[25]식재인부!$B$20</definedName>
    <definedName name="조경공B8">[25]식재인부!$B$22</definedName>
    <definedName name="조경공R10">[25]식재인부!$B$54</definedName>
    <definedName name="조경공R12">[25]식재인부!$B$56</definedName>
    <definedName name="조경공R15">[25]식재인부!$B$59</definedName>
    <definedName name="조경공R4이하">[25]식재인부!$B$48</definedName>
    <definedName name="조경공R5">[25]식재인부!$B$49</definedName>
    <definedName name="조경공R6">[25]식재인부!$B$50</definedName>
    <definedName name="조경공R7">[25]식재인부!$B$51</definedName>
    <definedName name="조경공R8">[25]식재인부!$B$52</definedName>
    <definedName name="조원공_1.1_1.5">[25]식재인부!$B$5</definedName>
    <definedName name="조형가이즈까3010">[25]데이타!$E$11</definedName>
    <definedName name="조형가이즈까3012">[25]데이타!$E$12</definedName>
    <definedName name="조형가이즈까3014">[25]데이타!$E$13</definedName>
    <definedName name="조형가이즈까3516">[25]데이타!$E$14</definedName>
    <definedName name="조회액">[60]controll!$A$6:$J$55</definedName>
    <definedName name="주간" localSheetId="1" hidden="1">{"'9월'!$F$38"}</definedName>
    <definedName name="주간" localSheetId="0" hidden="1">{"'9월'!$F$38"}</definedName>
    <definedName name="주간" localSheetId="2" hidden="1">{"'9월'!$F$38"}</definedName>
    <definedName name="주간" hidden="1">{"'9월'!$F$38"}</definedName>
    <definedName name="주간실판매금액1">'[30]DB 2018 SS 1'!$J$3:$J$516</definedName>
    <definedName name="주간실판매금액2">'[30]DB 2017 SS 2'!$J$3:$J$642</definedName>
    <definedName name="주간택판매금액1">'[30]DB 2018 SS 1'!$K$3:$K$516</definedName>
    <definedName name="주간택판매금액2">'[30]DB 2017 SS 2'!$K$3:$K$642</definedName>
    <definedName name="주간판매수량1">'[30]DB 2018 SS 1'!$I$3:$I$516</definedName>
    <definedName name="주간판매수량2">'[30]DB 2017 SS 2'!$I$3:$I$642</definedName>
    <definedName name="주영" localSheetId="1" hidden="1">{"'9월'!$F$38"}</definedName>
    <definedName name="주영" localSheetId="0" hidden="1">{"'9월'!$F$38"}</definedName>
    <definedName name="주영" localSheetId="2" hidden="1">{"'9월'!$F$38"}</definedName>
    <definedName name="주영" hidden="1">{"'9월'!$F$38"}</definedName>
    <definedName name="주주명부">#REF!</definedName>
    <definedName name="주토의">[9]!BlankMacro1</definedName>
    <definedName name="중점2" localSheetId="1" hidden="1">{#N/A,#N/A,FALSE,"재고현황";#N/A,#N/A,FALSE,"어음현황";#N/A,#N/A,FALSE,"생산계획";#N/A,#N/A,FALSE,"판매계획";#N/A,#N/A,FALSE,"수금계획서";#N/A,#N/A,FALSE,"요약손익"}</definedName>
    <definedName name="중점2" localSheetId="0" hidden="1">{#N/A,#N/A,FALSE,"재고현황";#N/A,#N/A,FALSE,"어음현황";#N/A,#N/A,FALSE,"생산계획";#N/A,#N/A,FALSE,"판매계획";#N/A,#N/A,FALSE,"수금계획서";#N/A,#N/A,FALSE,"요약손익"}</definedName>
    <definedName name="중점2" localSheetId="2" hidden="1">{#N/A,#N/A,FALSE,"재고현황";#N/A,#N/A,FALSE,"어음현황";#N/A,#N/A,FALSE,"생산계획";#N/A,#N/A,FALSE,"판매계획";#N/A,#N/A,FALSE,"수금계획서";#N/A,#N/A,FALSE,"요약손익"}</definedName>
    <definedName name="중점2" hidden="1">{#N/A,#N/A,FALSE,"재고현황";#N/A,#N/A,FALSE,"어음현황";#N/A,#N/A,FALSE,"생산계획";#N/A,#N/A,FALSE,"판매계획";#N/A,#N/A,FALSE,"수금계획서";#N/A,#N/A,FALSE,"요약손익"}</definedName>
    <definedName name="쥐">[9]!BlankMacro1</definedName>
    <definedName name="증감단위">[61]admin!$C$17</definedName>
    <definedName name="지1">#REF!</definedName>
    <definedName name="지방">[9]!BlankMacro1</definedName>
    <definedName name="지분법1">#N/A</definedName>
    <definedName name="직영비">'[34]2공구산출내역'!#REF!</definedName>
    <definedName name="직재">#REF!</definedName>
    <definedName name="직종">#REF!</definedName>
    <definedName name="진선우">[53]회사정보!$C$9</definedName>
    <definedName name="진행보고" localSheetId="1" hidden="1">{#N/A,#N/A,FALSE,"95FW"}</definedName>
    <definedName name="진행보고" localSheetId="0" hidden="1">{#N/A,#N/A,FALSE,"95FW"}</definedName>
    <definedName name="진행보고" localSheetId="2" hidden="1">{#N/A,#N/A,FALSE,"95FW"}</definedName>
    <definedName name="진행보고" hidden="1">{#N/A,#N/A,FALSE,"95FW"}</definedName>
    <definedName name="집중업무">#REF!</definedName>
    <definedName name="짜증1">[46]!짜증1</definedName>
    <definedName name="ㅊ">#N/A</definedName>
    <definedName name="ㅊㅊㅊ" localSheetId="1" hidden="1">{#N/A,#N/A,FALSE,"재고현황";#N/A,#N/A,FALSE,"어음현황";#N/A,#N/A,FALSE,"생산계획";#N/A,#N/A,FALSE,"판매계획";#N/A,#N/A,FALSE,"수금계획서";#N/A,#N/A,FALSE,"요약손익"}</definedName>
    <definedName name="ㅊㅊㅊ" localSheetId="0" hidden="1">{#N/A,#N/A,FALSE,"재고현황";#N/A,#N/A,FALSE,"어음현황";#N/A,#N/A,FALSE,"생산계획";#N/A,#N/A,FALSE,"판매계획";#N/A,#N/A,FALSE,"수금계획서";#N/A,#N/A,FALSE,"요약손익"}</definedName>
    <definedName name="ㅊㅊㅊ" localSheetId="2" hidden="1">{#N/A,#N/A,FALSE,"재고현황";#N/A,#N/A,FALSE,"어음현황";#N/A,#N/A,FALSE,"생산계획";#N/A,#N/A,FALSE,"판매계획";#N/A,#N/A,FALSE,"수금계획서";#N/A,#N/A,FALSE,"요약손익"}</definedName>
    <definedName name="ㅊㅊㅊ" hidden="1">{#N/A,#N/A,FALSE,"재고현황";#N/A,#N/A,FALSE,"어음현황";#N/A,#N/A,FALSE,"생산계획";#N/A,#N/A,FALSE,"판매계획";#N/A,#N/A,FALSE,"수금계획서";#N/A,#N/A,FALSE,"요약손익"}</definedName>
    <definedName name="차순구분">#REF!</definedName>
    <definedName name="차순표">#REF!</definedName>
    <definedName name="참여율">[9]!BlankMacro1</definedName>
    <definedName name="채권자">#REF!</definedName>
    <definedName name="채권자풀">#REF!</definedName>
    <definedName name="채무">#REF!</definedName>
    <definedName name="총괄세부">[8]회사정보!$C$7</definedName>
    <definedName name="총괄장">[9]!BlankMacro1</definedName>
    <definedName name="총괄표">#REF!</definedName>
    <definedName name="쵀">#N/A</definedName>
    <definedName name="최종원가합계2">[33]DB2!$T$3:$T$1218</definedName>
    <definedName name="최종취합장">[9]!BlankMacro1</definedName>
    <definedName name="최초입고일9">'[62]입고일자 9'!$AA$2:$AA$3013</definedName>
    <definedName name="최초출고일9">'[30]입고일자 9'!$AB$2:$AB$1517</definedName>
    <definedName name="출고" localSheetId="0" hidden="1">#REF!</definedName>
    <definedName name="출고" hidden="1">#REF!</definedName>
    <definedName name="출고1" localSheetId="0" hidden="1">#REF!</definedName>
    <definedName name="출고1" hidden="1">#REF!</definedName>
    <definedName name="충당금">[63]회사정보!$C$6</definedName>
    <definedName name="ㅋ">'[64]0.0ControlSheet'!$F$30</definedName>
    <definedName name="ㅋㅋ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ㅋㅋ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ㅋㅋ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ㅋㅋ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ㅋㅋㅋ" localSheetId="1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ㅋㅋㅋㅋ" localSheetId="1" hidden="1">{#N/A,#N/A,FALSE,"Aging Summary";#N/A,#N/A,FALSE,"Ratio Analysis";#N/A,#N/A,FALSE,"Test 120 Day Accts";#N/A,#N/A,FALSE,"Tickmarks"}</definedName>
    <definedName name="ㅋㅋㅋㅋ" localSheetId="0" hidden="1">{#N/A,#N/A,FALSE,"Aging Summary";#N/A,#N/A,FALSE,"Ratio Analysis";#N/A,#N/A,FALSE,"Test 120 Day Accts";#N/A,#N/A,FALSE,"Tickmarks"}</definedName>
    <definedName name="ㅋㅋㅋㅋ" localSheetId="2" hidden="1">{#N/A,#N/A,FALSE,"Aging Summary";#N/A,#N/A,FALSE,"Ratio Analysis";#N/A,#N/A,FALSE,"Test 120 Day Accts";#N/A,#N/A,FALSE,"Tickmarks"}</definedName>
    <definedName name="ㅋㅋㅋㅋ" hidden="1">{#N/A,#N/A,FALSE,"Aging Summary";#N/A,#N/A,FALSE,"Ratio Analysis";#N/A,#N/A,FALSE,"Test 120 Day Accts";#N/A,#N/A,FALSE,"Tickmarks"}</definedName>
    <definedName name="카피">[9]!BlankMacro1</definedName>
    <definedName name="칼라">#N/A</definedName>
    <definedName name="칼라별">#N/A</definedName>
    <definedName name="컬러">[32]원가!$H$4:$H$281</definedName>
    <definedName name="컬러1">'[30]DB 2018 SS 1'!$O$3:$O$516</definedName>
    <definedName name="컬러2">#REF!</definedName>
    <definedName name="컬러3">'[30]2018 금주 판매'!$G$3:$G$516</definedName>
    <definedName name="컬러4">'[30]2017 주간 4'!$G$3:$G$642</definedName>
    <definedName name="컬러5">'[30]2018 전주 판매'!$G$3:$G$516</definedName>
    <definedName name="컬러9">'[30]입고일자 9'!$E$2:$E$1517</definedName>
    <definedName name="ㅌ">'[64]0.0ControlSheet'!#REF!</definedName>
    <definedName name="ㅌㅊ">#REF!</definedName>
    <definedName name="타사" localSheetId="1" hidden="1">{#N/A,#N/A,FALSE,"재고현황";#N/A,#N/A,FALSE,"어음현황";#N/A,#N/A,FALSE,"생산계획";#N/A,#N/A,FALSE,"판매계획";#N/A,#N/A,FALSE,"수금계획서";#N/A,#N/A,FALSE,"요약손익"}</definedName>
    <definedName name="타사" localSheetId="0" hidden="1">{#N/A,#N/A,FALSE,"재고현황";#N/A,#N/A,FALSE,"어음현황";#N/A,#N/A,FALSE,"생산계획";#N/A,#N/A,FALSE,"판매계획";#N/A,#N/A,FALSE,"수금계획서";#N/A,#N/A,FALSE,"요약손익"}</definedName>
    <definedName name="타사" localSheetId="2" hidden="1">{#N/A,#N/A,FALSE,"재고현황";#N/A,#N/A,FALSE,"어음현황";#N/A,#N/A,FALSE,"생산계획";#N/A,#N/A,FALSE,"판매계획";#N/A,#N/A,FALSE,"수금계획서";#N/A,#N/A,FALSE,"요약손익"}</definedName>
    <definedName name="타사" hidden="1">{#N/A,#N/A,FALSE,"재고현황";#N/A,#N/A,FALSE,"어음현황";#N/A,#N/A,FALSE,"생산계획";#N/A,#N/A,FALSE,"판매계획";#N/A,#N/A,FALSE,"수금계획서";#N/A,#N/A,FALSE,"요약손익"}</definedName>
    <definedName name="태양">[65]회사정보!$C$8</definedName>
    <definedName name="템플리트모듈1">[9]!BlankMacro1</definedName>
    <definedName name="템플리트모듈2">[9]!BlankMacro1</definedName>
    <definedName name="템플리트모듈3">[9]!BlankMacro1</definedName>
    <definedName name="템플리트모듈4">[9]!BlankMacro1</definedName>
    <definedName name="템플리트모듈5">[9]!BlankMacro1</definedName>
    <definedName name="템플리트모듈6">[9]!BlankMacro1</definedName>
    <definedName name="토지">#REF!</definedName>
    <definedName name="토지다">#REF!</definedName>
    <definedName name="토지라니까">#REF!</definedName>
    <definedName name="퇴직">#REF!</definedName>
    <definedName name="퇴직금추계액">#REF!</definedName>
    <definedName name="퇴충">#N/A</definedName>
    <definedName name="투자">#REF!</definedName>
    <definedName name="투자3" localSheetId="1" hidden="1">{"'9월'!$F$38"}</definedName>
    <definedName name="투자3" localSheetId="0" hidden="1">{"'9월'!$F$38"}</definedName>
    <definedName name="투자3" localSheetId="2" hidden="1">{"'9월'!$F$38"}</definedName>
    <definedName name="투자3" hidden="1">{"'9월'!$F$38"}</definedName>
    <definedName name="투자계획">#REF!</definedName>
    <definedName name="투자계획재">#REF!</definedName>
    <definedName name="투자유가증권">#N/A</definedName>
    <definedName name="팀구분">#REF!</definedName>
    <definedName name="팀별1">#N/A</definedName>
    <definedName name="ㅍ147">#REF!</definedName>
    <definedName name="파">#N/A</definedName>
    <definedName name="판군">#REF!</definedName>
    <definedName name="판매_유형2">#REF!</definedName>
    <definedName name="판매_일수2">#REF!</definedName>
    <definedName name="판매금액">[33]DB!$AA$3:$AA$1203</definedName>
    <definedName name="판매금액1">'[30]DB 2018 SS 1'!$AO$3:$AO$516</definedName>
    <definedName name="판매금액2">'[30]DB 2017 SS 2'!$AO$3:$AO$642</definedName>
    <definedName name="판매금액4">#REF!</definedName>
    <definedName name="판매단가1">'[30]DB 2018 SS 1'!$Q$3:$Q$516</definedName>
    <definedName name="판매단가2">#REF!</definedName>
    <definedName name="판매단가4">#REF!</definedName>
    <definedName name="판매량">[33]DB!$W$3:$W$1203</definedName>
    <definedName name="판매량2">[33]DB2!$J$3:$J$1218</definedName>
    <definedName name="판매유형2">#REF!</definedName>
    <definedName name="판매유형4">#REF!</definedName>
    <definedName name="판매재고2">#REF!</definedName>
    <definedName name="판매재고4">#REF!</definedName>
    <definedName name="판촉회의">[9]!BlankMacro1</definedName>
    <definedName name="평">[66]공사개요!$E$14</definedName>
    <definedName name="평균DC율2">#REF!</definedName>
    <definedName name="평균DC율4">#REF!</definedName>
    <definedName name="평균이자율" localSheetId="0" hidden="1">[67]이자율!#REF!</definedName>
    <definedName name="평균이자율" hidden="1">[67]이자율!#REF!</definedName>
    <definedName name="평촌킴스">#REF!</definedName>
    <definedName name="표3" localSheetId="2">BlankMacro1</definedName>
    <definedName name="표3">BlankMacro1</definedName>
    <definedName name="품셈공종">[68]품셈TABLE!$C$2:$C$50</definedName>
    <definedName name="품셈단가">[68]품셈TABLE!$D$2:$D$50</definedName>
    <definedName name="플라타너스B8">[25]데이타!$E$552</definedName>
    <definedName name="피자">#REF!</definedName>
    <definedName name="ㅎㄴㄱㄶㄹ">[9]!BlankMacro1</definedName>
    <definedName name="ㅎㄽㄱㅎㅀㄹ">[9]!BlankMacro1</definedName>
    <definedName name="ㅎㅇ" localSheetId="1" hidden="1">{#N/A,#N/A,FALSE,"Aging Summary";#N/A,#N/A,FALSE,"Ratio Analysis";#N/A,#N/A,FALSE,"Test 120 Day Accts";#N/A,#N/A,FALSE,"Tickmarks"}</definedName>
    <definedName name="ㅎㅇ" localSheetId="0" hidden="1">{#N/A,#N/A,FALSE,"Aging Summary";#N/A,#N/A,FALSE,"Ratio Analysis";#N/A,#N/A,FALSE,"Test 120 Day Accts";#N/A,#N/A,FALSE,"Tickmarks"}</definedName>
    <definedName name="ㅎㅇ" localSheetId="2" hidden="1">{#N/A,#N/A,FALSE,"Aging Summary";#N/A,#N/A,FALSE,"Ratio Analysis";#N/A,#N/A,FALSE,"Test 120 Day Accts";#N/A,#N/A,FALSE,"Tickmarks"}</definedName>
    <definedName name="ㅎㅇ" hidden="1">{#N/A,#N/A,FALSE,"Aging Summary";#N/A,#N/A,FALSE,"Ratio Analysis";#N/A,#N/A,FALSE,"Test 120 Day Accts";#N/A,#N/A,FALSE,"Tickmarks"}</definedName>
    <definedName name="ㅎㅎ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" localSheetId="2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ㅎㅎ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할인표">[30]참조!$G$3:$I$233</definedName>
    <definedName name="행사">[9]!BlankMacro1</definedName>
    <definedName name="행사계획서">[9]!BlankMacro1</definedName>
    <definedName name="행사장">[9]!BlankMacro1</definedName>
    <definedName name="헐크">[46]!헐크</definedName>
    <definedName name="현금등가물" localSheetId="1" hidden="1">{#N/A,#N/A,FALSE,"Aging Summary";#N/A,#N/A,FALSE,"Ratio Analysis";#N/A,#N/A,FALSE,"Test 120 Day Accts";#N/A,#N/A,FALSE,"Tickmarks"}</definedName>
    <definedName name="현금등가물" localSheetId="0" hidden="1">{#N/A,#N/A,FALSE,"Aging Summary";#N/A,#N/A,FALSE,"Ratio Analysis";#N/A,#N/A,FALSE,"Test 120 Day Accts";#N/A,#N/A,FALSE,"Tickmarks"}</definedName>
    <definedName name="현금등가물" localSheetId="2" hidden="1">{#N/A,#N/A,FALSE,"Aging Summary";#N/A,#N/A,FALSE,"Ratio Analysis";#N/A,#N/A,FALSE,"Test 120 Day Accts";#N/A,#N/A,FALSE,"Tickmarks"}</definedName>
    <definedName name="현금등가물" hidden="1">{#N/A,#N/A,FALSE,"Aging Summary";#N/A,#N/A,FALSE,"Ratio Analysis";#N/A,#N/A,FALSE,"Test 120 Day Accts";#N/A,#N/A,FALSE,"Tickmarks"}</definedName>
    <definedName name="현금등가물및단기" localSheetId="1" hidden="1">{#N/A,#N/A,FALSE,"Aging Summary";#N/A,#N/A,FALSE,"Ratio Analysis";#N/A,#N/A,FALSE,"Test 120 Day Accts";#N/A,#N/A,FALSE,"Tickmarks"}</definedName>
    <definedName name="현금등가물및단기" localSheetId="0" hidden="1">{#N/A,#N/A,FALSE,"Aging Summary";#N/A,#N/A,FALSE,"Ratio Analysis";#N/A,#N/A,FALSE,"Test 120 Day Accts";#N/A,#N/A,FALSE,"Tickmarks"}</definedName>
    <definedName name="현금등가물및단기" localSheetId="2" hidden="1">{#N/A,#N/A,FALSE,"Aging Summary";#N/A,#N/A,FALSE,"Ratio Analysis";#N/A,#N/A,FALSE,"Test 120 Day Accts";#N/A,#N/A,FALSE,"Tickmarks"}</definedName>
    <definedName name="현금등가물및단기" hidden="1">{#N/A,#N/A,FALSE,"Aging Summary";#N/A,#N/A,FALSE,"Ratio Analysis";#N/A,#N/A,FALSE,"Test 120 Day Accts";#N/A,#N/A,FALSE,"Tickmarks"}</definedName>
    <definedName name="현금흐름" localSheetId="1" hidden="1">{#N/A,#N/A,FALSE,"Aging Summary";#N/A,#N/A,FALSE,"Ratio Analysis";#N/A,#N/A,FALSE,"Test 120 Day Accts";#N/A,#N/A,FALSE,"Tickmarks"}</definedName>
    <definedName name="현금흐름" localSheetId="0" hidden="1">{#N/A,#N/A,FALSE,"Aging Summary";#N/A,#N/A,FALSE,"Ratio Analysis";#N/A,#N/A,FALSE,"Test 120 Day Accts";#N/A,#N/A,FALSE,"Tickmarks"}</definedName>
    <definedName name="현금흐름" localSheetId="2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현대미아대응">[9]!BlankMacro1</definedName>
    <definedName name="현장">#REF!</definedName>
    <definedName name="현재가2">#REF!</definedName>
    <definedName name="현재가치">#REF!</definedName>
    <definedName name="현재단가2">#REF!</definedName>
    <definedName name="현재단가4">#REF!</definedName>
    <definedName name="형태10">'[30]예상판매율 10'!$H$3:$H$302</definedName>
    <definedName name="형태2">#REF!</definedName>
    <definedName name="형태4">#REF!</definedName>
    <definedName name="형태구분">#REF!</definedName>
    <definedName name="형태구분1">'[30]DB 2018 SS 1'!$C$3:$C$516</definedName>
    <definedName name="형태구분2">'[30]DB 2017 SS 2'!$C$3:$C$642</definedName>
    <definedName name="형태구분3">'[30]2018 금주 판매'!$B$3:$B$516</definedName>
    <definedName name="형태구분4">'[30]2017 주간 4'!$B$3:$B$642</definedName>
    <definedName name="형태구분5">'[30]2018 전주 판매'!$B$3:$B$516</definedName>
    <definedName name="형틀총금액">#REF!</definedName>
    <definedName name="호랑아ㅜ링ㅇ">[9]!BlankMacro1</definedName>
    <definedName name="호호">[9]!BlankMacro1</definedName>
    <definedName name="호ㅓ">#N/A</definedName>
    <definedName name="호ㅓㅏ호ㅓ호">[9]!BlankMacro1</definedName>
    <definedName name="호ㅗㄱ">[9]!BlankMacro1</definedName>
    <definedName name="호ㅗ홓ㅎ" localSheetId="1" hidden="1">{#N/A,#N/A,FALSE,"재고현황";#N/A,#N/A,FALSE,"어음현황";#N/A,#N/A,FALSE,"생산계획";#N/A,#N/A,FALSE,"판매계획";#N/A,#N/A,FALSE,"수금계획서";#N/A,#N/A,FALSE,"요약손익"}</definedName>
    <definedName name="호ㅗ홓ㅎ" localSheetId="0" hidden="1">{#N/A,#N/A,FALSE,"재고현황";#N/A,#N/A,FALSE,"어음현황";#N/A,#N/A,FALSE,"생산계획";#N/A,#N/A,FALSE,"판매계획";#N/A,#N/A,FALSE,"수금계획서";#N/A,#N/A,FALSE,"요약손익"}</definedName>
    <definedName name="호ㅗ홓ㅎ" localSheetId="2" hidden="1">{#N/A,#N/A,FALSE,"재고현황";#N/A,#N/A,FALSE,"어음현황";#N/A,#N/A,FALSE,"생산계획";#N/A,#N/A,FALSE,"판매계획";#N/A,#N/A,FALSE,"수금계획서";#N/A,#N/A,FALSE,"요약손익"}</definedName>
    <definedName name="호ㅗ홓ㅎ" hidden="1">{#N/A,#N/A,FALSE,"재고현황";#N/A,#N/A,FALSE,"어음현황";#N/A,#N/A,FALSE,"생산계획";#N/A,#N/A,FALSE,"판매계획";#N/A,#N/A,FALSE,"수금계획서";#N/A,#N/A,FALSE,"요약손익"}</definedName>
    <definedName name="호ㅗㅓㅎㅀ">[9]!BlankMacro1</definedName>
    <definedName name="화이팅">'[46]***********************00'!화이팅</definedName>
    <definedName name="화ㅗ">[9]!BlankMacro1</definedName>
    <definedName name="환률">#REF!</definedName>
    <definedName name="환율">#REF!</definedName>
    <definedName name="회사이름">[55]ADMIN!$C$13</definedName>
    <definedName name="ㅏㅓㅓ">#REF!</definedName>
    <definedName name="ㅑㅐㅔ">#N/A</definedName>
    <definedName name="ㅑㅑ" localSheetId="1" hidden="1">{#N/A,#N/A,FALSE,"재고현황";#N/A,#N/A,FALSE,"어음현황";#N/A,#N/A,FALSE,"생산계획";#N/A,#N/A,FALSE,"판매계획";#N/A,#N/A,FALSE,"수금계획서";#N/A,#N/A,FALSE,"요약손익"}</definedName>
    <definedName name="ㅑㅑ" localSheetId="0" hidden="1">{#N/A,#N/A,FALSE,"재고현황";#N/A,#N/A,FALSE,"어음현황";#N/A,#N/A,FALSE,"생산계획";#N/A,#N/A,FALSE,"판매계획";#N/A,#N/A,FALSE,"수금계획서";#N/A,#N/A,FALSE,"요약손익"}</definedName>
    <definedName name="ㅑㅑ" localSheetId="2" hidden="1">{#N/A,#N/A,FALSE,"재고현황";#N/A,#N/A,FALSE,"어음현황";#N/A,#N/A,FALSE,"생산계획";#N/A,#N/A,FALSE,"판매계획";#N/A,#N/A,FALSE,"수금계획서";#N/A,#N/A,FALSE,"요약손익"}</definedName>
    <definedName name="ㅑㅑ" hidden="1">{#N/A,#N/A,FALSE,"재고현황";#N/A,#N/A,FALSE,"어음현황";#N/A,#N/A,FALSE,"생산계획";#N/A,#N/A,FALSE,"판매계획";#N/A,#N/A,FALSE,"수금계획서";#N/A,#N/A,FALSE,"요약손익"}</definedName>
    <definedName name="ㅒ" localSheetId="1" hidden="1">{#N/A,#N/A,FALSE,"재고현황";#N/A,#N/A,FALSE,"어음현황";#N/A,#N/A,FALSE,"생산계획";#N/A,#N/A,FALSE,"판매계획";#N/A,#N/A,FALSE,"수금계획서";#N/A,#N/A,FALSE,"요약손익"}</definedName>
    <definedName name="ㅒ" localSheetId="0" hidden="1">{#N/A,#N/A,FALSE,"재고현황";#N/A,#N/A,FALSE,"어음현황";#N/A,#N/A,FALSE,"생산계획";#N/A,#N/A,FALSE,"판매계획";#N/A,#N/A,FALSE,"수금계획서";#N/A,#N/A,FALSE,"요약손익"}</definedName>
    <definedName name="ㅒ" localSheetId="2" hidden="1">{#N/A,#N/A,FALSE,"재고현황";#N/A,#N/A,FALSE,"어음현황";#N/A,#N/A,FALSE,"생산계획";#N/A,#N/A,FALSE,"판매계획";#N/A,#N/A,FALSE,"수금계획서";#N/A,#N/A,FALSE,"요약손익"}</definedName>
    <definedName name="ㅒ" hidden="1">{#N/A,#N/A,FALSE,"재고현황";#N/A,#N/A,FALSE,"어음현황";#N/A,#N/A,FALSE,"생산계획";#N/A,#N/A,FALSE,"판매계획";#N/A,#N/A,FALSE,"수금계획서";#N/A,#N/A,FALSE,"요약손익"}</definedName>
    <definedName name="ㅓ">#REF!</definedName>
    <definedName name="ㅓ호호">[9]!BlankMacro1</definedName>
    <definedName name="ㅓㅏㅓ">#REF!</definedName>
    <definedName name="ㅓㅓ">#REF!</definedName>
    <definedName name="ㅓㅓㅓ" localSheetId="1" hidden="1">{"'9월'!$F$38"}</definedName>
    <definedName name="ㅓㅓㅓ" localSheetId="0" hidden="1">{"'9월'!$F$38"}</definedName>
    <definedName name="ㅓㅓㅓ" localSheetId="2" hidden="1">{"'9월'!$F$38"}</definedName>
    <definedName name="ㅓㅓㅓ" hidden="1">{"'9월'!$F$38"}</definedName>
    <definedName name="ㅔ">'[64]0.0ControlSheet'!$F$28</definedName>
    <definedName name="ㅔㅔㅔㅔㅔ" localSheetId="1" hidden="1">{#N/A,#N/A,FALSE,"재고현황";#N/A,#N/A,FALSE,"어음현황";#N/A,#N/A,FALSE,"생산계획";#N/A,#N/A,FALSE,"판매계획";#N/A,#N/A,FALSE,"수금계획서";#N/A,#N/A,FALSE,"요약손익"}</definedName>
    <definedName name="ㅔㅔㅔㅔㅔ" localSheetId="0" hidden="1">{#N/A,#N/A,FALSE,"재고현황";#N/A,#N/A,FALSE,"어음현황";#N/A,#N/A,FALSE,"생산계획";#N/A,#N/A,FALSE,"판매계획";#N/A,#N/A,FALSE,"수금계획서";#N/A,#N/A,FALSE,"요약손익"}</definedName>
    <definedName name="ㅔㅔㅔㅔㅔ" localSheetId="2" hidden="1">{#N/A,#N/A,FALSE,"재고현황";#N/A,#N/A,FALSE,"어음현황";#N/A,#N/A,FALSE,"생산계획";#N/A,#N/A,FALSE,"판매계획";#N/A,#N/A,FALSE,"수금계획서";#N/A,#N/A,FALSE,"요약손익"}</definedName>
    <definedName name="ㅔㅔㅔㅔㅔ" hidden="1">{#N/A,#N/A,FALSE,"재고현황";#N/A,#N/A,FALSE,"어음현황";#N/A,#N/A,FALSE,"생산계획";#N/A,#N/A,FALSE,"판매계획";#N/A,#N/A,FALSE,"수금계획서";#N/A,#N/A,FALSE,"요약손익"}</definedName>
    <definedName name="ㅕ">'[64]0.1keyAssumption'!$H$28</definedName>
    <definedName name="ㅗㄹ호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localSheetId="2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ㄹ호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ㅗ하ㅗ허ㅏㅗ">[9]!BlankMacro1</definedName>
    <definedName name="ㅗ허ㅏㅓㅗㅓㅗㅓㅏ">[9]!BlankMacro1</definedName>
    <definedName name="ㅗ허ㅏㅗ">[9]!BlankMacro1</definedName>
    <definedName name="ㅗ허ㅏㅗㅓㅏ">[9]!BlankMacro1</definedName>
    <definedName name="ㅗㅓㅏㅗㅓㅏ">[9]!BlankMacro1</definedName>
    <definedName name="ㅗㅓㅏㅗㅓㅏㅏ">[9]!BlankMacro1</definedName>
    <definedName name="ㅗㅗ">[69]회사정보!$C$6</definedName>
    <definedName name="ㅗㅗㅗ">#REF!</definedName>
    <definedName name="ㅜ">'[70]0.0ControlSheet'!#REF!</definedName>
    <definedName name="ㅜㅜㅜㅜㅜㅜㅜㅜㅜㅜㅜㅜㅜㅜㅜㅜㅜㅜㅜ">[9]!BlankMacro1</definedName>
    <definedName name="ㅝㅗ">#REF!</definedName>
    <definedName name="ㅠ" localSheetId="1" hidden="1">{#N/A,#N/A,FALSE,"Aging Summary";#N/A,#N/A,FALSE,"Ratio Analysis";#N/A,#N/A,FALSE,"Test 120 Day Accts";#N/A,#N/A,FALSE,"Tickmarks"}</definedName>
    <definedName name="ㅠ" localSheetId="0" hidden="1">{#N/A,#N/A,FALSE,"Aging Summary";#N/A,#N/A,FALSE,"Ratio Analysis";#N/A,#N/A,FALSE,"Test 120 Day Accts";#N/A,#N/A,FALSE,"Tickmarks"}</definedName>
    <definedName name="ㅠ" localSheetId="2" hidden="1">{#N/A,#N/A,FALSE,"Aging Summary";#N/A,#N/A,FALSE,"Ratio Analysis";#N/A,#N/A,FALSE,"Test 120 Day Accts";#N/A,#N/A,FALSE,"Tickmarks"}</definedName>
    <definedName name="ㅠ" hidden="1">{#N/A,#N/A,FALSE,"Aging Summary";#N/A,#N/A,FALSE,"Ratio Analysis";#N/A,#N/A,FALSE,"Test 120 Day Accts";#N/A,#N/A,FALSE,"Tickmarks"}</definedName>
    <definedName name="ㅣㅏㄷ절ㄴ">#N/A</definedName>
    <definedName name="ㅣㅣ">[9]!BlankMacro1</definedName>
    <definedName name="ㅣㅣㅣ" hidden="1">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J19" i="2" s="1"/>
  <c r="I18" i="2"/>
  <c r="J18" i="2" s="1"/>
  <c r="I14" i="2"/>
  <c r="J14" i="2" s="1"/>
  <c r="I9" i="2"/>
  <c r="J9" i="2" s="1"/>
  <c r="I39" i="2"/>
  <c r="H39" i="2"/>
  <c r="G39" i="2"/>
  <c r="F39" i="2"/>
  <c r="E39" i="2"/>
  <c r="J38" i="2"/>
  <c r="K37" i="2"/>
  <c r="L37" i="2" s="1"/>
  <c r="J37" i="2"/>
  <c r="K36" i="2"/>
  <c r="L36" i="2" s="1"/>
  <c r="J36" i="2"/>
  <c r="K35" i="2"/>
  <c r="L35" i="2" s="1"/>
  <c r="J35" i="2"/>
  <c r="K34" i="2"/>
  <c r="J34" i="2"/>
  <c r="G33" i="2"/>
  <c r="I33" i="2" s="1"/>
  <c r="J33" i="2" s="1"/>
  <c r="E33" i="2"/>
  <c r="K31" i="2"/>
  <c r="L31" i="2" s="1"/>
  <c r="K30" i="2"/>
  <c r="L30" i="2" s="1"/>
  <c r="K22" i="2"/>
  <c r="L22" i="2" s="1"/>
  <c r="K21" i="2"/>
  <c r="F20" i="2"/>
  <c r="K19" i="2"/>
  <c r="L19" i="2" s="1"/>
  <c r="K18" i="2"/>
  <c r="L18" i="2" s="1"/>
  <c r="L17" i="2"/>
  <c r="K17" i="2"/>
  <c r="K16" i="2"/>
  <c r="L16" i="2" s="1"/>
  <c r="K15" i="2"/>
  <c r="L15" i="2" s="1"/>
  <c r="K14" i="2"/>
  <c r="L14" i="2" s="1"/>
  <c r="K13" i="2"/>
  <c r="L13" i="2" s="1"/>
  <c r="K12" i="2"/>
  <c r="L12" i="2" s="1"/>
  <c r="K11" i="2"/>
  <c r="L11" i="2" s="1"/>
  <c r="K10" i="2"/>
  <c r="L10" i="2" s="1"/>
  <c r="K9" i="2"/>
  <c r="L9" i="2" s="1"/>
  <c r="K8" i="2"/>
  <c r="L8" i="2" s="1"/>
  <c r="H20" i="2"/>
  <c r="K6" i="2"/>
  <c r="L6" i="2" s="1"/>
  <c r="K5" i="2"/>
  <c r="L5" i="2" s="1"/>
  <c r="G3" i="2"/>
  <c r="E3" i="2"/>
  <c r="J39" i="2" l="1"/>
  <c r="K24" i="2"/>
  <c r="L24" i="2" s="1"/>
  <c r="K26" i="2"/>
  <c r="L26" i="2" s="1"/>
  <c r="F33" i="2"/>
  <c r="F40" i="2" s="1"/>
  <c r="K29" i="2"/>
  <c r="L29" i="2" s="1"/>
  <c r="K27" i="2"/>
  <c r="L27" i="2" s="1"/>
  <c r="K28" i="2"/>
  <c r="L28" i="2" s="1"/>
  <c r="K32" i="2"/>
  <c r="L32" i="2" s="1"/>
  <c r="K23" i="2"/>
  <c r="L23" i="2" s="1"/>
  <c r="K25" i="2"/>
  <c r="L25" i="2" s="1"/>
  <c r="K39" i="2"/>
  <c r="L39" i="2" s="1"/>
  <c r="I6" i="2"/>
  <c r="J6" i="2" s="1"/>
  <c r="L21" i="2"/>
  <c r="G20" i="2"/>
  <c r="G40" i="2" s="1"/>
  <c r="I5" i="2"/>
  <c r="I16" i="2"/>
  <c r="J16" i="2" s="1"/>
  <c r="I12" i="2"/>
  <c r="J12" i="2" s="1"/>
  <c r="I11" i="2"/>
  <c r="J11" i="2" s="1"/>
  <c r="I13" i="2"/>
  <c r="J13" i="2" s="1"/>
  <c r="I10" i="2"/>
  <c r="J10" i="2" s="1"/>
  <c r="I15" i="2"/>
  <c r="J15" i="2" s="1"/>
  <c r="I7" i="2"/>
  <c r="J7" i="2" s="1"/>
  <c r="I17" i="2"/>
  <c r="J17" i="2" s="1"/>
  <c r="I8" i="2"/>
  <c r="J8" i="2" s="1"/>
  <c r="E20" i="2"/>
  <c r="E40" i="2" s="1"/>
  <c r="H33" i="2"/>
  <c r="H40" i="2" s="1"/>
  <c r="K7" i="2"/>
  <c r="L7" i="2" s="1"/>
  <c r="L34" i="2"/>
  <c r="K33" i="2" l="1"/>
  <c r="L33" i="2" s="1"/>
  <c r="J5" i="2"/>
  <c r="I20" i="2"/>
  <c r="K20" i="2"/>
  <c r="G41" i="2"/>
  <c r="C45" i="2" s="1"/>
  <c r="E41" i="2"/>
  <c r="L20" i="2" l="1"/>
  <c r="K40" i="2"/>
  <c r="L40" i="2" s="1"/>
  <c r="J20" i="2"/>
  <c r="I40" i="2"/>
  <c r="I41" i="2" l="1"/>
  <c r="L41" i="2" s="1"/>
  <c r="J40" i="2"/>
</calcChain>
</file>

<file path=xl/sharedStrings.xml><?xml version="1.0" encoding="utf-8"?>
<sst xmlns="http://schemas.openxmlformats.org/spreadsheetml/2006/main" count="653" uniqueCount="323">
  <si>
    <t>전년동월대비 인원증감 현황(말일기준)</t>
  </si>
  <si>
    <t>부 서 명</t>
  </si>
  <si>
    <t>증 감 현 황</t>
  </si>
  <si>
    <t>일반</t>
  </si>
  <si>
    <t>판매</t>
  </si>
  <si>
    <t>증감율</t>
  </si>
  <si>
    <t>브랜드 
사업부문</t>
  </si>
  <si>
    <t>임원</t>
  </si>
  <si>
    <t>김창수</t>
  </si>
  <si>
    <t>김진경</t>
  </si>
  <si>
    <t>김현식</t>
  </si>
  <si>
    <t>김경은</t>
  </si>
  <si>
    <t>영업본부</t>
  </si>
  <si>
    <t>총괄</t>
  </si>
  <si>
    <t>허용덕</t>
  </si>
  <si>
    <t>백화점</t>
  </si>
  <si>
    <t>안정우</t>
  </si>
  <si>
    <t>유동혁</t>
  </si>
  <si>
    <t>김영완</t>
  </si>
  <si>
    <t>원태윤</t>
  </si>
  <si>
    <t>김경훈</t>
  </si>
  <si>
    <t>SMD</t>
  </si>
  <si>
    <t>양현모</t>
  </si>
  <si>
    <t>강대성</t>
  </si>
  <si>
    <t>박인태</t>
  </si>
  <si>
    <t>영업지원</t>
  </si>
  <si>
    <t>김혜선</t>
  </si>
  <si>
    <t>임병선</t>
  </si>
  <si>
    <t>온라인사업부</t>
  </si>
  <si>
    <t>변혜정</t>
  </si>
  <si>
    <t>김명기</t>
  </si>
  <si>
    <t>이보라</t>
  </si>
  <si>
    <t>박영우</t>
  </si>
  <si>
    <t>이효준</t>
  </si>
  <si>
    <t>김창환</t>
  </si>
  <si>
    <t>이성원</t>
  </si>
  <si>
    <t>김보미</t>
  </si>
  <si>
    <t>유민아</t>
  </si>
  <si>
    <t>장한나</t>
  </si>
  <si>
    <t>상품본부</t>
  </si>
  <si>
    <t>김동규</t>
  </si>
  <si>
    <t>PDD</t>
  </si>
  <si>
    <t>박대경</t>
  </si>
  <si>
    <t>최선정</t>
  </si>
  <si>
    <t>이미현</t>
  </si>
  <si>
    <t>조아름</t>
  </si>
  <si>
    <t>MMD</t>
  </si>
  <si>
    <t>송현영</t>
  </si>
  <si>
    <t>김병언</t>
  </si>
  <si>
    <t>권혜민</t>
  </si>
  <si>
    <t>RND</t>
  </si>
  <si>
    <t>한혜주</t>
  </si>
  <si>
    <t>박지영</t>
  </si>
  <si>
    <t>이슬비</t>
  </si>
  <si>
    <t>황지영</t>
  </si>
  <si>
    <t>박정자</t>
  </si>
  <si>
    <t>한아름</t>
  </si>
  <si>
    <t>주찬미</t>
  </si>
  <si>
    <t>정재희</t>
  </si>
  <si>
    <t>이지혜</t>
  </si>
  <si>
    <t>VMD</t>
  </si>
  <si>
    <t>박민희</t>
  </si>
  <si>
    <t>AMD</t>
  </si>
  <si>
    <t>이경나</t>
  </si>
  <si>
    <t>정윤식</t>
  </si>
  <si>
    <t>김주아</t>
  </si>
  <si>
    <t>박은영</t>
  </si>
  <si>
    <t>안현정</t>
  </si>
  <si>
    <t>CXD</t>
  </si>
  <si>
    <t>김형진</t>
  </si>
  <si>
    <t>이도향</t>
  </si>
  <si>
    <t>서정은</t>
  </si>
  <si>
    <t>ETC</t>
  </si>
  <si>
    <t>한근석</t>
  </si>
  <si>
    <t>소  계</t>
  </si>
  <si>
    <t>직영점</t>
  </si>
  <si>
    <t>양재점</t>
  </si>
  <si>
    <t>최은희</t>
  </si>
  <si>
    <t>김은주</t>
  </si>
  <si>
    <t>이정희</t>
  </si>
  <si>
    <t>지은숙</t>
  </si>
  <si>
    <t>일산점</t>
  </si>
  <si>
    <t>조선영</t>
  </si>
  <si>
    <t>김규리</t>
  </si>
  <si>
    <t>손향순</t>
  </si>
  <si>
    <t>주성민</t>
  </si>
  <si>
    <t>경기광주점</t>
  </si>
  <si>
    <t>진서경</t>
  </si>
  <si>
    <t>김화영</t>
  </si>
  <si>
    <t>서은석</t>
  </si>
  <si>
    <t>이승현</t>
  </si>
  <si>
    <t>전주점</t>
  </si>
  <si>
    <t>장윤의</t>
  </si>
  <si>
    <t>정미선</t>
  </si>
  <si>
    <t>NC충장점</t>
  </si>
  <si>
    <t>정해숙</t>
  </si>
  <si>
    <t>조성숙</t>
  </si>
  <si>
    <t>NC불광점</t>
  </si>
  <si>
    <t>이영양</t>
  </si>
  <si>
    <t>김남주</t>
  </si>
  <si>
    <t>청주점</t>
  </si>
  <si>
    <t>강인숙</t>
  </si>
  <si>
    <t>박주희</t>
  </si>
  <si>
    <t>NC해운대점</t>
  </si>
  <si>
    <t>박연수</t>
  </si>
  <si>
    <t>박둘금</t>
  </si>
  <si>
    <t>NC일산점</t>
  </si>
  <si>
    <t>장석순</t>
  </si>
  <si>
    <t>전선희</t>
  </si>
  <si>
    <t>고양점(롯데아울렛)</t>
  </si>
  <si>
    <t>이윤정</t>
  </si>
  <si>
    <t>가든5점_현대아울렛</t>
  </si>
  <si>
    <t>김영란</t>
  </si>
  <si>
    <t>현대커넥트부산점</t>
  </si>
  <si>
    <t>중간관리</t>
  </si>
  <si>
    <t>롯데</t>
  </si>
  <si>
    <t>광주점</t>
  </si>
  <si>
    <t>포항점</t>
  </si>
  <si>
    <t>창원점</t>
  </si>
  <si>
    <t>영등포</t>
  </si>
  <si>
    <t>평촌점</t>
  </si>
  <si>
    <t>노원점</t>
  </si>
  <si>
    <t>동래점</t>
  </si>
  <si>
    <t>울산점</t>
  </si>
  <si>
    <t>대구점</t>
  </si>
  <si>
    <t>아울렛이천점</t>
  </si>
  <si>
    <t xml:space="preserve">현대 </t>
  </si>
  <si>
    <t>천호점</t>
  </si>
  <si>
    <t>판교점</t>
  </si>
  <si>
    <t>아울렛대전점</t>
  </si>
  <si>
    <t>아울렛남양주점</t>
  </si>
  <si>
    <t>신세계</t>
  </si>
  <si>
    <t>마산점</t>
  </si>
  <si>
    <t>경기점</t>
  </si>
  <si>
    <t>센텀점</t>
  </si>
  <si>
    <t>타임스퀘어점</t>
  </si>
  <si>
    <t>본점</t>
  </si>
  <si>
    <t>갤러리아</t>
  </si>
  <si>
    <t>광교점</t>
  </si>
  <si>
    <t>총   계</t>
  </si>
  <si>
    <t>물류센터용역</t>
  </si>
  <si>
    <t>평택점용역</t>
  </si>
  <si>
    <t>인원보고총원</t>
  </si>
  <si>
    <t>구분1</t>
  </si>
  <si>
    <t>구분2</t>
  </si>
  <si>
    <t>신세계의정부점</t>
  </si>
  <si>
    <t>신세계충청점</t>
  </si>
  <si>
    <t>양주점(LF몰)</t>
  </si>
  <si>
    <t>파주점_신세계아울렛</t>
  </si>
  <si>
    <t>현대동구점</t>
  </si>
  <si>
    <t>현대신촌점</t>
  </si>
  <si>
    <t>현대미아점</t>
  </si>
  <si>
    <t>현대울산점</t>
  </si>
  <si>
    <t>현대중동점</t>
  </si>
  <si>
    <t>현대충청점</t>
  </si>
  <si>
    <t>현대킨텍스점</t>
  </si>
  <si>
    <t>신세계대전점</t>
  </si>
  <si>
    <t>현대목동점</t>
  </si>
  <si>
    <t>롯데잠실점</t>
  </si>
  <si>
    <t>신세계강남점</t>
  </si>
  <si>
    <t>AK광명점</t>
  </si>
  <si>
    <t>AK분당점</t>
  </si>
  <si>
    <t>AK수원점</t>
  </si>
  <si>
    <t>갤러리아진주점</t>
  </si>
  <si>
    <t>갤러리아천안점</t>
  </si>
  <si>
    <t>갤러리아타임월드점</t>
  </si>
  <si>
    <t>광교점(롯데아울렛)</t>
  </si>
  <si>
    <t>광명점(롯데아울렛)</t>
  </si>
  <si>
    <t>군산점(롯데아울렛)</t>
  </si>
  <si>
    <t>동부산점(롯데아울렛)</t>
  </si>
  <si>
    <t>롯데강남점</t>
  </si>
  <si>
    <t>롯데관악점</t>
  </si>
  <si>
    <t>롯데광복점</t>
  </si>
  <si>
    <t>롯데구리점</t>
  </si>
  <si>
    <t>롯데동탄점</t>
  </si>
  <si>
    <t>롯데미아점</t>
  </si>
  <si>
    <t>롯데부산본점</t>
  </si>
  <si>
    <t>롯데분당점</t>
  </si>
  <si>
    <t>롯데상인점</t>
  </si>
  <si>
    <t>롯데수원점</t>
  </si>
  <si>
    <t>롯데안산점</t>
  </si>
  <si>
    <t>롯데인천터미널점</t>
  </si>
  <si>
    <t>롯데전주점</t>
  </si>
  <si>
    <t>스타필드하남점</t>
  </si>
  <si>
    <t>신세계김해점</t>
  </si>
  <si>
    <t>성명</t>
  </si>
  <si>
    <t>부서</t>
  </si>
  <si>
    <t>부서코드</t>
  </si>
  <si>
    <t>임원-광주점</t>
  </si>
  <si>
    <t>AR1003</t>
  </si>
  <si>
    <t>임원-일산점</t>
  </si>
  <si>
    <t>AR1005</t>
  </si>
  <si>
    <t>임원-양재점</t>
  </si>
  <si>
    <t>AR1006</t>
  </si>
  <si>
    <t>AR1101</t>
  </si>
  <si>
    <t>RND_VMD팀</t>
  </si>
  <si>
    <t>AR1117</t>
  </si>
  <si>
    <t>RND_1팀</t>
  </si>
  <si>
    <t>AR1121</t>
  </si>
  <si>
    <t>RND_2팀</t>
  </si>
  <si>
    <t>AR1122</t>
  </si>
  <si>
    <t>고동희</t>
  </si>
  <si>
    <t>RND_3팀</t>
  </si>
  <si>
    <t>AR1123</t>
  </si>
  <si>
    <t>AR1200</t>
  </si>
  <si>
    <t>사원</t>
  </si>
  <si>
    <t>AR1510</t>
  </si>
  <si>
    <t>AR1700</t>
  </si>
  <si>
    <t>대리</t>
  </si>
  <si>
    <t>AR1790</t>
  </si>
  <si>
    <t>AR1800</t>
  </si>
  <si>
    <t>AR1910</t>
  </si>
  <si>
    <t>AR1940</t>
  </si>
  <si>
    <t>AR1950</t>
  </si>
  <si>
    <t>AR1960</t>
  </si>
  <si>
    <t>AR1970</t>
  </si>
  <si>
    <t>AR1980</t>
  </si>
  <si>
    <t>AR1981</t>
  </si>
  <si>
    <t>진현전</t>
  </si>
  <si>
    <t>AR1982</t>
  </si>
  <si>
    <t>점장</t>
  </si>
  <si>
    <t>박지선</t>
  </si>
  <si>
    <t>매니저</t>
  </si>
  <si>
    <t>AR2311</t>
  </si>
  <si>
    <t>AR2403</t>
  </si>
  <si>
    <t>윤효숙</t>
  </si>
  <si>
    <t>AR2501</t>
  </si>
  <si>
    <t>김명옥</t>
  </si>
  <si>
    <t>AR2502</t>
  </si>
  <si>
    <t>AR2503</t>
  </si>
  <si>
    <t>AR2505</t>
  </si>
  <si>
    <t>AR2603</t>
  </si>
  <si>
    <t>이영순</t>
  </si>
  <si>
    <t>AR2604</t>
  </si>
  <si>
    <t>김도희</t>
  </si>
  <si>
    <t>김우진</t>
  </si>
  <si>
    <t>AR2605</t>
  </si>
  <si>
    <t>AR2607</t>
  </si>
  <si>
    <t>AR2609</t>
  </si>
  <si>
    <t>김경숙</t>
  </si>
  <si>
    <t>조명희</t>
  </si>
  <si>
    <t>AR2612</t>
  </si>
  <si>
    <t>AR2613</t>
  </si>
  <si>
    <t>AR2621</t>
  </si>
  <si>
    <t>AR2622</t>
  </si>
  <si>
    <t>조영해</t>
  </si>
  <si>
    <t>AR2624</t>
  </si>
  <si>
    <t>AR2625</t>
  </si>
  <si>
    <t>유재금</t>
  </si>
  <si>
    <t>AR2630</t>
  </si>
  <si>
    <t>AR2632</t>
  </si>
  <si>
    <t>AR2639</t>
  </si>
  <si>
    <t>AR2640</t>
  </si>
  <si>
    <t>김나윤</t>
  </si>
  <si>
    <t>이숙진</t>
  </si>
  <si>
    <t>AR2646</t>
  </si>
  <si>
    <t>김경미</t>
  </si>
  <si>
    <t>김자옥</t>
  </si>
  <si>
    <t>AR2647</t>
  </si>
  <si>
    <t>AR2649</t>
  </si>
  <si>
    <t>AR2651</t>
  </si>
  <si>
    <t>AR2652</t>
  </si>
  <si>
    <t>AR2655</t>
  </si>
  <si>
    <t>AR2658</t>
  </si>
  <si>
    <t>AR2669</t>
  </si>
  <si>
    <t>AR2670</t>
  </si>
  <si>
    <t>AR2671</t>
  </si>
  <si>
    <t>정은주</t>
  </si>
  <si>
    <t>AR2673</t>
  </si>
  <si>
    <t>AR2674</t>
  </si>
  <si>
    <t>AR2677</t>
  </si>
  <si>
    <t>강미정</t>
  </si>
  <si>
    <t>AR2683</t>
  </si>
  <si>
    <t>신경숙</t>
  </si>
  <si>
    <t>AR2684</t>
  </si>
  <si>
    <t>AR2685</t>
  </si>
  <si>
    <t>김윤영</t>
  </si>
  <si>
    <t>AR2686</t>
  </si>
  <si>
    <t>김정경</t>
  </si>
  <si>
    <t>AR2688</t>
  </si>
  <si>
    <t>정행분</t>
  </si>
  <si>
    <t>전혜정</t>
  </si>
  <si>
    <t>AR2690</t>
  </si>
  <si>
    <t>AR3100</t>
  </si>
  <si>
    <t>AR3102</t>
  </si>
  <si>
    <t>AR3104</t>
  </si>
  <si>
    <t>AR3105</t>
  </si>
  <si>
    <t>AR4100</t>
  </si>
  <si>
    <t>AR4101</t>
  </si>
  <si>
    <t>AR4103</t>
  </si>
  <si>
    <t>원팀</t>
  </si>
  <si>
    <t>AR4104</t>
  </si>
  <si>
    <t>올라운더팀</t>
  </si>
  <si>
    <t>AR4105</t>
  </si>
  <si>
    <t>순서</t>
  </si>
  <si>
    <t>NC불광</t>
  </si>
  <si>
    <t>NC충장</t>
  </si>
  <si>
    <t>PLD</t>
  </si>
  <si>
    <t>PMD</t>
  </si>
  <si>
    <t>고양터미널점(롯데아울렛)</t>
  </si>
  <si>
    <t>현대</t>
  </si>
  <si>
    <t>2026-03-01</t>
  </si>
  <si>
    <t>2021-09-01</t>
  </si>
  <si>
    <t>2020-01-01</t>
  </si>
  <si>
    <t>2024-11-01</t>
  </si>
  <si>
    <t>2025-03-01</t>
  </si>
  <si>
    <t>비고</t>
    <phoneticPr fontId="18" type="noConversion"/>
  </si>
  <si>
    <t>입사일</t>
    <phoneticPr fontId="18" type="noConversion"/>
  </si>
  <si>
    <t>직급</t>
    <phoneticPr fontId="18" type="noConversion"/>
  </si>
  <si>
    <t>No.</t>
    <phoneticPr fontId="18" type="noConversion"/>
  </si>
  <si>
    <t>구분</t>
    <phoneticPr fontId="18" type="noConversion"/>
  </si>
  <si>
    <t>비 고</t>
    <phoneticPr fontId="18" type="noConversion"/>
  </si>
  <si>
    <t>퇴사일</t>
    <phoneticPr fontId="18" type="noConversion"/>
  </si>
  <si>
    <t>순번</t>
    <phoneticPr fontId="18" type="noConversion"/>
  </si>
  <si>
    <t>2026년 신규입사자 현황</t>
    <phoneticPr fontId="18" type="noConversion"/>
  </si>
  <si>
    <t>2026년 중도퇴사자 현황</t>
    <phoneticPr fontId="18" type="noConversion"/>
  </si>
  <si>
    <t>연구원</t>
    <phoneticPr fontId="1" type="noConversion"/>
  </si>
  <si>
    <t>2025-12-29</t>
  </si>
  <si>
    <t>2023-11-03</t>
  </si>
  <si>
    <t>2025-12-01</t>
  </si>
  <si>
    <t>2018-06-01</t>
  </si>
  <si>
    <t>2018-08-01</t>
  </si>
  <si>
    <t>2022-10-24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</si>
</sst>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 ;[Red]\-#,##0\ "/>
    <numFmt numFmtId="177" formatCode="#,##0_ "/>
    <numFmt numFmtId="178" formatCode="0_ ;[Red]\-0\ "/>
    <numFmt numFmtId="179" formatCode="0.0%"/>
    <numFmt numFmtId="180" formatCode="\ m&quot;월&quot;;@"/>
  </numFmts>
  <fonts count="21" x14ac:knownFonts="1">
    <font>
      <sz val="9"/>
      <color theme="1"/>
      <name val="돋움체"/>
      <family val="2"/>
      <charset val="129"/>
    </font>
    <font>
      <sz val="8"/>
      <name val="돋움체"/>
      <family val="2"/>
      <charset val="129"/>
    </font>
    <font>
      <sz val="11"/>
      <name val="돋움"/>
      <family val="3"/>
      <charset val="129"/>
    </font>
    <font>
      <b/>
      <sz val="30"/>
      <color indexed="12"/>
      <name val="Microsoft NeoGothic"/>
      <family val="3"/>
      <charset val="129"/>
    </font>
    <font>
      <sz val="11"/>
      <name val="Microsoft NeoGothic"/>
      <family val="3"/>
      <charset val="129"/>
    </font>
    <font>
      <sz val="12"/>
      <name val="Microsoft NeoGothic"/>
      <family val="3"/>
      <charset val="129"/>
    </font>
    <font>
      <b/>
      <sz val="12"/>
      <name val="Microsoft NeoGothic"/>
      <family val="3"/>
      <charset val="129"/>
    </font>
    <font>
      <sz val="8"/>
      <name val="Microsoft NeoGothic"/>
      <family val="3"/>
      <charset val="129"/>
    </font>
    <font>
      <sz val="9"/>
      <name val="Microsoft NeoGothic"/>
      <family val="3"/>
      <charset val="129"/>
    </font>
    <font>
      <sz val="9"/>
      <color rgb="FFC00000"/>
      <name val="Microsoft NeoGothic"/>
      <family val="3"/>
      <charset val="129"/>
    </font>
    <font>
      <sz val="11"/>
      <color rgb="FFC00000"/>
      <name val="Microsoft NeoGothic"/>
      <family val="3"/>
      <charset val="129"/>
    </font>
    <font>
      <sz val="12"/>
      <color theme="1"/>
      <name val="Microsoft NeoGothic"/>
      <family val="3"/>
      <charset val="129"/>
    </font>
    <font>
      <b/>
      <sz val="11"/>
      <color rgb="FFFF0000"/>
      <name val="Microsoft NeoGothic"/>
      <family val="3"/>
      <charset val="129"/>
    </font>
    <font>
      <sz val="9"/>
      <color theme="1"/>
      <name val="Microsoft NeoGothic"/>
      <family val="3"/>
      <charset val="129"/>
    </font>
    <font>
      <sz val="12"/>
      <color rgb="FFC00000"/>
      <name val="Microsoft NeoGothic"/>
      <family val="3"/>
      <charset val="129"/>
    </font>
    <font>
      <sz val="11"/>
      <color theme="1"/>
      <name val="맑은 고딕"/>
      <family val="2"/>
      <scheme val="minor"/>
    </font>
    <font>
      <sz val="10"/>
      <color theme="1"/>
      <name val="Microsoft NeoGothic"/>
      <family val="3"/>
      <charset val="129"/>
    </font>
    <font>
      <b/>
      <sz val="10"/>
      <color theme="1"/>
      <name val="Microsoft NeoGothic"/>
      <family val="3"/>
      <charset val="129"/>
    </font>
    <font>
      <sz val="8"/>
      <name val="맑은 고딕"/>
      <family val="3"/>
      <charset val="129"/>
      <scheme val="minor"/>
    </font>
    <font>
      <u/>
      <sz val="12"/>
      <color theme="1"/>
      <name val="Microsoft NeoGothic"/>
      <family val="3"/>
      <charset val="129"/>
    </font>
    <font>
      <u/>
      <sz val="16"/>
      <color theme="1"/>
      <name val="Microsoft Neo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9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  <border>
      <left style="thin">
        <color rgb="FF9BC2E6"/>
      </left>
      <right style="thin">
        <color rgb="FF9BC2E6"/>
      </right>
      <top/>
      <bottom style="thin">
        <color rgb="FF9BC2E6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/>
      <diagonal/>
    </border>
    <border>
      <left style="thin">
        <color rgb="FF9BC2E6"/>
      </left>
      <right style="thin">
        <color rgb="FF9BC2E6"/>
      </right>
      <top/>
      <bottom/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9" fontId="2" fillId="0" borderId="0">
      <alignment vertical="center"/>
    </xf>
    <xf numFmtId="0" fontId="15" fillId="0" borderId="0"/>
    <xf numFmtId="0" fontId="15" fillId="0" borderId="0"/>
  </cellStyleXfs>
  <cellXfs count="176">
    <xf numFmtId="0" fontId="0" fillId="0" borderId="0" xfId="0">
      <alignment vertical="center"/>
    </xf>
    <xf numFmtId="0" fontId="4" fillId="0" borderId="0" xfId="1" applyFont="1">
      <alignment vertical="center"/>
    </xf>
    <xf numFmtId="0" fontId="5" fillId="0" borderId="0" xfId="1" applyFont="1">
      <alignment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176" fontId="6" fillId="2" borderId="11" xfId="1" applyNumberFormat="1" applyFont="1" applyFill="1" applyBorder="1" applyAlignment="1">
      <alignment horizontal="center" vertical="center" wrapText="1"/>
    </xf>
    <xf numFmtId="177" fontId="5" fillId="0" borderId="14" xfId="1" applyNumberFormat="1" applyFont="1" applyBorder="1" applyAlignment="1">
      <alignment horizontal="right" vertical="center"/>
    </xf>
    <xf numFmtId="177" fontId="5" fillId="0" borderId="15" xfId="1" applyNumberFormat="1" applyFont="1" applyBorder="1" applyAlignment="1">
      <alignment horizontal="right" vertical="center"/>
    </xf>
    <xf numFmtId="178" fontId="5" fillId="0" borderId="16" xfId="2" applyNumberFormat="1" applyFont="1" applyBorder="1" applyAlignment="1">
      <alignment horizontal="right" vertical="center"/>
    </xf>
    <xf numFmtId="179" fontId="5" fillId="0" borderId="17" xfId="2" applyNumberFormat="1" applyFont="1" applyBorder="1" applyAlignment="1">
      <alignment horizontal="right" vertical="center"/>
    </xf>
    <xf numFmtId="176" fontId="5" fillId="0" borderId="18" xfId="2" applyNumberFormat="1" applyFont="1" applyBorder="1" applyAlignment="1">
      <alignment horizontal="right" vertical="center"/>
    </xf>
    <xf numFmtId="10" fontId="5" fillId="0" borderId="19" xfId="2" applyNumberFormat="1" applyFont="1" applyBorder="1" applyAlignment="1">
      <alignment horizontal="right" vertical="center"/>
    </xf>
    <xf numFmtId="0" fontId="5" fillId="3" borderId="0" xfId="1" applyFont="1" applyFill="1">
      <alignment vertical="center"/>
    </xf>
    <xf numFmtId="0" fontId="5" fillId="0" borderId="20" xfId="1" applyFont="1" applyBorder="1" applyAlignment="1">
      <alignment horizontal="center" vertical="center"/>
    </xf>
    <xf numFmtId="177" fontId="5" fillId="0" borderId="21" xfId="1" applyNumberFormat="1" applyFont="1" applyBorder="1" applyAlignment="1">
      <alignment horizontal="right" vertical="center"/>
    </xf>
    <xf numFmtId="177" fontId="5" fillId="0" borderId="22" xfId="1" applyNumberFormat="1" applyFont="1" applyBorder="1" applyAlignment="1">
      <alignment horizontal="right" vertical="center"/>
    </xf>
    <xf numFmtId="178" fontId="5" fillId="0" borderId="23" xfId="2" applyNumberFormat="1" applyFont="1" applyBorder="1" applyAlignment="1">
      <alignment horizontal="right" vertical="center"/>
    </xf>
    <xf numFmtId="179" fontId="5" fillId="0" borderId="24" xfId="2" applyNumberFormat="1" applyFont="1" applyBorder="1" applyAlignment="1">
      <alignment horizontal="right" vertical="center"/>
    </xf>
    <xf numFmtId="176" fontId="5" fillId="0" borderId="21" xfId="2" applyNumberFormat="1" applyFont="1" applyBorder="1" applyAlignment="1">
      <alignment horizontal="right" vertical="center"/>
    </xf>
    <xf numFmtId="10" fontId="5" fillId="0" borderId="22" xfId="2" applyNumberFormat="1" applyFont="1" applyBorder="1" applyAlignment="1">
      <alignment horizontal="right" vertical="center"/>
    </xf>
    <xf numFmtId="0" fontId="5" fillId="0" borderId="25" xfId="1" applyFont="1" applyBorder="1" applyAlignment="1">
      <alignment horizontal="center" vertical="center"/>
    </xf>
    <xf numFmtId="177" fontId="5" fillId="0" borderId="26" xfId="1" applyNumberFormat="1" applyFont="1" applyBorder="1" applyAlignment="1">
      <alignment horizontal="right" vertical="center"/>
    </xf>
    <xf numFmtId="177" fontId="5" fillId="4" borderId="27" xfId="1" applyNumberFormat="1" applyFont="1" applyFill="1" applyBorder="1" applyAlignment="1">
      <alignment horizontal="right" vertical="center"/>
    </xf>
    <xf numFmtId="178" fontId="5" fillId="0" borderId="28" xfId="2" applyNumberFormat="1" applyFont="1" applyBorder="1" applyAlignment="1">
      <alignment horizontal="right" vertical="center"/>
    </xf>
    <xf numFmtId="179" fontId="5" fillId="0" borderId="29" xfId="2" applyNumberFormat="1" applyFont="1" applyBorder="1" applyAlignment="1">
      <alignment horizontal="right" vertical="center"/>
    </xf>
    <xf numFmtId="176" fontId="5" fillId="0" borderId="30" xfId="2" applyNumberFormat="1" applyFont="1" applyBorder="1" applyAlignment="1">
      <alignment horizontal="right" vertical="center"/>
    </xf>
    <xf numFmtId="10" fontId="5" fillId="0" borderId="31" xfId="2" applyNumberFormat="1" applyFont="1" applyBorder="1" applyAlignment="1">
      <alignment horizontal="right" vertical="center"/>
    </xf>
    <xf numFmtId="0" fontId="5" fillId="0" borderId="32" xfId="1" applyFont="1" applyBorder="1" applyAlignment="1">
      <alignment horizontal="center" vertical="center"/>
    </xf>
    <xf numFmtId="177" fontId="5" fillId="0" borderId="33" xfId="1" applyNumberFormat="1" applyFont="1" applyBorder="1" applyAlignment="1">
      <alignment horizontal="right" vertical="center"/>
    </xf>
    <xf numFmtId="177" fontId="5" fillId="0" borderId="34" xfId="1" applyNumberFormat="1" applyFont="1" applyBorder="1" applyAlignment="1">
      <alignment horizontal="right" vertical="center"/>
    </xf>
    <xf numFmtId="0" fontId="7" fillId="0" borderId="0" xfId="1" applyFont="1" applyAlignment="1">
      <alignment vertical="center" wrapText="1"/>
    </xf>
    <xf numFmtId="178" fontId="5" fillId="0" borderId="35" xfId="2" applyNumberFormat="1" applyFont="1" applyBorder="1" applyAlignment="1">
      <alignment horizontal="right" vertical="center"/>
    </xf>
    <xf numFmtId="179" fontId="5" fillId="0" borderId="36" xfId="2" applyNumberFormat="1" applyFont="1" applyBorder="1" applyAlignment="1">
      <alignment horizontal="right" vertical="center"/>
    </xf>
    <xf numFmtId="176" fontId="5" fillId="0" borderId="37" xfId="2" applyNumberFormat="1" applyFont="1" applyBorder="1" applyAlignment="1">
      <alignment horizontal="right" vertical="center"/>
    </xf>
    <xf numFmtId="10" fontId="5" fillId="0" borderId="38" xfId="2" applyNumberFormat="1" applyFont="1" applyBorder="1" applyAlignment="1">
      <alignment horizontal="right" vertical="center"/>
    </xf>
    <xf numFmtId="49" fontId="5" fillId="0" borderId="40" xfId="1" applyNumberFormat="1" applyFont="1" applyBorder="1" applyAlignment="1">
      <alignment horizontal="centerContinuous" vertical="center"/>
    </xf>
    <xf numFmtId="177" fontId="5" fillId="0" borderId="41" xfId="1" applyNumberFormat="1" applyFont="1" applyBorder="1" applyAlignment="1">
      <alignment horizontal="right" vertical="center"/>
    </xf>
    <xf numFmtId="177" fontId="5" fillId="0" borderId="42" xfId="1" applyNumberFormat="1" applyFont="1" applyBorder="1" applyAlignment="1">
      <alignment horizontal="right" vertical="center"/>
    </xf>
    <xf numFmtId="178" fontId="5" fillId="0" borderId="43" xfId="2" applyNumberFormat="1" applyFont="1" applyBorder="1" applyAlignment="1">
      <alignment horizontal="right" vertical="center"/>
    </xf>
    <xf numFmtId="179" fontId="5" fillId="0" borderId="44" xfId="2" applyNumberFormat="1" applyFont="1" applyBorder="1" applyAlignment="1">
      <alignment horizontal="right" vertical="center"/>
    </xf>
    <xf numFmtId="176" fontId="5" fillId="0" borderId="41" xfId="2" applyNumberFormat="1" applyFont="1" applyBorder="1" applyAlignment="1">
      <alignment horizontal="right" vertical="center"/>
    </xf>
    <xf numFmtId="10" fontId="5" fillId="0" borderId="42" xfId="2" applyNumberFormat="1" applyFont="1" applyBorder="1" applyAlignment="1">
      <alignment horizontal="right" vertical="center"/>
    </xf>
    <xf numFmtId="0" fontId="8" fillId="0" borderId="0" xfId="1" applyFont="1" applyAlignment="1">
      <alignment vertical="center" wrapText="1"/>
    </xf>
    <xf numFmtId="0" fontId="8" fillId="0" borderId="0" xfId="1" applyFont="1">
      <alignment vertical="center"/>
    </xf>
    <xf numFmtId="0" fontId="5" fillId="0" borderId="45" xfId="1" applyFont="1" applyBorder="1" applyAlignment="1">
      <alignment horizontal="center" vertical="center"/>
    </xf>
    <xf numFmtId="177" fontId="5" fillId="0" borderId="30" xfId="1" applyNumberFormat="1" applyFont="1" applyBorder="1" applyAlignment="1">
      <alignment horizontal="right" vertical="center"/>
    </xf>
    <xf numFmtId="177" fontId="5" fillId="0" borderId="31" xfId="1" applyNumberFormat="1" applyFont="1" applyBorder="1" applyAlignment="1">
      <alignment horizontal="right" vertical="center"/>
    </xf>
    <xf numFmtId="0" fontId="9" fillId="0" borderId="0" xfId="1" applyFont="1" applyAlignment="1">
      <alignment vertical="center" wrapText="1"/>
    </xf>
    <xf numFmtId="0" fontId="5" fillId="0" borderId="46" xfId="1" applyFont="1" applyBorder="1" applyAlignment="1">
      <alignment horizontal="center" vertical="center"/>
    </xf>
    <xf numFmtId="177" fontId="5" fillId="0" borderId="37" xfId="1" applyNumberFormat="1" applyFont="1" applyBorder="1" applyAlignment="1">
      <alignment horizontal="right" vertical="center"/>
    </xf>
    <xf numFmtId="177" fontId="5" fillId="0" borderId="38" xfId="1" applyNumberFormat="1" applyFont="1" applyBorder="1" applyAlignment="1">
      <alignment horizontal="right" vertical="center"/>
    </xf>
    <xf numFmtId="0" fontId="5" fillId="0" borderId="47" xfId="1" applyFont="1" applyBorder="1" applyAlignment="1">
      <alignment horizontal="center" vertical="center"/>
    </xf>
    <xf numFmtId="0" fontId="5" fillId="0" borderId="48" xfId="1" applyFont="1" applyBorder="1" applyAlignment="1">
      <alignment horizontal="center" vertical="center"/>
    </xf>
    <xf numFmtId="0" fontId="10" fillId="0" borderId="0" xfId="1" applyFont="1">
      <alignment vertical="center"/>
    </xf>
    <xf numFmtId="178" fontId="5" fillId="0" borderId="49" xfId="2" applyNumberFormat="1" applyFont="1" applyBorder="1" applyAlignment="1">
      <alignment horizontal="right" vertical="center"/>
    </xf>
    <xf numFmtId="179" fontId="5" fillId="0" borderId="50" xfId="2" applyNumberFormat="1" applyFont="1" applyBorder="1" applyAlignment="1">
      <alignment horizontal="right" vertical="center"/>
    </xf>
    <xf numFmtId="176" fontId="5" fillId="0" borderId="51" xfId="2" applyNumberFormat="1" applyFont="1" applyBorder="1" applyAlignment="1">
      <alignment horizontal="right" vertical="center"/>
    </xf>
    <xf numFmtId="10" fontId="5" fillId="0" borderId="52" xfId="2" applyNumberFormat="1" applyFont="1" applyBorder="1" applyAlignment="1">
      <alignment horizontal="right" vertical="center"/>
    </xf>
    <xf numFmtId="177" fontId="6" fillId="5" borderId="55" xfId="1" applyNumberFormat="1" applyFont="1" applyFill="1" applyBorder="1" applyAlignment="1">
      <alignment horizontal="right" vertical="center" wrapText="1"/>
    </xf>
    <xf numFmtId="177" fontId="6" fillId="5" borderId="56" xfId="1" applyNumberFormat="1" applyFont="1" applyFill="1" applyBorder="1" applyAlignment="1">
      <alignment horizontal="right" vertical="center" wrapText="1"/>
    </xf>
    <xf numFmtId="178" fontId="5" fillId="6" borderId="57" xfId="2" applyNumberFormat="1" applyFont="1" applyFill="1" applyBorder="1" applyAlignment="1">
      <alignment horizontal="right" vertical="center"/>
    </xf>
    <xf numFmtId="10" fontId="5" fillId="6" borderId="58" xfId="2" applyNumberFormat="1" applyFont="1" applyFill="1" applyBorder="1" applyAlignment="1">
      <alignment horizontal="right" vertical="center"/>
    </xf>
    <xf numFmtId="176" fontId="5" fillId="6" borderId="55" xfId="2" applyNumberFormat="1" applyFont="1" applyFill="1" applyBorder="1" applyAlignment="1">
      <alignment horizontal="right" vertical="center"/>
    </xf>
    <xf numFmtId="10" fontId="5" fillId="6" borderId="56" xfId="2" applyNumberFormat="1" applyFont="1" applyFill="1" applyBorder="1" applyAlignment="1">
      <alignment horizontal="right" vertical="center"/>
    </xf>
    <xf numFmtId="177" fontId="5" fillId="0" borderId="43" xfId="1" applyNumberFormat="1" applyFont="1" applyBorder="1" applyAlignment="1">
      <alignment horizontal="right" vertical="center" wrapText="1"/>
    </xf>
    <xf numFmtId="177" fontId="5" fillId="0" borderId="42" xfId="1" applyNumberFormat="1" applyFont="1" applyBorder="1" applyAlignment="1">
      <alignment horizontal="right" vertical="center" wrapText="1"/>
    </xf>
    <xf numFmtId="0" fontId="5" fillId="7" borderId="0" xfId="1" applyFont="1" applyFill="1">
      <alignment vertical="center"/>
    </xf>
    <xf numFmtId="177" fontId="5" fillId="0" borderId="60" xfId="1" applyNumberFormat="1" applyFont="1" applyBorder="1" applyAlignment="1">
      <alignment horizontal="right" vertical="center" wrapText="1"/>
    </xf>
    <xf numFmtId="177" fontId="5" fillId="0" borderId="61" xfId="1" applyNumberFormat="1" applyFont="1" applyBorder="1" applyAlignment="1">
      <alignment horizontal="right" vertical="center" wrapText="1"/>
    </xf>
    <xf numFmtId="177" fontId="5" fillId="0" borderId="12" xfId="1" applyNumberFormat="1" applyFont="1" applyBorder="1" applyAlignment="1">
      <alignment horizontal="right" vertical="center" wrapText="1"/>
    </xf>
    <xf numFmtId="177" fontId="5" fillId="0" borderId="10" xfId="1" applyNumberFormat="1" applyFont="1" applyBorder="1" applyAlignment="1">
      <alignment horizontal="right" vertical="center" wrapText="1"/>
    </xf>
    <xf numFmtId="177" fontId="6" fillId="5" borderId="57" xfId="1" applyNumberFormat="1" applyFont="1" applyFill="1" applyBorder="1" applyAlignment="1">
      <alignment horizontal="right" vertical="center" wrapText="1"/>
    </xf>
    <xf numFmtId="177" fontId="6" fillId="5" borderId="66" xfId="1" applyNumberFormat="1" applyFont="1" applyFill="1" applyBorder="1" applyAlignment="1">
      <alignment horizontal="right" vertical="center" wrapText="1"/>
    </xf>
    <xf numFmtId="179" fontId="5" fillId="6" borderId="58" xfId="2" applyNumberFormat="1" applyFont="1" applyFill="1" applyBorder="1" applyAlignment="1">
      <alignment horizontal="right" vertical="center"/>
    </xf>
    <xf numFmtId="177" fontId="5" fillId="0" borderId="68" xfId="1" applyNumberFormat="1" applyFont="1" applyBorder="1" applyAlignment="1">
      <alignment horizontal="right" vertical="center"/>
    </xf>
    <xf numFmtId="177" fontId="11" fillId="0" borderId="69" xfId="1" applyNumberFormat="1" applyFont="1" applyBorder="1" applyAlignment="1">
      <alignment horizontal="right" vertical="center"/>
    </xf>
    <xf numFmtId="177" fontId="5" fillId="0" borderId="69" xfId="1" applyNumberFormat="1" applyFont="1" applyBorder="1" applyAlignment="1">
      <alignment horizontal="right" vertical="center"/>
    </xf>
    <xf numFmtId="178" fontId="5" fillId="0" borderId="70" xfId="2" applyNumberFormat="1" applyFont="1" applyBorder="1" applyAlignment="1">
      <alignment horizontal="right" vertical="center"/>
    </xf>
    <xf numFmtId="179" fontId="5" fillId="0" borderId="71" xfId="2" applyNumberFormat="1" applyFont="1" applyBorder="1" applyAlignment="1">
      <alignment horizontal="right" vertical="center"/>
    </xf>
    <xf numFmtId="176" fontId="5" fillId="0" borderId="68" xfId="2" applyNumberFormat="1" applyFont="1" applyBorder="1" applyAlignment="1">
      <alignment horizontal="right" vertical="center"/>
    </xf>
    <xf numFmtId="10" fontId="5" fillId="0" borderId="69" xfId="2" applyNumberFormat="1" applyFont="1" applyBorder="1" applyAlignment="1">
      <alignment horizontal="right" vertical="center"/>
    </xf>
    <xf numFmtId="0" fontId="11" fillId="0" borderId="0" xfId="1" applyFont="1">
      <alignment vertical="center"/>
    </xf>
    <xf numFmtId="177" fontId="11" fillId="0" borderId="31" xfId="1" applyNumberFormat="1" applyFont="1" applyBorder="1" applyAlignment="1">
      <alignment horizontal="right" vertical="center"/>
    </xf>
    <xf numFmtId="177" fontId="5" fillId="0" borderId="73" xfId="1" applyNumberFormat="1" applyFont="1" applyBorder="1" applyAlignment="1">
      <alignment horizontal="right" vertical="center"/>
    </xf>
    <xf numFmtId="177" fontId="5" fillId="0" borderId="74" xfId="1" applyNumberFormat="1" applyFont="1" applyBorder="1" applyAlignment="1">
      <alignment horizontal="right" vertical="center"/>
    </xf>
    <xf numFmtId="178" fontId="5" fillId="0" borderId="75" xfId="2" applyNumberFormat="1" applyFont="1" applyBorder="1" applyAlignment="1">
      <alignment horizontal="right" vertical="center"/>
    </xf>
    <xf numFmtId="179" fontId="5" fillId="0" borderId="76" xfId="2" applyNumberFormat="1" applyFont="1" applyBorder="1" applyAlignment="1">
      <alignment horizontal="right" vertical="center"/>
    </xf>
    <xf numFmtId="176" fontId="5" fillId="0" borderId="73" xfId="2" applyNumberFormat="1" applyFont="1" applyBorder="1" applyAlignment="1">
      <alignment horizontal="right" vertical="center"/>
    </xf>
    <xf numFmtId="10" fontId="5" fillId="0" borderId="74" xfId="2" applyNumberFormat="1" applyFont="1" applyBorder="1" applyAlignment="1">
      <alignment horizontal="right" vertical="center"/>
    </xf>
    <xf numFmtId="177" fontId="6" fillId="8" borderId="77" xfId="1" applyNumberFormat="1" applyFont="1" applyFill="1" applyBorder="1" applyAlignment="1">
      <alignment horizontal="right" vertical="center" wrapText="1"/>
    </xf>
    <xf numFmtId="177" fontId="6" fillId="8" borderId="56" xfId="1" applyNumberFormat="1" applyFont="1" applyFill="1" applyBorder="1" applyAlignment="1">
      <alignment horizontal="right" vertical="center" wrapText="1"/>
    </xf>
    <xf numFmtId="177" fontId="6" fillId="2" borderId="57" xfId="1" applyNumberFormat="1" applyFont="1" applyFill="1" applyBorder="1" applyAlignment="1">
      <alignment vertical="center" wrapText="1"/>
    </xf>
    <xf numFmtId="177" fontId="6" fillId="2" borderId="56" xfId="1" applyNumberFormat="1" applyFont="1" applyFill="1" applyBorder="1" applyAlignment="1">
      <alignment vertical="center" wrapText="1"/>
    </xf>
    <xf numFmtId="0" fontId="12" fillId="0" borderId="0" xfId="1" applyFont="1">
      <alignment vertical="center"/>
    </xf>
    <xf numFmtId="177" fontId="12" fillId="0" borderId="0" xfId="1" applyNumberFormat="1" applyFont="1">
      <alignment vertical="center"/>
    </xf>
    <xf numFmtId="0" fontId="2" fillId="0" borderId="0" xfId="1">
      <alignment vertical="center"/>
    </xf>
    <xf numFmtId="0" fontId="8" fillId="0" borderId="0" xfId="1" applyFont="1" applyAlignment="1">
      <alignment horizontal="center" vertical="center"/>
    </xf>
    <xf numFmtId="10" fontId="5" fillId="0" borderId="10" xfId="2" applyNumberFormat="1" applyFont="1" applyBorder="1" applyAlignment="1">
      <alignment horizontal="right" vertical="center"/>
    </xf>
    <xf numFmtId="0" fontId="8" fillId="2" borderId="0" xfId="1" applyFont="1" applyFill="1" applyAlignment="1">
      <alignment horizontal="left" vertical="center"/>
    </xf>
    <xf numFmtId="0" fontId="8" fillId="0" borderId="0" xfId="1" applyFont="1" applyAlignment="1">
      <alignment horizontal="left" vertical="center"/>
    </xf>
    <xf numFmtId="49" fontId="8" fillId="0" borderId="0" xfId="1" applyNumberFormat="1" applyFont="1" applyAlignment="1">
      <alignment horizontal="left" vertical="center"/>
    </xf>
    <xf numFmtId="0" fontId="8" fillId="3" borderId="0" xfId="1" applyFont="1" applyFill="1" applyAlignment="1">
      <alignment horizontal="left" vertical="center"/>
    </xf>
    <xf numFmtId="0" fontId="13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14" fontId="4" fillId="3" borderId="0" xfId="1" applyNumberFormat="1" applyFont="1" applyFill="1">
      <alignment vertical="center"/>
    </xf>
    <xf numFmtId="177" fontId="5" fillId="4" borderId="27" xfId="1" applyNumberFormat="1" applyFont="1" applyFill="1" applyBorder="1">
      <alignment vertical="center"/>
    </xf>
    <xf numFmtId="49" fontId="5" fillId="0" borderId="59" xfId="1" applyNumberFormat="1" applyFont="1" applyBorder="1" applyAlignment="1">
      <alignment horizontal="centerContinuous" vertical="center"/>
    </xf>
    <xf numFmtId="0" fontId="5" fillId="0" borderId="3" xfId="1" applyFont="1" applyBorder="1" applyAlignment="1">
      <alignment horizontal="centerContinuous" vertical="center"/>
    </xf>
    <xf numFmtId="0" fontId="5" fillId="0" borderId="5" xfId="1" applyFont="1" applyBorder="1" applyAlignment="1">
      <alignment horizontal="centerContinuous" vertical="center"/>
    </xf>
    <xf numFmtId="0" fontId="14" fillId="0" borderId="0" xfId="1" applyFont="1">
      <alignment vertical="center"/>
    </xf>
    <xf numFmtId="0" fontId="13" fillId="9" borderId="0" xfId="0" applyFont="1" applyFill="1">
      <alignment vertical="center"/>
    </xf>
    <xf numFmtId="0" fontId="0" fillId="0" borderId="0" xfId="0" applyAlignment="1"/>
    <xf numFmtId="0" fontId="16" fillId="0" borderId="0" xfId="4" applyFont="1"/>
    <xf numFmtId="0" fontId="16" fillId="0" borderId="0" xfId="4" applyFont="1" applyAlignment="1">
      <alignment horizontal="center"/>
    </xf>
    <xf numFmtId="0" fontId="16" fillId="0" borderId="0" xfId="4" applyFont="1" applyAlignment="1">
      <alignment vertical="center"/>
    </xf>
    <xf numFmtId="0" fontId="17" fillId="0" borderId="93" xfId="4" applyFont="1" applyBorder="1" applyAlignment="1">
      <alignment vertical="center"/>
    </xf>
    <xf numFmtId="0" fontId="17" fillId="0" borderId="93" xfId="4" applyFont="1" applyBorder="1" applyAlignment="1">
      <alignment horizontal="center" vertical="center"/>
    </xf>
    <xf numFmtId="0" fontId="16" fillId="0" borderId="93" xfId="4" applyFont="1" applyBorder="1" applyAlignment="1">
      <alignment vertical="center"/>
    </xf>
    <xf numFmtId="180" fontId="17" fillId="0" borderId="95" xfId="4" applyNumberFormat="1" applyFont="1" applyBorder="1" applyAlignment="1">
      <alignment horizontal="center" vertical="center"/>
    </xf>
    <xf numFmtId="14" fontId="17" fillId="0" borderId="93" xfId="4" applyNumberFormat="1" applyFont="1" applyBorder="1" applyAlignment="1">
      <alignment horizontal="center" vertical="center"/>
    </xf>
    <xf numFmtId="180" fontId="17" fillId="0" borderId="93" xfId="4" applyNumberFormat="1" applyFont="1" applyBorder="1" applyAlignment="1">
      <alignment horizontal="center" vertical="center"/>
    </xf>
    <xf numFmtId="0" fontId="16" fillId="0" borderId="0" xfId="4" applyFont="1" applyAlignment="1">
      <alignment horizontal="center" vertical="center"/>
    </xf>
    <xf numFmtId="0" fontId="17" fillId="10" borderId="93" xfId="4" applyFont="1" applyFill="1" applyBorder="1" applyAlignment="1">
      <alignment horizontal="center" vertical="center"/>
    </xf>
    <xf numFmtId="0" fontId="19" fillId="0" borderId="0" xfId="4" applyFont="1" applyAlignment="1">
      <alignment horizontal="centerContinuous"/>
    </xf>
    <xf numFmtId="0" fontId="20" fillId="0" borderId="0" xfId="4" applyFont="1" applyAlignment="1">
      <alignment horizontal="centerContinuous"/>
    </xf>
    <xf numFmtId="0" fontId="19" fillId="0" borderId="0" xfId="4" applyFont="1" applyAlignment="1">
      <alignment horizontal="centerContinuous" vertical="center"/>
    </xf>
    <xf numFmtId="178" fontId="5" fillId="0" borderId="12" xfId="2" applyNumberFormat="1" applyFont="1" applyBorder="1" applyAlignment="1">
      <alignment horizontal="right" vertical="center"/>
    </xf>
    <xf numFmtId="0" fontId="0" fillId="0" borderId="65" xfId="0" applyBorder="1" applyAlignment="1"/>
    <xf numFmtId="0" fontId="0" fillId="0" borderId="9" xfId="0" applyBorder="1" applyAlignment="1"/>
    <xf numFmtId="0" fontId="5" fillId="0" borderId="86" xfId="1" applyFont="1" applyBorder="1" applyAlignment="1">
      <alignment horizontal="center" vertical="center"/>
    </xf>
    <xf numFmtId="0" fontId="0" fillId="0" borderId="67" xfId="0" applyBorder="1" applyAlignment="1"/>
    <xf numFmtId="0" fontId="6" fillId="2" borderId="53" xfId="1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5" fillId="0" borderId="62" xfId="1" applyFont="1" applyBorder="1" applyAlignment="1">
      <alignment horizontal="center" vertical="center"/>
    </xf>
    <xf numFmtId="0" fontId="0" fillId="0" borderId="63" xfId="0" applyBorder="1" applyAlignment="1"/>
    <xf numFmtId="0" fontId="5" fillId="0" borderId="39" xfId="1" applyFont="1" applyBorder="1" applyAlignment="1">
      <alignment horizontal="center" vertical="center"/>
    </xf>
    <xf numFmtId="0" fontId="0" fillId="0" borderId="59" xfId="0" applyBorder="1" applyAlignment="1"/>
    <xf numFmtId="0" fontId="6" fillId="5" borderId="89" xfId="1" applyFont="1" applyFill="1" applyBorder="1" applyAlignment="1">
      <alignment horizontal="center" vertical="center"/>
    </xf>
    <xf numFmtId="0" fontId="0" fillId="0" borderId="78" xfId="0" applyBorder="1" applyAlignment="1"/>
    <xf numFmtId="0" fontId="6" fillId="0" borderId="83" xfId="1" applyFont="1" applyBorder="1" applyAlignment="1">
      <alignment horizontal="center" vertical="center" textRotation="255"/>
    </xf>
    <xf numFmtId="0" fontId="0" fillId="0" borderId="84" xfId="0" applyBorder="1" applyAlignment="1"/>
    <xf numFmtId="0" fontId="0" fillId="0" borderId="85" xfId="0" applyBorder="1" applyAlignment="1"/>
    <xf numFmtId="0" fontId="5" fillId="0" borderId="87" xfId="1" applyFont="1" applyBorder="1" applyAlignment="1">
      <alignment horizontal="center" vertical="center"/>
    </xf>
    <xf numFmtId="0" fontId="0" fillId="0" borderId="48" xfId="0" applyBorder="1" applyAlignment="1"/>
    <xf numFmtId="0" fontId="6" fillId="0" borderId="83" xfId="1" applyFont="1" applyBorder="1" applyAlignment="1">
      <alignment horizontal="center" vertical="center" wrapText="1"/>
    </xf>
    <xf numFmtId="0" fontId="6" fillId="5" borderId="79" xfId="1" applyFont="1" applyFill="1" applyBorder="1" applyAlignment="1">
      <alignment horizontal="center" vertical="center"/>
    </xf>
    <xf numFmtId="0" fontId="0" fillId="0" borderId="79" xfId="0" applyBorder="1" applyAlignment="1"/>
    <xf numFmtId="0" fontId="6" fillId="8" borderId="53" xfId="1" applyFont="1" applyFill="1" applyBorder="1" applyAlignment="1">
      <alignment horizontal="center" vertical="center"/>
    </xf>
    <xf numFmtId="0" fontId="0" fillId="0" borderId="54" xfId="0" applyBorder="1" applyAlignment="1"/>
    <xf numFmtId="0" fontId="5" fillId="0" borderId="64" xfId="1" applyFont="1" applyBorder="1" applyAlignment="1">
      <alignment horizontal="center" vertical="center"/>
    </xf>
    <xf numFmtId="0" fontId="5" fillId="0" borderId="88" xfId="1" applyFont="1" applyBorder="1" applyAlignment="1">
      <alignment horizontal="center" vertical="center"/>
    </xf>
    <xf numFmtId="0" fontId="0" fillId="0" borderId="72" xfId="0" applyBorder="1" applyAlignment="1"/>
    <xf numFmtId="0" fontId="6" fillId="2" borderId="91" xfId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5" xfId="0" applyBorder="1" applyAlignment="1"/>
    <xf numFmtId="177" fontId="6" fillId="2" borderId="78" xfId="1" applyNumberFormat="1" applyFont="1" applyFill="1" applyBorder="1" applyAlignment="1">
      <alignment horizontal="right" vertical="center" wrapText="1"/>
    </xf>
    <xf numFmtId="0" fontId="3" fillId="0" borderId="0" xfId="1" applyFont="1" applyAlignment="1">
      <alignment horizontal="center" vertical="center"/>
    </xf>
    <xf numFmtId="0" fontId="4" fillId="0" borderId="0" xfId="1" applyFont="1">
      <alignment vertical="center"/>
    </xf>
    <xf numFmtId="0" fontId="5" fillId="0" borderId="80" xfId="1" applyFont="1" applyBorder="1" applyAlignment="1">
      <alignment horizontal="center" vertical="center" wrapText="1"/>
    </xf>
    <xf numFmtId="0" fontId="0" fillId="0" borderId="81" xfId="0" applyBorder="1" applyAlignment="1"/>
    <xf numFmtId="0" fontId="6" fillId="2" borderId="4" xfId="1" applyFont="1" applyFill="1" applyBorder="1" applyAlignment="1">
      <alignment horizontal="center" vertical="center" wrapText="1"/>
    </xf>
    <xf numFmtId="0" fontId="0" fillId="0" borderId="4" xfId="0" applyBorder="1" applyAlignment="1"/>
    <xf numFmtId="0" fontId="6" fillId="2" borderId="89" xfId="1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8" xfId="0" applyBorder="1" applyAlignment="1"/>
    <xf numFmtId="0" fontId="6" fillId="2" borderId="90" xfId="1" applyFont="1" applyFill="1" applyBorder="1" applyAlignment="1">
      <alignment horizontal="center" vertical="center" wrapText="1"/>
    </xf>
    <xf numFmtId="0" fontId="5" fillId="0" borderId="92" xfId="1" applyFont="1" applyBorder="1" applyAlignment="1">
      <alignment horizontal="center" vertical="center" wrapText="1"/>
    </xf>
    <xf numFmtId="0" fontId="0" fillId="0" borderId="82" xfId="0" applyBorder="1" applyAlignment="1"/>
    <xf numFmtId="180" fontId="17" fillId="0" borderId="95" xfId="4" applyNumberFormat="1" applyFont="1" applyBorder="1" applyAlignment="1">
      <alignment horizontal="center" vertical="center"/>
    </xf>
    <xf numFmtId="180" fontId="17" fillId="0" borderId="96" xfId="4" applyNumberFormat="1" applyFont="1" applyBorder="1" applyAlignment="1">
      <alignment horizontal="center" vertical="center"/>
    </xf>
    <xf numFmtId="180" fontId="17" fillId="0" borderId="94" xfId="4" applyNumberFormat="1" applyFont="1" applyBorder="1" applyAlignment="1">
      <alignment horizontal="center" vertical="center"/>
    </xf>
  </cellXfs>
  <cellStyles count="5">
    <cellStyle name="백분율 2" xfId="2" xr:uid="{00000000-0005-0000-0000-000002000000}"/>
    <cellStyle name="표준" xfId="0" builtinId="0"/>
    <cellStyle name="표준 2" xfId="1" xr:uid="{00000000-0005-0000-0000-000001000000}"/>
    <cellStyle name="표준 2 2" xfId="4" xr:uid="{D1BBDF54-BEB9-4E6D-9EB8-C93EC08E1EDD}"/>
    <cellStyle name="표준 3" xfId="3" xr:uid="{B4E0AAA4-1826-4909-A068-D8F6575E2CBD}"/>
  </cellStyles>
  <dxfs count="3">
    <dxf>
      <font>
        <strike val="0"/>
        <outline val="0"/>
        <shadow val="0"/>
        <vertAlign val="baseline"/>
        <sz val="9"/>
        <color theme="1"/>
        <name val="Microsoft NeoGothic"/>
        <family val="3"/>
        <charset val="129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Microsoft NeoGothic"/>
        <family val="3"/>
        <charset val="129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9"/>
        <color auto="1"/>
        <name val="Microsoft NeoGothic"/>
        <family val="3"/>
        <charset val="129"/>
      </font>
      <alignment horizontal="left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37.xml"/><Relationship Id="rId47" Type="http://schemas.openxmlformats.org/officeDocument/2006/relationships/externalLink" Target="externalLinks/externalLink42.xml"/><Relationship Id="rId63" Type="http://schemas.openxmlformats.org/officeDocument/2006/relationships/externalLink" Target="externalLinks/externalLink58.xml"/><Relationship Id="rId68" Type="http://schemas.openxmlformats.org/officeDocument/2006/relationships/externalLink" Target="externalLinks/externalLink63.xml"/><Relationship Id="rId16" Type="http://schemas.openxmlformats.org/officeDocument/2006/relationships/externalLink" Target="externalLinks/externalLink1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53" Type="http://schemas.openxmlformats.org/officeDocument/2006/relationships/externalLink" Target="externalLinks/externalLink48.xml"/><Relationship Id="rId58" Type="http://schemas.openxmlformats.org/officeDocument/2006/relationships/externalLink" Target="externalLinks/externalLink53.xml"/><Relationship Id="rId66" Type="http://schemas.openxmlformats.org/officeDocument/2006/relationships/externalLink" Target="externalLinks/externalLink61.xml"/><Relationship Id="rId74" Type="http://schemas.openxmlformats.org/officeDocument/2006/relationships/externalLink" Target="externalLinks/externalLink69.xml"/><Relationship Id="rId79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6.xml"/><Relationship Id="rId19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externalLink" Target="externalLinks/externalLink43.xml"/><Relationship Id="rId56" Type="http://schemas.openxmlformats.org/officeDocument/2006/relationships/externalLink" Target="externalLinks/externalLink51.xml"/><Relationship Id="rId64" Type="http://schemas.openxmlformats.org/officeDocument/2006/relationships/externalLink" Target="externalLinks/externalLink59.xml"/><Relationship Id="rId69" Type="http://schemas.openxmlformats.org/officeDocument/2006/relationships/externalLink" Target="externalLinks/externalLink64.xml"/><Relationship Id="rId77" Type="http://schemas.openxmlformats.org/officeDocument/2006/relationships/styles" Target="styles.xml"/><Relationship Id="rId8" Type="http://schemas.openxmlformats.org/officeDocument/2006/relationships/externalLink" Target="externalLinks/externalLink3.xml"/><Relationship Id="rId51" Type="http://schemas.openxmlformats.org/officeDocument/2006/relationships/externalLink" Target="externalLinks/externalLink46.xml"/><Relationship Id="rId72" Type="http://schemas.openxmlformats.org/officeDocument/2006/relationships/externalLink" Target="externalLinks/externalLink67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59" Type="http://schemas.openxmlformats.org/officeDocument/2006/relationships/externalLink" Target="externalLinks/externalLink54.xml"/><Relationship Id="rId67" Type="http://schemas.openxmlformats.org/officeDocument/2006/relationships/externalLink" Target="externalLinks/externalLink62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54" Type="http://schemas.openxmlformats.org/officeDocument/2006/relationships/externalLink" Target="externalLinks/externalLink49.xml"/><Relationship Id="rId62" Type="http://schemas.openxmlformats.org/officeDocument/2006/relationships/externalLink" Target="externalLinks/externalLink57.xml"/><Relationship Id="rId70" Type="http://schemas.openxmlformats.org/officeDocument/2006/relationships/externalLink" Target="externalLinks/externalLink65.xml"/><Relationship Id="rId75" Type="http://schemas.openxmlformats.org/officeDocument/2006/relationships/externalLink" Target="externalLinks/externalLink7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externalLink" Target="externalLinks/externalLink44.xml"/><Relationship Id="rId57" Type="http://schemas.openxmlformats.org/officeDocument/2006/relationships/externalLink" Target="externalLinks/externalLink52.xml"/><Relationship Id="rId10" Type="http://schemas.openxmlformats.org/officeDocument/2006/relationships/externalLink" Target="externalLinks/externalLink5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52" Type="http://schemas.openxmlformats.org/officeDocument/2006/relationships/externalLink" Target="externalLinks/externalLink47.xml"/><Relationship Id="rId60" Type="http://schemas.openxmlformats.org/officeDocument/2006/relationships/externalLink" Target="externalLinks/externalLink55.xml"/><Relationship Id="rId65" Type="http://schemas.openxmlformats.org/officeDocument/2006/relationships/externalLink" Target="externalLinks/externalLink60.xml"/><Relationship Id="rId73" Type="http://schemas.openxmlformats.org/officeDocument/2006/relationships/externalLink" Target="externalLinks/externalLink68.xml"/><Relationship Id="rId7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9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45.xml"/><Relationship Id="rId55" Type="http://schemas.openxmlformats.org/officeDocument/2006/relationships/externalLink" Target="externalLinks/externalLink50.xml"/><Relationship Id="rId76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71" Type="http://schemas.openxmlformats.org/officeDocument/2006/relationships/externalLink" Target="externalLinks/externalLink6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gesrc\account\Documents%20and%20Settings\mmiia\Local%20Settings\Temporary%20Internet%20Files\OLK7\EXCEL\&#44208;&#49328;\&#50900;&#48372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gesrc\account\Documents%20and%20Settings\mmiia\Local%20Settings\Temporary%20Internet%20Files\OLK7\&#50641;&#49472;&#51088;&#47308;\&#49324;&#50629;&#44228;&#54925;\&#49324;&#50629;&#52628;&#5122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305;&#50896;\MY%20DOCUMENTS\&#48156;&#51452;&#44288;&#47532;(98&#50668;&#47492;),&#51228;&#51312;&#50896;&#4403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gesrc\account\My%20Documents\Client\&#44048;&#49324;\&#51312;&#47749;&#50976;&#47532;\&#48152;&#44592;\WF200\TMP\~TMP5043.$$$\&#44228;&#51221;&#44284;&#47785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097C2E8\&#48148;&#53461;%20&#54868;&#47732;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gesrc\account\&#54924;&#44228;&#44048;&#49324;\&#54620;&#44397;&#54028;&#51060;&#50724;&#45769;&#49828;\2001.12.31\&#44048;&#49324;&#51312;&#49436;\&#51204;&#48152;&#51312;&#49436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J90\&#51116;&#51221;&#48512;\WINDOWS\&#48148;&#53461;%20&#54868;&#47732;\&#51116;&#51221;&#48512;\&#50900;&#44036;&#44228;&#54925;\&#50900;&#44036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gesrc\account\&#45684;&#53076;&#50500;&#47749;&#49464;&#49436;\2003.&#51648;&#51216;&#47749;&#49464;&#53685;&#54633;\2003.&#53685;&#54633;&#47749;&#49464;&#49436;\Sang%20Kyo\&#44208;&#49328;\2001&#45380;&#44208;&#49328;\&#44208;&#49328;&#44048;&#49324;\&#44048;&#49324;&#50857;\WINDOWS\&#48148;&#53461;%20&#54868;&#47732;\&#44608;&#44221;&#49688;\sekyong\excel\1)&#44592;&#48376;&#49436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\CN_AMD\&#50629;&#47924;&#54260;&#45908;(20240527)\&#52509;&#47924;\&#47928;&#49436;\&#45824;&#54364;&#45784;%20&#50900;&#47168;&#54924;&#51032;\&#45824;&#54364;&#45784;%20&#50900;&#47168;&#54924;&#51032;\2024%20&#50900;&#47168;&#54924;&#51032;\&#50900;&#47168;&#48372;&#44256;%20&#51088;&#47308;-&#44221;&#50689;&#51648;&#50896;&#48512;&#47928;(2024&#45380;%204&#50900;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2B72894\&#51216;&#54252;&#48324;%20&#49552;&#51061;&#51333;&#54633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51333;&#54801;\backup&#48169;\korh\2001&#45380;%20&#50900;&#48324;\&#49444;&#45216;&#52628;&#51221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gesrc\account\client\&#44048;&#49324;-&#49464;&#47924;\&#49352;&#47200;&#50724;&#53664;&#47784;&#54000;&#48652;\02&#45380;\&#48152;&#44592;\SAERON&#48152;&#44592;(0206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client\shinsung\audit2002\&#44592;&#47568;&#44048;&#49324;\Report\shinsung_0206_TB_V4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\CN_AMD\OneDrive\IMPERIAL\005%20&#54924;&#51032;&#51088;&#47308;\190304\IP18FW_&#51452;&#44036;&#54924;&#51032;&#51088;&#47308;_181105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4221;&#54620;\&#52572;&#51333;&#49892;&#54665;\&#52572;&#51025;&#51452;&#51089;&#50629;&#49892;\&#50857;&#51064;%20&#48372;&#51221;&#47532;%20&#50500;&#54028;&#53944;\93.&#52572;&#51333;&#49332;&#54665;(&#44208;&#51116;&#50857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gesrc\account\My%20Work\Client\&#45348;&#50724;&#50948;&#51592;\20020630&#48152;&#44592;\&#51312;&#49436;\&#48152;&#44592;_NEO_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gnt\project\WINDOWS\&#48148;&#53461;%20&#54868;&#47732;\LG_CALTEX\LG_CALTEX\&#49888;&#44368;&#49885;&#44060;&#51064;\01&#44144;&#47000;&#49440;&#44204;&#51201;\SECL_HYCO\DCS&#44204;&#51201;\cs1000\DEC_DHDSR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adshare\lead_interior\&#49888;&#49324;&#46041;021220\k&#50500;&#54028;&#53944;%20&#49892;&#54665;%20&#50689;&#51333;&#46020;(1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gesrc\account\WINDOWS\TEMP\&#44048;&#44032;&#51312;&#51221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gesrc\account\Documents%20and%20Settings\mmiia\Local%20Settings\Temporary%20Internet%20Files\OLK7\&#50641;&#49472;&#51088;&#47308;\&#49324;&#50629;&#44228;&#54925;\&#51064;&#44148;&#4870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gesrc\account\WINDOWS\TEMP\DATA\CLIENT\SANWA\TAX\96.3\BWM95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gesrc\account\Temporary%20Internet%20Files\Content.IE5\OPQ3OLAN\My%20Documents\NC%20project(2003&#45380;)\NC%20PL%20PROJECTION\6.%20&#49688;&#51221;&#50504;(03&#45380;05&#50900;01&#51068;)\&#51216;&#54252;&#48324;%20&#49552;&#51061;&#51333;&#54633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gesrc\account\My%20Documents\AUDIT\&#54620;&#44397;&#49328;&#50672;\2003\&#44592;&#47568;\&#51312;&#49436;\&#44592;&#47568;&#51312;&#49436;(&#49328;&#50672;03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HJNOH\2.service\&#45684;&#53076;&#50500;\&#52292;&#44428;&#51088;&#48176;&#48516;\&#47932;&#44148;&#48324;_&#52292;&#47924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&#49444;&#44228;&#49436;\&#49688;&#47785;&#51068;&#50948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ount\&#54924;&#44228;&#51088;&#47308;\kyo\Sang%20Kyo\&#44208;&#49328;&#47749;&#49464;\2003&#45380;&#44208;&#49328;\&#44208;&#49328;&#54869;&#51221;&#47749;&#49464;\&#44208;&#49328;&#47749;&#49464;(2003&#45380;%20&#52293;&#51088;&#48376;)\WINDOWS\&#48148;&#53461;%20&#54868;&#47732;\&#44608;&#44221;&#49688;\sekyong\excel\1)&#44592;&#48376;&#49436;&#49885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\CN_AMD\Users\SY\Desktop\2017%20FW%20&#49884;&#51596;,%20&#50900;,%20&#50500;&#51060;&#53596;&#48324;%20&#54032;&#47588;&#54788;&#54889;%20-%20022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KJ99250\&#44277;&#50976;\WINDOWS\TEMP\(&#54924;&#49324;&#51228;&#49884;)&#51116;&#47924;&#51228;&#5436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9688;&#47785;&#51068;&#50948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bi%20Messenger/0617%20(&#51088;&#46041;%20&#51200;&#51109;&#46120;)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gesrc\account\notes\Audit\&#50689;&#49328;&#51221;&#48372;&#53685;&#49888;\Test\400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46\&#51076;&#54168;&#47532;&#50620;\MD\&#50896;&#44032;&#51652;&#46020;&#50984;\18FW\2018&#45380;%20FW%20IP%20&#50896;&#44032;&#44228;&#49328;%200719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\CN_AMD\Users\&#44608;&#49849;&#54872;\OneDrive\IMPERIAL\006%20&#44596;&#51088;&#47308;\19FW%20IP%20&#44596;&#51088;&#47308;\IP19FW_&#44596;&#51088;&#47308;_190103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KOR2\2&#52264;&#48320;&#44221;\2&#52264;1&#52264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AMWARE\TMP\TO7\98&#44368;&#50977;&#54984;&#47144;\98&#50504;&#45236;&#52293;&#51088;\&#44368;&#50977;&#54984;&#47144;&#50504;&#45236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KJOMS\98&#45380;&#44208;&#49328;&#47749;&#49464;\WOO&#51333;&#47749;\&#44208;&#49328;&#51088;&#47308;\&#50896;&#44032;&#52572;&#51333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ang%20Kyo\&#44208;&#49328;\2001&#45380;&#44208;&#49328;\&#44208;&#49328;&#44048;&#49324;\&#50896;&#51068;&#51088;&#47308;\WINDOWS\&#48148;&#53461;%20&#54868;&#47732;\&#44608;&#44221;&#49688;\sekyong\excel\1)&#44592;&#48376;&#49436;&#49885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&#48148;&#53461;%20&#54868;&#47732;\&#44608;&#44221;&#49688;\sekyong\excel\1)&#44592;&#48376;&#49436;&#49885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ount\&#54924;&#44228;&#51088;&#47308;\kyo\Sang%20Kyo\&#44208;&#49328;&#47749;&#49464;\2003&#45380;&#44208;&#49328;\&#44208;&#49328;&#54869;&#51221;&#47749;&#49464;\&#44208;&#49328;&#47749;&#49464;(2003&#45380;%20&#52293;&#51088;&#48376;)\Sang%20Kyo\&#44208;&#49328;&#47749;&#49464;\2002&#45380;&#44208;&#49328;\&#51473;&#44036;&#44048;&#49324;(2002&#45380;11&#50900;)\&#51473;&#44036;&#44208;&#49328;&#49436;\WINDOWS\&#48148;&#53461;%20&#54868;&#47732;\&#44608;&#44221;&#49688;\sekyong\excel\1)&#44592;&#48376;&#49436;&#49885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ount\&#54924;&#44228;&#51088;&#47308;\kyo\Sang%20Kyo\&#44208;&#49328;&#47749;&#49464;\2003&#45380;&#44208;&#49328;\&#44208;&#49328;&#54869;&#51221;&#47749;&#49464;\&#44208;&#49328;&#47749;&#49464;(2003&#45380;%20&#52293;&#51088;&#48376;)\Sang%20Kyo\&#44208;&#49328;\2001&#45380;&#44208;&#49328;\&#44208;&#49328;&#44048;&#49324;\&#44048;&#49324;&#50857;\WINDOWS\&#48148;&#53461;%20&#54868;&#47732;\&#44608;&#44221;&#49688;\sekyong\excel\1)&#44592;&#48376;&#49436;&#49885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72;&#49328;&#44148;&#51116;&#49440;&#54665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51068;21\&#53945;&#51221;&#51116;&#44256;12.3\won&#44208;&#49328;\&#53945;&#51221;\WINDOWS\&#48148;&#53461;%20&#54868;&#47732;\&#44608;&#44221;&#49688;\sekyong\excel\1)&#44592;&#48376;&#49436;&#49885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ount\&#54924;&#44228;&#51088;&#47308;\kyo\Sang%20Kyo\&#44208;&#49328;&#47749;&#49464;\2003&#45380;&#44208;&#49328;\&#44208;&#49328;&#54869;&#51221;&#47749;&#49464;\&#44208;&#49328;&#47749;&#49464;(2003&#45380;%20&#52293;&#51088;&#48376;)\Sang%20Kyo\&#44208;&#49328;\2001&#45380;&#44208;&#49328;\&#44208;&#49328;&#44048;&#49324;\&#50896;&#51068;&#51088;&#47308;\WINDOWS\&#48148;&#53461;%20&#54868;&#47732;\&#44608;&#44221;&#49688;\sekyong\excel\1)&#44592;&#48376;&#49436;&#49885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ount\&#54924;&#44228;&#51088;&#47308;\kyo\Sang%20Kyo\&#44208;&#49328;&#47749;&#49464;\2003&#45380;&#44208;&#49328;\&#44208;&#49328;&#54869;&#51221;&#47749;&#49464;\&#44208;&#49328;&#47749;&#49464;(2003&#45380;%20&#52293;&#51088;&#48376;)\Sang%20Kyo\&#44208;&#49328;&#49436;&#50857;(2001&#45380;)\&#44208;&#49328;\2001&#45380;&#44208;&#49328;\&#44208;&#49328;&#44048;&#49324;\&#44048;&#49324;&#50857;\WINDOWS\&#48148;&#53461;%20&#54868;&#47732;\&#44608;&#44221;&#49688;\sekyong\excel\1)&#44592;&#48376;&#49436;&#49885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adshare\lead_interior\&#49888;&#49324;&#46041;021220\&#44144;&#50668;&#46041;%20&#49892;&#54665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h056\c\98&#24180;&#36009;&#20419;&#26371;&#35696;\4&#26376;18&#26085;&#36913;&#38291;&#20219;&#21729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n&#44208;&#49328;\&#49345;&#54408;\WINDOWS\&#48148;&#53461;%20&#54868;&#47732;\&#44608;&#44221;&#49688;\sekyong\excel\1)&#44592;&#48376;&#49436;&#49885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\CN_AMD\OneDrive\IMPERIAL\200%20MD\&#50896;&#44032;&#51652;&#46020;&#50984;\19FW\19FW_&#50896;&#44032;&#44228;&#49328;_190605%20(&#48373;&#44396;&#46120;)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51473;\&#44208;&#49328;\Sang%20Kyo\&#44208;&#49328;\2001&#45380;&#44208;&#49328;\&#44208;&#49328;&#44048;&#49324;\&#44048;&#49324;&#50857;\WINDOWS\&#48148;&#53461;%20&#54868;&#47732;\&#44608;&#44221;&#49688;\sekyong\excel\1)&#44592;&#48376;&#49436;&#49885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51473;\&#44208;&#49328;\Sang%20Kyo\&#44208;&#49328;\2001&#45380;&#44208;&#49328;\&#44208;&#49328;&#44048;&#49324;\&#50896;&#51068;&#51088;&#47308;\WINDOWS\&#48148;&#53461;%20&#54868;&#47732;\&#44608;&#44221;&#49688;\sekyong\excel\1)&#44592;&#48376;&#49436;&#49885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21;&#47532;&#48512;3\C\&#46041;&#49688;&#50896;&#51088;&#47308;&#49892;\&#44208;&#49328;\2003&#45380;\Sang%20Kyo\&#44208;&#49328;\2001&#45380;&#44208;&#49328;\&#44208;&#49328;&#44048;&#49324;\&#44048;&#49324;&#50857;\WINDOWS\&#48148;&#53461;%20&#54868;&#47732;\&#44608;&#44221;&#49688;\sekyong\excel\1)&#44592;&#48376;&#49436;&#49885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cogreat\planning\WINDOWS\&#48148;&#53461;%20&#54868;&#47732;\&#44608;&#44221;&#49688;\sekyong\excel\1)&#44592;&#48376;&#49436;&#49885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51473;\C\&#44221;&#47532;\&#44208;&#49328;\2003&#45380;\WINDOWS\&#48148;&#53461;%20&#54868;&#47732;\&#44608;&#44221;&#49688;\sekyong\excel\1)&#44592;&#48376;&#49436;&#49885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gesrc\account\WINNT\TEMP\CLIENTS\&#44228;&#47805;&#49324;\&#44048;&#49324;\20020930\audit\omnitel\My%20Documents\CLIENT(&#44048;&#49324;&#48143;%20&#49464;&#47924;&#51312;&#51221;)\3S%20KOREA\&#44592;&#47568;&#44048;&#49324;(01)\3S_0301%20_&#51060;&#50672;&#48277;&#51064;&#49464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gesrc\account\My%20Documents\AUDIT\&#49888;&#49457;&#53685;&#49345;\2Q%20&#44160;&#53664;\&#51312;&#49436;\&#48152;&#44592;&#51312;&#49436;(ssts03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51473;\&#44208;&#49328;\2002.&#48152;&#44592;&#44208;&#49328;\WINDOWS\&#48148;&#53461;%20&#54868;&#47732;\&#44608;&#44221;&#49688;\sekyong\excel\1)&#44592;&#48376;&#49436;&#49885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ount\&#54924;&#44228;&#51088;&#47308;\kyo\Sang%20Kyo\&#44208;&#49328;&#47749;&#49464;\2003&#45380;&#44208;&#49328;\&#44208;&#49328;&#54869;&#51221;&#47749;&#49464;\&#44208;&#49328;&#47749;&#49464;(2003&#45380;%20&#52293;&#51088;&#48376;)\Sang%20Kyo\&#44208;&#49328;&#49436;&#50857;\&#44208;&#49328;\2001&#45380;&#44208;&#49328;\&#44208;&#49328;&#44048;&#49324;\&#44048;&#49324;&#50857;\WINDOWS\&#48148;&#53461;%20&#54868;&#47732;\&#44608;&#44221;&#49688;\sekyong\excel\1)&#44592;&#48376;&#49436;&#49885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21;&#47532;2\&#44221;&#47532;2\My%20Documents\&#44592;&#51061;\Sang%20Kyo\&#44208;&#49328;\2001&#45380;&#44208;&#49328;\&#44208;&#49328;&#44048;&#49324;\&#50896;&#51068;&#51088;&#47308;\WINDOWS\&#48148;&#53461;%20&#54868;&#47732;\&#44608;&#44221;&#49688;\sekyong\excel\1)&#44592;&#48376;&#49436;&#49885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\CN_AMD\Users\&#48276;&#46041;&#44540;\Desktop\&#51452;&#44036;&#54924;&#51032;\new\9&#50900;2&#51452;&#52264;\0902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gesrc\account\Documents%20and%20Settings\mmiia\Local%20Settings\Temporary%20Internet%20Files\OLK7\REPORT97\&#54620;&#49888;\CONFRM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agesrc\account\client\&#44048;&#49324;-&#49464;&#47924;\&#44228;&#47805;&#49324;\&#44048;&#49324;\01&#45380;\&#44592;&#47568;\&#44228;&#47805;&#49324;LS&#51312;&#50980;&#44221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s\CN_AMD\Ubi%20Messenger\1014.xlsx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ount\&#54924;&#44228;&#51088;&#47308;\Sang%20Kyo\&#44208;&#49328;&#49436;&#50857;\&#44208;&#49328;\2001&#45380;&#44208;&#49328;\&#44208;&#49328;&#44048;&#49324;\&#44048;&#49324;&#50857;\WINDOWS\&#48148;&#53461;%20&#54868;&#47732;\&#44608;&#44221;&#49688;\sekyong\excel\1)&#44592;&#48376;&#49436;&#49885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41BA657F\&#51216;&#54252;&#48324;%20&#49552;&#51061;&#51333;&#54633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ount\&#54924;&#44228;&#51088;&#47308;\2003&#44208;&#49328;\&#49892;&#49324;2\Sang%20Kyo\&#44208;&#49328;\2001&#45380;&#44208;&#49328;\&#44208;&#49328;&#44048;&#49324;\&#50896;&#51068;&#51088;&#47308;\WINDOWS\&#48148;&#53461;%20&#54868;&#47732;\&#44608;&#44221;&#49688;\sekyong\excel\1)&#44592;&#48376;&#49436;&#49885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6972;&#51333;&#55136;\C\&#51077;&#52272;\&#44305;&#51452;&#44256;.&#51648;&#44160;\&#44256;&#51648;&#44160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JJ90\&#51116;&#51221;&#48512;\Windows\&#48148;&#53461;%20&#54868;&#47732;\&#51116;&#51221;&#48512;\&#51060;&#51088;&#48516;&#49437;\&#51648;&#44553;&#51060;&#51088;\98&#45380;&#44036;&#48516;&#44592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728;&#44508;\&#54728;&#44508;\XX\&#45236;&#50669;&#49436;\&#44277;&#51452;\&#44277;&#51452;&#44288;&#47144;\&#48324;&#54364;&#45236;&#50669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adshare\Lead_Interior\Sang%20Kyo\&#44208;&#49328;\2001&#45380;&#44208;&#49328;\&#44208;&#49328;&#44048;&#49324;\&#44048;&#49324;&#50857;\WINDOWS\&#48148;&#53461;%20&#54868;&#47732;\&#44608;&#44221;&#49688;\sekyong\excel\1)&#44592;&#48376;&#49436;&#4988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adshare\Lead_Interior\Temporary%20Internet%20Files\Content.IE5\OPQ3OLAN\My%20Documents\NC%20project(2003&#45380;)\NC%20PL%20PROJECTION\6.%20&#49688;&#51221;&#50504;(03&#45380;05&#50900;01&#51068;)\&#51216;&#54252;&#48324;%20&#49552;&#51061;&#51333;&#5463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합산"/>
    </sheetNames>
    <sheetDataSet>
      <sheetData sheetId="0" refreshError="1">
        <row r="53">
          <cell r="L53">
            <v>0</v>
          </cell>
        </row>
        <row r="54">
          <cell r="L54">
            <v>580.5</v>
          </cell>
        </row>
        <row r="55">
          <cell r="L55">
            <v>47.02</v>
          </cell>
        </row>
        <row r="56">
          <cell r="L56">
            <v>18863.57</v>
          </cell>
        </row>
        <row r="57">
          <cell r="L57">
            <v>1757.7</v>
          </cell>
        </row>
        <row r="58">
          <cell r="L58">
            <v>5244.9</v>
          </cell>
        </row>
        <row r="59">
          <cell r="L59">
            <v>27.2</v>
          </cell>
        </row>
        <row r="60">
          <cell r="L60">
            <v>17.600000000000001</v>
          </cell>
        </row>
        <row r="61">
          <cell r="L61">
            <v>9325.7000000000007</v>
          </cell>
        </row>
        <row r="62">
          <cell r="L62">
            <v>646.6</v>
          </cell>
        </row>
        <row r="63">
          <cell r="L63">
            <v>3245</v>
          </cell>
        </row>
        <row r="64">
          <cell r="L64">
            <v>39755.69</v>
          </cell>
        </row>
        <row r="65">
          <cell r="L65">
            <v>3528.9</v>
          </cell>
        </row>
        <row r="66">
          <cell r="L66">
            <v>6245.84</v>
          </cell>
        </row>
        <row r="67">
          <cell r="L67">
            <v>101.6</v>
          </cell>
        </row>
        <row r="68">
          <cell r="L68">
            <v>0</v>
          </cell>
        </row>
        <row r="69">
          <cell r="L69">
            <v>228</v>
          </cell>
        </row>
        <row r="70">
          <cell r="L70">
            <v>3455.36</v>
          </cell>
        </row>
        <row r="71">
          <cell r="L71">
            <v>268.8</v>
          </cell>
        </row>
        <row r="72">
          <cell r="L72">
            <v>0</v>
          </cell>
        </row>
        <row r="73">
          <cell r="L73">
            <v>13828.5</v>
          </cell>
        </row>
        <row r="74">
          <cell r="L74">
            <v>53584.189999999995</v>
          </cell>
        </row>
        <row r="75">
          <cell r="L75">
            <v>10205.1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15870.627</v>
          </cell>
        </row>
        <row r="80">
          <cell r="L80">
            <v>17838.776000000002</v>
          </cell>
        </row>
        <row r="81">
          <cell r="L81">
            <v>9609.9</v>
          </cell>
        </row>
        <row r="82">
          <cell r="L82">
            <v>0</v>
          </cell>
        </row>
        <row r="83">
          <cell r="L83">
            <v>443.11</v>
          </cell>
        </row>
        <row r="84">
          <cell r="L84">
            <v>0</v>
          </cell>
        </row>
        <row r="85">
          <cell r="L85">
            <v>5775.6949999999997</v>
          </cell>
        </row>
        <row r="86">
          <cell r="L86">
            <v>0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59743.208000000006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원가"/>
      <sheetName val="대차대조표"/>
      <sheetName val="추정손익"/>
      <sheetName val="97년추정손익계산서"/>
    </sheetNames>
    <sheetDataSet>
      <sheetData sheetId="0"/>
      <sheetData sheetId="1"/>
      <sheetData sheetId="2"/>
      <sheetData sheetId="3" refreshError="1">
        <row r="6">
          <cell r="G6">
            <v>23709124132</v>
          </cell>
        </row>
        <row r="7">
          <cell r="G7">
            <v>23942386015</v>
          </cell>
        </row>
        <row r="8">
          <cell r="G8">
            <v>-233261883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0</v>
          </cell>
        </row>
        <row r="27">
          <cell r="G27">
            <v>0</v>
          </cell>
        </row>
        <row r="28">
          <cell r="G28">
            <v>135000</v>
          </cell>
        </row>
        <row r="29">
          <cell r="G29">
            <v>0</v>
          </cell>
        </row>
        <row r="30">
          <cell r="G30">
            <v>0</v>
          </cell>
        </row>
        <row r="31">
          <cell r="G31">
            <v>0</v>
          </cell>
        </row>
        <row r="32">
          <cell r="G32">
            <v>0</v>
          </cell>
        </row>
        <row r="33">
          <cell r="G33">
            <v>259968</v>
          </cell>
        </row>
        <row r="34">
          <cell r="G34">
            <v>0</v>
          </cell>
        </row>
        <row r="35">
          <cell r="G35">
            <v>7620636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161017500</v>
          </cell>
        </row>
        <row r="43">
          <cell r="G43">
            <v>0</v>
          </cell>
        </row>
        <row r="44">
          <cell r="G44">
            <v>0</v>
          </cell>
        </row>
        <row r="45">
          <cell r="G45">
            <v>0</v>
          </cell>
        </row>
        <row r="46">
          <cell r="G46">
            <v>0</v>
          </cell>
        </row>
        <row r="47">
          <cell r="G47">
            <v>0</v>
          </cell>
        </row>
        <row r="48">
          <cell r="G48">
            <v>3891132</v>
          </cell>
        </row>
        <row r="49">
          <cell r="G49">
            <v>0</v>
          </cell>
        </row>
        <row r="50">
          <cell r="G50">
            <v>172924236</v>
          </cell>
        </row>
        <row r="51">
          <cell r="G51">
            <v>172924236</v>
          </cell>
        </row>
        <row r="52">
          <cell r="G52">
            <v>-406186119</v>
          </cell>
        </row>
        <row r="53">
          <cell r="G53">
            <v>166493856</v>
          </cell>
        </row>
        <row r="54">
          <cell r="G54">
            <v>0</v>
          </cell>
        </row>
        <row r="55">
          <cell r="G55">
            <v>23012640</v>
          </cell>
        </row>
        <row r="56">
          <cell r="G56">
            <v>29752596</v>
          </cell>
        </row>
        <row r="57">
          <cell r="G57">
            <v>40623024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259882116</v>
          </cell>
        </row>
        <row r="62">
          <cell r="G62">
            <v>0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0</v>
          </cell>
        </row>
        <row r="67">
          <cell r="G67">
            <v>0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0</v>
          </cell>
        </row>
        <row r="71">
          <cell r="G71">
            <v>0</v>
          </cell>
        </row>
        <row r="72">
          <cell r="G72">
            <v>11078532</v>
          </cell>
        </row>
        <row r="73">
          <cell r="G73">
            <v>13558020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24636552</v>
          </cell>
        </row>
        <row r="77">
          <cell r="G77">
            <v>-170940555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8888268</v>
          </cell>
        </row>
        <row r="82">
          <cell r="G82">
            <v>0</v>
          </cell>
        </row>
        <row r="83">
          <cell r="G83">
            <v>8888268</v>
          </cell>
        </row>
        <row r="84">
          <cell r="G84">
            <v>-179828823</v>
          </cell>
        </row>
        <row r="85">
          <cell r="G85">
            <v>0</v>
          </cell>
        </row>
        <row r="86">
          <cell r="G86">
            <v>-179828823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S발주관리대장"/>
      <sheetName val="SPRING ITEM별 제조원가 현황"/>
      <sheetName val="F-JK"/>
      <sheetName val="F-PT"/>
      <sheetName val="F-SK"/>
      <sheetName val="F-M"/>
      <sheetName val="F-VT"/>
      <sheetName val="F-BL"/>
      <sheetName val="F-TS"/>
      <sheetName val="F-CD"/>
      <sheetName val="F-OP"/>
      <sheetName val="F-HC"/>
      <sheetName val="F-LC"/>
      <sheetName val="F-DENIM"/>
      <sheetName val="F-완입(니트,다이) "/>
      <sheetName val="F-완입(가죽)"/>
      <sheetName val="F-ACC."/>
      <sheetName val="F-TTL"/>
      <sheetName val="손익합산"/>
      <sheetName val="97년추정손익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정과목"/>
      <sheetName val="시산표"/>
      <sheetName val="admin"/>
      <sheetName val="Sheet2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계표"/>
      <sheetName val="월드컵"/>
      <sheetName val="르까프종합"/>
      <sheetName val="품종별2000"/>
      <sheetName val="르까프1999"/>
      <sheetName val="르까프2000"/>
      <sheetName val="르까프신발"/>
      <sheetName val="르까프의류"/>
      <sheetName val="르까프용품"/>
      <sheetName val="우들스"/>
      <sheetName val="수출"/>
      <sheetName val="분석표"/>
      <sheetName val="97사업"/>
      <sheetName val="96T"/>
      <sheetName val="rs9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구조서"/>
      <sheetName val="업무분담"/>
      <sheetName val="wbs"/>
      <sheetName val="wpl"/>
      <sheetName val="Balance Sheet(AR)"/>
      <sheetName val="Income Statement(AR)"/>
      <sheetName val="Liquidity"/>
      <sheetName val="Profitability"/>
      <sheetName val="Leverage"/>
      <sheetName val="Other Analytical Proc."/>
      <sheetName val="이사회의사록"/>
      <sheetName val="MP"/>
      <sheetName val="오류금액의평가"/>
      <sheetName val="Balance Sheet_AR_"/>
      <sheetName val="Income Statement_AR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D2">
            <v>0</v>
          </cell>
          <cell r="E2">
            <v>0</v>
          </cell>
        </row>
        <row r="5">
          <cell r="B5">
            <v>1259397310</v>
          </cell>
          <cell r="C5">
            <v>1290643307</v>
          </cell>
        </row>
        <row r="6">
          <cell r="B6">
            <v>30124731</v>
          </cell>
          <cell r="C6">
            <v>0</v>
          </cell>
        </row>
        <row r="7">
          <cell r="B7">
            <v>579310599</v>
          </cell>
          <cell r="C7">
            <v>498312069</v>
          </cell>
        </row>
        <row r="9">
          <cell r="B9">
            <v>1906413259</v>
          </cell>
          <cell r="C9">
            <v>1888379600</v>
          </cell>
          <cell r="F9">
            <v>0</v>
          </cell>
        </row>
        <row r="11">
          <cell r="B11">
            <v>571947008</v>
          </cell>
          <cell r="C11">
            <v>849827057</v>
          </cell>
        </row>
        <row r="14">
          <cell r="B14">
            <v>2478360267</v>
          </cell>
          <cell r="C14">
            <v>2738206657</v>
          </cell>
          <cell r="F14">
            <v>0</v>
          </cell>
        </row>
        <row r="16">
          <cell r="B16">
            <v>1948688773</v>
          </cell>
          <cell r="C16">
            <v>1963493768</v>
          </cell>
        </row>
        <row r="17">
          <cell r="B17">
            <v>636074590</v>
          </cell>
          <cell r="C17">
            <v>402311417</v>
          </cell>
        </row>
        <row r="18">
          <cell r="B18">
            <v>257159750</v>
          </cell>
          <cell r="C18">
            <v>279266000</v>
          </cell>
        </row>
        <row r="20">
          <cell r="B20">
            <v>5320283380</v>
          </cell>
          <cell r="C20">
            <v>5383277842</v>
          </cell>
          <cell r="F20">
            <v>0</v>
          </cell>
        </row>
        <row r="22">
          <cell r="B22">
            <v>281890741</v>
          </cell>
          <cell r="C22">
            <v>390410509</v>
          </cell>
        </row>
        <row r="24">
          <cell r="B24">
            <v>60072721</v>
          </cell>
          <cell r="C24">
            <v>41080716</v>
          </cell>
        </row>
        <row r="26">
          <cell r="B26">
            <v>341963462</v>
          </cell>
          <cell r="C26">
            <v>431491225</v>
          </cell>
          <cell r="F26">
            <v>0</v>
          </cell>
        </row>
        <row r="28">
          <cell r="B28">
            <v>1200000000</v>
          </cell>
          <cell r="C28">
            <v>1200000000</v>
          </cell>
        </row>
        <row r="29">
          <cell r="B29">
            <v>0</v>
          </cell>
        </row>
        <row r="30">
          <cell r="B30">
            <v>3778319918</v>
          </cell>
          <cell r="C30">
            <v>3751786617</v>
          </cell>
        </row>
        <row r="32">
          <cell r="B32">
            <v>4978319918</v>
          </cell>
          <cell r="C32">
            <v>4951786617</v>
          </cell>
          <cell r="F32">
            <v>0</v>
          </cell>
        </row>
        <row r="34">
          <cell r="B34">
            <v>5320283380</v>
          </cell>
          <cell r="C34">
            <v>5383277842</v>
          </cell>
          <cell r="F34">
            <v>0</v>
          </cell>
        </row>
      </sheetData>
      <sheetData sheetId="5" refreshError="1">
        <row r="2">
          <cell r="D2">
            <v>0</v>
          </cell>
          <cell r="E2">
            <v>0</v>
          </cell>
        </row>
        <row r="5">
          <cell r="B5">
            <v>1371889065</v>
          </cell>
          <cell r="C5">
            <v>6236210700</v>
          </cell>
        </row>
        <row r="6">
          <cell r="B6">
            <v>1047989262</v>
          </cell>
          <cell r="C6">
            <v>5159409783</v>
          </cell>
        </row>
        <row r="8">
          <cell r="B8">
            <v>323899803</v>
          </cell>
          <cell r="C8">
            <v>1076800917</v>
          </cell>
          <cell r="F8">
            <v>0</v>
          </cell>
        </row>
        <row r="10">
          <cell r="B10">
            <v>304282000</v>
          </cell>
          <cell r="C10">
            <v>492372104</v>
          </cell>
        </row>
        <row r="13">
          <cell r="B13">
            <v>10896604</v>
          </cell>
          <cell r="C13">
            <v>29771762</v>
          </cell>
        </row>
        <row r="15">
          <cell r="B15">
            <v>-24796673</v>
          </cell>
          <cell r="C15">
            <v>443923940</v>
          </cell>
          <cell r="F15">
            <v>0</v>
          </cell>
        </row>
        <row r="19">
          <cell r="B19">
            <v>-24796673</v>
          </cell>
          <cell r="C19">
            <v>443923940</v>
          </cell>
          <cell r="F19">
            <v>0</v>
          </cell>
        </row>
        <row r="24">
          <cell r="B24">
            <v>26583400</v>
          </cell>
          <cell r="C24">
            <v>102521593</v>
          </cell>
        </row>
        <row r="26">
          <cell r="B26">
            <v>1786727</v>
          </cell>
          <cell r="C26">
            <v>546445533</v>
          </cell>
          <cell r="F26">
            <v>0</v>
          </cell>
        </row>
        <row r="34">
          <cell r="B34">
            <v>0</v>
          </cell>
          <cell r="C34">
            <v>0</v>
          </cell>
        </row>
        <row r="35">
          <cell r="B35">
            <v>2196469526</v>
          </cell>
          <cell r="C35">
            <v>2347796148</v>
          </cell>
          <cell r="F35">
            <v>0</v>
          </cell>
        </row>
        <row r="36">
          <cell r="B36">
            <v>-5614394508</v>
          </cell>
          <cell r="C36">
            <v>-5354098034</v>
          </cell>
          <cell r="F36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월간"/>
      <sheetName val="9801분석"/>
      <sheetName val="9801월간"/>
      <sheetName val="요약BS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admin"/>
      <sheetName val="4500"/>
      <sheetName val="4530"/>
      <sheetName val="4510당기"/>
      <sheetName val="4520전기"/>
      <sheetName val="T4"/>
      <sheetName val="T23(갑)"/>
      <sheetName val="T23(을)"/>
      <sheetName val="T34"/>
      <sheetName val="T48"/>
      <sheetName val="T48a"/>
      <sheetName val="T51"/>
      <sheetName val="채널"/>
    </sheetNames>
    <sheetDataSet>
      <sheetData sheetId="0">
        <row r="6">
          <cell r="C6" t="str">
            <v>시대종합건설㈜</v>
          </cell>
        </row>
        <row r="7">
          <cell r="C7" t="str">
            <v>장하림.이종선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C6" t="str">
            <v>시대종합건설㈜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6">
          <cell r="C6" t="str">
            <v>시대종합건설㈜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>
        <row r="6">
          <cell r="C6" t="str">
            <v>시대종합건설㈜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총무"/>
      <sheetName val="재경"/>
      <sheetName val="영업관리"/>
      <sheetName val="데이터정보1"/>
      <sheetName val="데이터정보2"/>
      <sheetName val="통합구매"/>
      <sheetName val="고객만족"/>
      <sheetName val="기념일자"/>
      <sheetName val="인원증감"/>
      <sheetName val="입퇴사현황"/>
      <sheetName val="브랜드별실적(2월)"/>
      <sheetName val="브랜드별실적(누적)"/>
      <sheetName val="직영매장손익현황"/>
      <sheetName val="월례보고 자료-경영지원부문(2024년 4월)"/>
    </sheetNames>
    <definedNames>
      <definedName name="BlankMacro1"/>
      <definedName name="PC점공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목차"/>
      <sheetName val="0.0ControlSheet"/>
      <sheetName val="0.1keyAssumption"/>
      <sheetName val="1.점포분석"/>
      <sheetName val="▶종합"/>
      <sheetName val="▶아울렛영업"/>
      <sheetName val="▶뉴코아영업"/>
      <sheetName val="▶제외 (3)"/>
      <sheetName val="▶제외 (2)"/>
      <sheetName val="▶제외"/>
      <sheetName val="강남1"/>
      <sheetName val="강남킴스"/>
      <sheetName val="평촌아울렛"/>
      <sheetName val="야탑"/>
      <sheetName val="동수원"/>
      <sheetName val="일산"/>
      <sheetName val="본사"/>
      <sheetName val="강남2"/>
      <sheetName val="순천"/>
      <sheetName val="순천킴스"/>
      <sheetName val="평택"/>
      <sheetName val="평촌"/>
      <sheetName val="평촌킴스"/>
      <sheetName val="과천"/>
      <sheetName val="구월킴스"/>
      <sheetName val="수원"/>
      <sheetName val="수원킴스"/>
      <sheetName val="남산킴스"/>
      <sheetName val="곤지암"/>
      <sheetName val="동관"/>
      <sheetName val="비전"/>
      <sheetName val="포항"/>
      <sheetName val="본관"/>
      <sheetName val="오대산"/>
      <sheetName val="인천"/>
      <sheetName val="서현킴스"/>
      <sheetName val="진부"/>
      <sheetName val="건설본부"/>
      <sheetName val="기타매각점"/>
      <sheetName val="▶주력"/>
      <sheetName val="▶기타"/>
      <sheetName val="0_0ControlSheet"/>
      <sheetName val="0_1keyAssumption"/>
    </sheetNames>
    <sheetDataSet>
      <sheetData sheetId="0" refreshError="1"/>
      <sheetData sheetId="1" refreshError="1">
        <row r="28">
          <cell r="F28">
            <v>1</v>
          </cell>
        </row>
        <row r="30">
          <cell r="F30">
            <v>1</v>
          </cell>
        </row>
        <row r="36">
          <cell r="F36">
            <v>2</v>
          </cell>
        </row>
        <row r="38">
          <cell r="F38">
            <v>2</v>
          </cell>
        </row>
      </sheetData>
      <sheetData sheetId="2" refreshError="1">
        <row r="16">
          <cell r="C16" t="str">
            <v>Corporate Tax Rate (%)</v>
          </cell>
          <cell r="H16">
            <v>0.308</v>
          </cell>
          <cell r="I16">
            <v>0.308</v>
          </cell>
          <cell r="J16">
            <v>0.29699999999999999</v>
          </cell>
          <cell r="L16">
            <v>0.29699999999999999</v>
          </cell>
          <cell r="M16">
            <v>0.29699999999999999</v>
          </cell>
          <cell r="N16">
            <v>0.29699999999999999</v>
          </cell>
          <cell r="O16">
            <v>0.29699999999999999</v>
          </cell>
          <cell r="P16">
            <v>0.29699999999999999</v>
          </cell>
          <cell r="Q16">
            <v>0.29699999999999999</v>
          </cell>
          <cell r="R16">
            <v>0.29699999999999999</v>
          </cell>
        </row>
        <row r="21">
          <cell r="C21" t="str">
            <v>Sales Increase rate (%)</v>
          </cell>
          <cell r="K21">
            <v>0.02</v>
          </cell>
          <cell r="L21">
            <v>0.02</v>
          </cell>
          <cell r="M21">
            <v>0.02</v>
          </cell>
          <cell r="N21">
            <v>0.02</v>
          </cell>
          <cell r="O21">
            <v>0.02</v>
          </cell>
          <cell r="P21">
            <v>0.02</v>
          </cell>
          <cell r="Q21">
            <v>0.02</v>
          </cell>
          <cell r="R21">
            <v>0.02</v>
          </cell>
        </row>
        <row r="24">
          <cell r="E24">
            <v>1000000</v>
          </cell>
        </row>
        <row r="27">
          <cell r="H27">
            <v>0.127</v>
          </cell>
        </row>
        <row r="28">
          <cell r="H28">
            <v>0</v>
          </cell>
        </row>
        <row r="29">
          <cell r="H29">
            <v>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점별(추정)"/>
      <sheetName val="그래프보고"/>
      <sheetName val="점별(추정) (2)"/>
      <sheetName val="그림2"/>
      <sheetName val="그래프보고 (2)"/>
      <sheetName val="그래프보고 (3)"/>
      <sheetName val="설날추정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500 (2)"/>
      <sheetName val="admin"/>
      <sheetName val="3000"/>
      <sheetName val="3300(1)"/>
      <sheetName val="3300(2)"/>
      <sheetName val="3400"/>
      <sheetName val="3700"/>
      <sheetName val="3000(현금및현금등가물)"/>
      <sheetName val="3900"/>
      <sheetName val="Sheet1"/>
      <sheetName val="4000"/>
      <sheetName val="상각세부명세표(기말자료) (2)"/>
      <sheetName val="4500"/>
      <sheetName val="이자수익OVERALL"/>
      <sheetName val="3100(유가증권)"/>
      <sheetName val="3300(기타의당좌자산)"/>
      <sheetName val="3700(투자자산)"/>
      <sheetName val="3800(유형자산)"/>
      <sheetName val="3800(감가상각비TEST)"/>
      <sheetName val="3900(무형자산)"/>
      <sheetName val="4100(기타유동부채)"/>
      <sheetName val="4800(퇴직급여충당금)"/>
      <sheetName val="3200(매출채권)"/>
      <sheetName val="6000(매출)"/>
      <sheetName val="매출액 추정"/>
      <sheetName val="6200(영업외손익)"/>
      <sheetName val="부가세대사"/>
      <sheetName val="산출내역"/>
      <sheetName val="6000"/>
      <sheetName val="6100"/>
      <sheetName val="5000"/>
      <sheetName val="6200-수익"/>
      <sheetName val="6200-비용"/>
      <sheetName val="6300-일반관리비"/>
      <sheetName val="23(갑)"/>
      <sheetName val="23(을)"/>
      <sheetName val="6300"/>
      <sheetName val="Data"/>
    </sheetNames>
    <sheetDataSet>
      <sheetData sheetId="0"/>
      <sheetData sheetId="1" refreshError="1">
        <row r="2">
          <cell r="E2" t="str">
            <v>khj</v>
          </cell>
        </row>
        <row r="14">
          <cell r="C14">
            <v>37256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"/>
      <sheetName val="admin"/>
      <sheetName val="우발채무"/>
      <sheetName val="중요검토사항"/>
      <sheetName val="경영지표(신)"/>
      <sheetName val="중요성기준"/>
      <sheetName val="eps"/>
      <sheetName val="정산표"/>
      <sheetName val="AJE(34기)"/>
      <sheetName val="AJE(35기)"/>
      <sheetName val="BS"/>
      <sheetName val="PL"/>
      <sheetName val="RE "/>
      <sheetName val="cf 자료"/>
      <sheetName val="CF_SS"/>
      <sheetName val="RE"/>
      <sheetName val="CF"/>
      <sheetName val="완성차 미수금"/>
    </sheetNames>
    <sheetDataSet>
      <sheetData sheetId="0" refreshError="1"/>
      <sheetData sheetId="1" refreshError="1">
        <row r="13">
          <cell r="C13" t="str">
            <v>신성통상㈜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가을판매현황"/>
      <sheetName val="3.겨울판매현황"/>
      <sheetName val="3.기획상품판매현황"/>
      <sheetName val="4.판매베스트20"/>
      <sheetName val="5. FW 입고"/>
      <sheetName val="5. FW 입고스케줄"/>
      <sheetName val="5.봄 입고"/>
      <sheetName val="5.여름 입고"/>
      <sheetName val="5.스팟리오더"/>
      <sheetName val="9. 상품기획팀 추진업무"/>
      <sheetName val="6.샘플투입현황"/>
      <sheetName val="DB 2018 SS 1"/>
      <sheetName val="DB 2017 SS 2"/>
      <sheetName val="2018 금주 판매"/>
      <sheetName val="2018 전주 판매"/>
      <sheetName val="2017 주간 4"/>
      <sheetName val="입고일자 9"/>
      <sheetName val="예상판매율 10"/>
      <sheetName val="참조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A3" t="str">
            <v>Y</v>
          </cell>
        </row>
      </sheetData>
      <sheetData sheetId="12">
        <row r="3">
          <cell r="A3" t="str">
            <v>X</v>
          </cell>
        </row>
      </sheetData>
      <sheetData sheetId="13">
        <row r="3">
          <cell r="B3" t="str">
            <v>의류</v>
          </cell>
        </row>
      </sheetData>
      <sheetData sheetId="14">
        <row r="3">
          <cell r="B3" t="str">
            <v>의류</v>
          </cell>
        </row>
      </sheetData>
      <sheetData sheetId="15">
        <row r="3">
          <cell r="B3" t="str">
            <v>의류</v>
          </cell>
        </row>
      </sheetData>
      <sheetData sheetId="16">
        <row r="2">
          <cell r="D2" t="str">
            <v>I0Y1301</v>
          </cell>
        </row>
      </sheetData>
      <sheetData sheetId="17">
        <row r="2">
          <cell r="B2" t="str">
            <v>I31</v>
          </cell>
        </row>
      </sheetData>
      <sheetData sheetId="18">
        <row r="3">
          <cell r="T3" t="str">
            <v>품번</v>
          </cell>
        </row>
        <row r="4">
          <cell r="G4" t="str">
            <v>I0Y1301</v>
          </cell>
          <cell r="H4">
            <v>6</v>
          </cell>
          <cell r="I4">
            <v>6</v>
          </cell>
          <cell r="J4">
            <v>2950</v>
          </cell>
          <cell r="K4">
            <v>2950</v>
          </cell>
          <cell r="L4">
            <v>3174</v>
          </cell>
          <cell r="M4">
            <v>1.0759322033898304</v>
          </cell>
          <cell r="N4">
            <v>11600</v>
          </cell>
          <cell r="O4">
            <v>78000</v>
          </cell>
          <cell r="P4">
            <v>10692</v>
          </cell>
          <cell r="Q4">
            <v>78000</v>
          </cell>
        </row>
        <row r="5">
          <cell r="G5" t="str">
            <v>I0Y1302</v>
          </cell>
          <cell r="H5">
            <v>2</v>
          </cell>
          <cell r="I5">
            <v>2</v>
          </cell>
          <cell r="J5">
            <v>800</v>
          </cell>
          <cell r="K5">
            <v>800</v>
          </cell>
          <cell r="L5">
            <v>851</v>
          </cell>
          <cell r="M5">
            <v>1.06375</v>
          </cell>
          <cell r="N5">
            <v>17300</v>
          </cell>
          <cell r="O5">
            <v>158000</v>
          </cell>
          <cell r="P5">
            <v>16721</v>
          </cell>
          <cell r="Q5">
            <v>158000</v>
          </cell>
        </row>
        <row r="6">
          <cell r="G6" t="str">
            <v>I0Y1303</v>
          </cell>
          <cell r="H6">
            <v>2</v>
          </cell>
          <cell r="I6">
            <v>2</v>
          </cell>
          <cell r="J6">
            <v>1100</v>
          </cell>
          <cell r="K6">
            <v>1100</v>
          </cell>
          <cell r="L6">
            <v>1024</v>
          </cell>
          <cell r="M6">
            <v>0.93090909090909091</v>
          </cell>
          <cell r="N6">
            <v>16800</v>
          </cell>
          <cell r="O6">
            <v>118000</v>
          </cell>
          <cell r="P6">
            <v>13671</v>
          </cell>
          <cell r="Q6">
            <v>118000</v>
          </cell>
        </row>
        <row r="7">
          <cell r="G7" t="str">
            <v>I0Y1304</v>
          </cell>
          <cell r="H7">
            <v>2</v>
          </cell>
          <cell r="I7">
            <v>2</v>
          </cell>
          <cell r="J7">
            <v>1000</v>
          </cell>
          <cell r="K7">
            <v>1000</v>
          </cell>
          <cell r="L7">
            <v>965</v>
          </cell>
          <cell r="M7">
            <v>0.96499999999999997</v>
          </cell>
          <cell r="N7">
            <v>19100</v>
          </cell>
          <cell r="O7">
            <v>178000</v>
          </cell>
          <cell r="P7">
            <v>17137</v>
          </cell>
          <cell r="Q7">
            <v>158000</v>
          </cell>
        </row>
        <row r="8">
          <cell r="G8" t="str">
            <v>I0Y1305</v>
          </cell>
          <cell r="H8">
            <v>2</v>
          </cell>
          <cell r="I8">
            <v>2</v>
          </cell>
          <cell r="J8">
            <v>1000</v>
          </cell>
          <cell r="K8">
            <v>1000</v>
          </cell>
          <cell r="L8">
            <v>752</v>
          </cell>
          <cell r="M8">
            <v>0.752</v>
          </cell>
          <cell r="N8">
            <v>18300</v>
          </cell>
          <cell r="O8">
            <v>178000</v>
          </cell>
          <cell r="P8">
            <v>17609</v>
          </cell>
          <cell r="Q8">
            <v>178000</v>
          </cell>
        </row>
        <row r="9">
          <cell r="G9" t="str">
            <v>I0Y1306</v>
          </cell>
          <cell r="H9">
            <v>2</v>
          </cell>
          <cell r="I9">
            <v>2</v>
          </cell>
          <cell r="J9">
            <v>1000</v>
          </cell>
          <cell r="K9">
            <v>1000</v>
          </cell>
          <cell r="L9">
            <v>980</v>
          </cell>
          <cell r="M9">
            <v>0.98</v>
          </cell>
          <cell r="N9">
            <v>19700</v>
          </cell>
          <cell r="O9">
            <v>158000</v>
          </cell>
          <cell r="P9">
            <v>15930</v>
          </cell>
          <cell r="Q9">
            <v>158000</v>
          </cell>
        </row>
        <row r="10">
          <cell r="G10" t="str">
            <v>I0Y1307</v>
          </cell>
          <cell r="H10">
            <v>1</v>
          </cell>
          <cell r="I10">
            <v>1</v>
          </cell>
          <cell r="J10">
            <v>400</v>
          </cell>
          <cell r="K10">
            <v>400</v>
          </cell>
          <cell r="L10">
            <v>432</v>
          </cell>
          <cell r="M10">
            <v>1.08</v>
          </cell>
          <cell r="N10">
            <v>20500</v>
          </cell>
          <cell r="O10">
            <v>178000</v>
          </cell>
          <cell r="P10">
            <v>18833</v>
          </cell>
          <cell r="Q10">
            <v>158000</v>
          </cell>
        </row>
        <row r="11">
          <cell r="G11" t="str">
            <v>INY1301</v>
          </cell>
          <cell r="H11">
            <v>2</v>
          </cell>
          <cell r="I11">
            <v>2</v>
          </cell>
          <cell r="J11">
            <v>500</v>
          </cell>
          <cell r="K11">
            <v>500</v>
          </cell>
          <cell r="L11">
            <v>454</v>
          </cell>
          <cell r="M11">
            <v>0.90800000000000003</v>
          </cell>
          <cell r="N11">
            <v>15900</v>
          </cell>
          <cell r="O11">
            <v>138000</v>
          </cell>
          <cell r="P11">
            <v>15876</v>
          </cell>
          <cell r="Q11">
            <v>138000</v>
          </cell>
        </row>
        <row r="12">
          <cell r="G12" t="str">
            <v>INY1302</v>
          </cell>
          <cell r="H12">
            <v>2</v>
          </cell>
          <cell r="I12">
            <v>2</v>
          </cell>
          <cell r="J12">
            <v>600</v>
          </cell>
          <cell r="K12">
            <v>600</v>
          </cell>
          <cell r="L12">
            <v>587</v>
          </cell>
          <cell r="M12">
            <v>0.97833333333333339</v>
          </cell>
          <cell r="N12">
            <v>16700</v>
          </cell>
          <cell r="O12">
            <v>158000</v>
          </cell>
          <cell r="P12">
            <v>16807</v>
          </cell>
          <cell r="Q12">
            <v>138000</v>
          </cell>
        </row>
        <row r="13">
          <cell r="G13" t="str">
            <v>INY1303</v>
          </cell>
          <cell r="H13">
            <v>2</v>
          </cell>
          <cell r="I13">
            <v>2</v>
          </cell>
          <cell r="J13">
            <v>1000</v>
          </cell>
          <cell r="K13">
            <v>1000</v>
          </cell>
          <cell r="L13">
            <v>953</v>
          </cell>
          <cell r="M13">
            <v>0.95299999999999996</v>
          </cell>
          <cell r="N13">
            <v>17100</v>
          </cell>
          <cell r="O13">
            <v>198000</v>
          </cell>
          <cell r="P13">
            <v>18807</v>
          </cell>
          <cell r="Q13">
            <v>198000</v>
          </cell>
        </row>
        <row r="14">
          <cell r="G14" t="str">
            <v>ITY1301</v>
          </cell>
          <cell r="H14">
            <v>3</v>
          </cell>
          <cell r="I14">
            <v>3</v>
          </cell>
          <cell r="J14">
            <v>1500</v>
          </cell>
          <cell r="K14">
            <v>1500</v>
          </cell>
          <cell r="L14">
            <v>1485</v>
          </cell>
          <cell r="M14">
            <v>0.99</v>
          </cell>
          <cell r="N14">
            <v>12700</v>
          </cell>
          <cell r="O14">
            <v>118000</v>
          </cell>
          <cell r="P14">
            <v>12191</v>
          </cell>
          <cell r="Q14">
            <v>118000</v>
          </cell>
        </row>
        <row r="15">
          <cell r="G15" t="str">
            <v>ITY1302</v>
          </cell>
          <cell r="H15">
            <v>2</v>
          </cell>
          <cell r="I15">
            <v>2</v>
          </cell>
          <cell r="J15">
            <v>850</v>
          </cell>
          <cell r="K15">
            <v>850</v>
          </cell>
          <cell r="L15">
            <v>782</v>
          </cell>
          <cell r="M15">
            <v>0.92</v>
          </cell>
          <cell r="N15">
            <v>16500</v>
          </cell>
          <cell r="O15">
            <v>158000</v>
          </cell>
          <cell r="P15">
            <v>18331</v>
          </cell>
          <cell r="Q15">
            <v>158000</v>
          </cell>
        </row>
        <row r="16">
          <cell r="G16" t="str">
            <v>ITY1303</v>
          </cell>
          <cell r="H16">
            <v>3</v>
          </cell>
          <cell r="I16">
            <v>3</v>
          </cell>
          <cell r="J16">
            <v>1600</v>
          </cell>
          <cell r="K16">
            <v>1600</v>
          </cell>
          <cell r="L16">
            <v>1626</v>
          </cell>
          <cell r="M16">
            <v>1.0162500000000001</v>
          </cell>
          <cell r="N16">
            <v>17300</v>
          </cell>
          <cell r="O16">
            <v>158000</v>
          </cell>
          <cell r="P16">
            <v>15004</v>
          </cell>
          <cell r="Q16">
            <v>138000</v>
          </cell>
        </row>
        <row r="17">
          <cell r="G17" t="str">
            <v>ITY1304</v>
          </cell>
          <cell r="H17">
            <v>2</v>
          </cell>
          <cell r="I17">
            <v>2</v>
          </cell>
          <cell r="J17">
            <v>1000</v>
          </cell>
          <cell r="K17">
            <v>1000</v>
          </cell>
          <cell r="L17">
            <v>955</v>
          </cell>
          <cell r="M17">
            <v>0.95499999999999996</v>
          </cell>
          <cell r="N17">
            <v>16000</v>
          </cell>
          <cell r="O17">
            <v>178000</v>
          </cell>
          <cell r="P17">
            <v>18334</v>
          </cell>
          <cell r="Q17">
            <v>158000</v>
          </cell>
        </row>
        <row r="18">
          <cell r="G18" t="str">
            <v>ITY1305</v>
          </cell>
          <cell r="H18">
            <v>2</v>
          </cell>
          <cell r="I18">
            <v>2</v>
          </cell>
          <cell r="J18">
            <v>1000</v>
          </cell>
          <cell r="K18">
            <v>1000</v>
          </cell>
          <cell r="L18">
            <v>962</v>
          </cell>
          <cell r="M18">
            <v>0.96199999999999997</v>
          </cell>
          <cell r="N18">
            <v>18900</v>
          </cell>
          <cell r="O18">
            <v>178000</v>
          </cell>
          <cell r="P18">
            <v>24330</v>
          </cell>
          <cell r="Q18">
            <v>178000</v>
          </cell>
        </row>
        <row r="19">
          <cell r="G19" t="str">
            <v>ITY1306</v>
          </cell>
          <cell r="H19">
            <v>2</v>
          </cell>
          <cell r="I19">
            <v>2</v>
          </cell>
          <cell r="J19">
            <v>800</v>
          </cell>
          <cell r="K19">
            <v>800</v>
          </cell>
          <cell r="L19">
            <v>825</v>
          </cell>
          <cell r="M19">
            <v>1.03125</v>
          </cell>
          <cell r="N19">
            <v>15800</v>
          </cell>
          <cell r="O19">
            <v>138000</v>
          </cell>
          <cell r="P19">
            <v>16320</v>
          </cell>
          <cell r="Q19">
            <v>138000</v>
          </cell>
        </row>
        <row r="20">
          <cell r="G20" t="str">
            <v>ITY1307</v>
          </cell>
          <cell r="H20">
            <v>1</v>
          </cell>
          <cell r="I20">
            <v>1</v>
          </cell>
          <cell r="J20">
            <v>500</v>
          </cell>
          <cell r="K20">
            <v>500</v>
          </cell>
          <cell r="L20">
            <v>465</v>
          </cell>
          <cell r="M20">
            <v>0.93</v>
          </cell>
          <cell r="N20">
            <v>16800</v>
          </cell>
          <cell r="O20">
            <v>158000</v>
          </cell>
          <cell r="P20">
            <v>17513</v>
          </cell>
          <cell r="Q20">
            <v>158000</v>
          </cell>
        </row>
        <row r="21">
          <cell r="G21" t="str">
            <v>ITY1308</v>
          </cell>
          <cell r="H21">
            <v>2</v>
          </cell>
          <cell r="I21">
            <v>2</v>
          </cell>
          <cell r="J21">
            <v>1200</v>
          </cell>
          <cell r="K21">
            <v>1200</v>
          </cell>
          <cell r="L21">
            <v>1212</v>
          </cell>
          <cell r="M21">
            <v>1.01</v>
          </cell>
          <cell r="N21">
            <v>18900</v>
          </cell>
          <cell r="O21">
            <v>178000</v>
          </cell>
          <cell r="P21">
            <v>16319</v>
          </cell>
          <cell r="Q21">
            <v>178000</v>
          </cell>
        </row>
        <row r="22">
          <cell r="G22" t="str">
            <v>ITY1309</v>
          </cell>
          <cell r="H22">
            <v>2</v>
          </cell>
          <cell r="I22">
            <v>2</v>
          </cell>
          <cell r="J22">
            <v>1000</v>
          </cell>
          <cell r="K22">
            <v>1000</v>
          </cell>
          <cell r="L22">
            <v>977</v>
          </cell>
          <cell r="M22">
            <v>0.97699999999999998</v>
          </cell>
          <cell r="N22">
            <v>24100</v>
          </cell>
          <cell r="O22">
            <v>178000</v>
          </cell>
          <cell r="P22">
            <v>23659</v>
          </cell>
          <cell r="Q22">
            <v>198000</v>
          </cell>
        </row>
        <row r="23">
          <cell r="G23" t="str">
            <v>I0Y2301</v>
          </cell>
          <cell r="H23">
            <v>2</v>
          </cell>
          <cell r="I23">
            <v>2</v>
          </cell>
          <cell r="J23">
            <v>600</v>
          </cell>
          <cell r="K23">
            <v>600</v>
          </cell>
          <cell r="L23">
            <v>606</v>
          </cell>
          <cell r="M23">
            <v>1.01</v>
          </cell>
          <cell r="N23">
            <v>31500</v>
          </cell>
          <cell r="O23">
            <v>278000</v>
          </cell>
          <cell r="P23">
            <v>28860</v>
          </cell>
          <cell r="Q23">
            <v>278000</v>
          </cell>
        </row>
        <row r="24">
          <cell r="G24" t="str">
            <v>ITYA301</v>
          </cell>
          <cell r="H24">
            <v>2</v>
          </cell>
          <cell r="I24">
            <v>2</v>
          </cell>
          <cell r="J24">
            <v>700</v>
          </cell>
          <cell r="K24">
            <v>700</v>
          </cell>
          <cell r="L24">
            <v>703</v>
          </cell>
          <cell r="M24">
            <v>1.0042857142857142</v>
          </cell>
          <cell r="N24">
            <v>41200</v>
          </cell>
          <cell r="O24">
            <v>298000</v>
          </cell>
          <cell r="P24">
            <v>41084</v>
          </cell>
          <cell r="Q24">
            <v>318000</v>
          </cell>
        </row>
        <row r="25">
          <cell r="G25" t="str">
            <v>I0Y4301</v>
          </cell>
          <cell r="H25">
            <v>2</v>
          </cell>
          <cell r="I25">
            <v>2</v>
          </cell>
          <cell r="J25">
            <v>600</v>
          </cell>
          <cell r="K25">
            <v>600</v>
          </cell>
          <cell r="L25">
            <v>555</v>
          </cell>
          <cell r="M25">
            <v>0.92500000000000004</v>
          </cell>
          <cell r="N25">
            <v>48200</v>
          </cell>
          <cell r="O25">
            <v>318000</v>
          </cell>
          <cell r="P25">
            <v>38582</v>
          </cell>
          <cell r="Q25">
            <v>298000</v>
          </cell>
        </row>
        <row r="26">
          <cell r="G26" t="str">
            <v>I0Y4302</v>
          </cell>
          <cell r="H26">
            <v>1</v>
          </cell>
          <cell r="I26">
            <v>1</v>
          </cell>
          <cell r="J26">
            <v>300</v>
          </cell>
          <cell r="K26">
            <v>300</v>
          </cell>
          <cell r="L26">
            <v>287</v>
          </cell>
          <cell r="M26">
            <v>0.95666666666666667</v>
          </cell>
          <cell r="N26">
            <v>33500</v>
          </cell>
          <cell r="O26">
            <v>278000</v>
          </cell>
          <cell r="P26">
            <v>31444</v>
          </cell>
          <cell r="Q26">
            <v>298000</v>
          </cell>
        </row>
        <row r="27">
          <cell r="G27" t="str">
            <v>ITY5301</v>
          </cell>
          <cell r="H27">
            <v>1</v>
          </cell>
          <cell r="I27">
            <v>1</v>
          </cell>
          <cell r="J27">
            <v>400</v>
          </cell>
          <cell r="K27">
            <v>400</v>
          </cell>
          <cell r="L27">
            <v>367</v>
          </cell>
          <cell r="M27">
            <v>0.91749999999999998</v>
          </cell>
          <cell r="N27">
            <v>46700</v>
          </cell>
          <cell r="O27">
            <v>338000</v>
          </cell>
          <cell r="P27">
            <v>46784</v>
          </cell>
          <cell r="Q27">
            <v>358000</v>
          </cell>
        </row>
        <row r="28">
          <cell r="G28" t="str">
            <v>ITY8301</v>
          </cell>
          <cell r="H28">
            <v>1</v>
          </cell>
          <cell r="I28">
            <v>1</v>
          </cell>
          <cell r="J28">
            <v>350</v>
          </cell>
          <cell r="K28">
            <v>350</v>
          </cell>
          <cell r="L28">
            <v>332</v>
          </cell>
          <cell r="M28">
            <v>0.94857142857142862</v>
          </cell>
          <cell r="N28">
            <v>19800</v>
          </cell>
          <cell r="O28">
            <v>158000</v>
          </cell>
          <cell r="P28">
            <v>19295</v>
          </cell>
          <cell r="Q28">
            <v>158000</v>
          </cell>
        </row>
        <row r="29">
          <cell r="G29" t="str">
            <v>ITY8302</v>
          </cell>
          <cell r="H29">
            <v>1</v>
          </cell>
          <cell r="I29">
            <v>1</v>
          </cell>
          <cell r="J29">
            <v>450</v>
          </cell>
          <cell r="K29">
            <v>450</v>
          </cell>
          <cell r="L29">
            <v>439</v>
          </cell>
          <cell r="M29">
            <v>0.97555555555555551</v>
          </cell>
          <cell r="N29">
            <v>18800</v>
          </cell>
          <cell r="O29">
            <v>158000</v>
          </cell>
          <cell r="P29">
            <v>17723</v>
          </cell>
          <cell r="Q29">
            <v>158000</v>
          </cell>
        </row>
        <row r="30">
          <cell r="G30" t="str">
            <v>ITY8303</v>
          </cell>
          <cell r="H30">
            <v>1</v>
          </cell>
          <cell r="I30">
            <v>1</v>
          </cell>
          <cell r="J30">
            <v>500</v>
          </cell>
          <cell r="K30">
            <v>500</v>
          </cell>
          <cell r="L30">
            <v>483</v>
          </cell>
          <cell r="M30">
            <v>0.96599999999999997</v>
          </cell>
          <cell r="N30">
            <v>18500</v>
          </cell>
          <cell r="O30">
            <v>178000</v>
          </cell>
          <cell r="P30">
            <v>18475</v>
          </cell>
          <cell r="Q30">
            <v>178000</v>
          </cell>
        </row>
        <row r="31">
          <cell r="G31" t="str">
            <v>ITY8304</v>
          </cell>
          <cell r="H31">
            <v>1</v>
          </cell>
          <cell r="I31">
            <v>1</v>
          </cell>
          <cell r="J31">
            <v>450</v>
          </cell>
          <cell r="K31">
            <v>450</v>
          </cell>
          <cell r="L31">
            <v>510</v>
          </cell>
          <cell r="M31">
            <v>1.1333333333333333</v>
          </cell>
          <cell r="N31">
            <v>21600</v>
          </cell>
          <cell r="O31">
            <v>178000</v>
          </cell>
          <cell r="P31">
            <v>21501</v>
          </cell>
          <cell r="Q31">
            <v>178000</v>
          </cell>
        </row>
        <row r="32">
          <cell r="G32" t="str">
            <v>ITY8305</v>
          </cell>
          <cell r="H32">
            <v>1</v>
          </cell>
          <cell r="I32">
            <v>1</v>
          </cell>
          <cell r="J32">
            <v>350</v>
          </cell>
          <cell r="K32">
            <v>350</v>
          </cell>
          <cell r="L32">
            <v>360</v>
          </cell>
          <cell r="M32">
            <v>1.0285714285714285</v>
          </cell>
          <cell r="N32">
            <v>16200</v>
          </cell>
          <cell r="O32">
            <v>178000</v>
          </cell>
          <cell r="P32">
            <v>17257</v>
          </cell>
          <cell r="Q32">
            <v>178000</v>
          </cell>
        </row>
        <row r="33">
          <cell r="G33" t="str">
            <v>ITY9302</v>
          </cell>
          <cell r="H33">
            <v>2</v>
          </cell>
          <cell r="I33">
            <v>2</v>
          </cell>
          <cell r="J33">
            <v>650</v>
          </cell>
          <cell r="K33">
            <v>650</v>
          </cell>
          <cell r="L33">
            <v>664</v>
          </cell>
          <cell r="M33">
            <v>1.0215384615384615</v>
          </cell>
          <cell r="N33">
            <v>40500</v>
          </cell>
          <cell r="O33">
            <v>358000</v>
          </cell>
          <cell r="P33">
            <v>37172</v>
          </cell>
          <cell r="Q33">
            <v>358000</v>
          </cell>
        </row>
        <row r="34">
          <cell r="G34" t="str">
            <v>ITY9303</v>
          </cell>
          <cell r="H34">
            <v>1</v>
          </cell>
          <cell r="I34">
            <v>1</v>
          </cell>
          <cell r="J34">
            <v>350</v>
          </cell>
          <cell r="K34">
            <v>350</v>
          </cell>
          <cell r="L34">
            <v>353</v>
          </cell>
          <cell r="M34">
            <v>1.0085714285714287</v>
          </cell>
          <cell r="N34">
            <v>68500</v>
          </cell>
          <cell r="O34">
            <v>478000</v>
          </cell>
          <cell r="P34">
            <v>68263</v>
          </cell>
          <cell r="Q34">
            <v>478000</v>
          </cell>
        </row>
        <row r="35">
          <cell r="G35" t="str">
            <v>ITY9304</v>
          </cell>
          <cell r="H35">
            <v>1</v>
          </cell>
          <cell r="I35">
            <v>1</v>
          </cell>
          <cell r="J35">
            <v>300</v>
          </cell>
          <cell r="K35">
            <v>300</v>
          </cell>
          <cell r="L35">
            <v>252</v>
          </cell>
          <cell r="M35">
            <v>0.84</v>
          </cell>
          <cell r="N35">
            <v>55100</v>
          </cell>
          <cell r="O35">
            <v>438000</v>
          </cell>
          <cell r="P35">
            <v>62910</v>
          </cell>
          <cell r="Q35">
            <v>478000</v>
          </cell>
        </row>
        <row r="36">
          <cell r="G36" t="str">
            <v>ITY9305</v>
          </cell>
          <cell r="H36">
            <v>1</v>
          </cell>
          <cell r="I36">
            <v>1</v>
          </cell>
          <cell r="J36">
            <v>350</v>
          </cell>
          <cell r="K36">
            <v>350</v>
          </cell>
          <cell r="L36">
            <v>330</v>
          </cell>
          <cell r="M36">
            <v>0.94285714285714284</v>
          </cell>
          <cell r="N36">
            <v>56500</v>
          </cell>
          <cell r="O36">
            <v>438000</v>
          </cell>
          <cell r="P36">
            <v>53136</v>
          </cell>
          <cell r="Q36">
            <v>438000</v>
          </cell>
        </row>
        <row r="37">
          <cell r="G37" t="str">
            <v>I0Y6301</v>
          </cell>
          <cell r="H37">
            <v>3</v>
          </cell>
          <cell r="I37">
            <v>3</v>
          </cell>
          <cell r="J37">
            <v>1600</v>
          </cell>
          <cell r="K37">
            <v>1600</v>
          </cell>
          <cell r="L37">
            <v>1530</v>
          </cell>
          <cell r="M37">
            <v>0.95625000000000004</v>
          </cell>
          <cell r="N37">
            <v>28100</v>
          </cell>
          <cell r="O37">
            <v>198000</v>
          </cell>
          <cell r="P37">
            <v>27827</v>
          </cell>
          <cell r="Q37">
            <v>238000</v>
          </cell>
        </row>
        <row r="38">
          <cell r="G38" t="str">
            <v>I0Y6302</v>
          </cell>
          <cell r="H38">
            <v>2</v>
          </cell>
          <cell r="I38">
            <v>2</v>
          </cell>
          <cell r="J38">
            <v>900</v>
          </cell>
          <cell r="K38">
            <v>900</v>
          </cell>
          <cell r="L38">
            <v>885</v>
          </cell>
          <cell r="M38">
            <v>0.98333333333333328</v>
          </cell>
          <cell r="N38">
            <v>34600</v>
          </cell>
          <cell r="O38">
            <v>298000</v>
          </cell>
          <cell r="P38">
            <v>33313</v>
          </cell>
          <cell r="Q38">
            <v>318000</v>
          </cell>
        </row>
        <row r="39">
          <cell r="G39" t="str">
            <v>I0Y6303</v>
          </cell>
          <cell r="H39">
            <v>2</v>
          </cell>
          <cell r="I39">
            <v>2</v>
          </cell>
          <cell r="J39">
            <v>800</v>
          </cell>
          <cell r="K39">
            <v>800</v>
          </cell>
          <cell r="L39">
            <v>779</v>
          </cell>
          <cell r="M39">
            <v>0.97375</v>
          </cell>
          <cell r="N39">
            <v>53100</v>
          </cell>
          <cell r="O39">
            <v>398000</v>
          </cell>
          <cell r="P39">
            <v>52387</v>
          </cell>
          <cell r="Q39">
            <v>398000</v>
          </cell>
        </row>
        <row r="40">
          <cell r="G40" t="str">
            <v>INY6301</v>
          </cell>
          <cell r="H40">
            <v>2</v>
          </cell>
          <cell r="I40">
            <v>2</v>
          </cell>
          <cell r="J40">
            <v>700</v>
          </cell>
          <cell r="K40">
            <v>700</v>
          </cell>
          <cell r="L40">
            <v>688</v>
          </cell>
          <cell r="M40">
            <v>0.98285714285714287</v>
          </cell>
          <cell r="N40">
            <v>45100</v>
          </cell>
          <cell r="O40">
            <v>378000</v>
          </cell>
          <cell r="P40">
            <v>40004</v>
          </cell>
          <cell r="Q40">
            <v>378000</v>
          </cell>
        </row>
        <row r="41">
          <cell r="G41" t="str">
            <v>ITY6301</v>
          </cell>
          <cell r="H41">
            <v>2</v>
          </cell>
          <cell r="I41">
            <v>2</v>
          </cell>
          <cell r="J41">
            <v>1600</v>
          </cell>
          <cell r="K41">
            <v>1600</v>
          </cell>
          <cell r="L41">
            <v>1752</v>
          </cell>
          <cell r="M41">
            <v>1.095</v>
          </cell>
          <cell r="N41">
            <v>46100</v>
          </cell>
          <cell r="O41">
            <v>398000</v>
          </cell>
          <cell r="P41">
            <v>46250</v>
          </cell>
          <cell r="Q41">
            <v>398000</v>
          </cell>
        </row>
        <row r="42">
          <cell r="G42" t="str">
            <v>ITY6302</v>
          </cell>
          <cell r="H42">
            <v>2</v>
          </cell>
          <cell r="I42">
            <v>2</v>
          </cell>
          <cell r="J42">
            <v>900</v>
          </cell>
          <cell r="K42">
            <v>900</v>
          </cell>
          <cell r="L42">
            <v>822</v>
          </cell>
          <cell r="M42">
            <v>0.91333333333333333</v>
          </cell>
          <cell r="N42">
            <v>33200</v>
          </cell>
          <cell r="O42">
            <v>298000</v>
          </cell>
          <cell r="P42">
            <v>33619</v>
          </cell>
          <cell r="Q42">
            <v>298000</v>
          </cell>
        </row>
        <row r="43">
          <cell r="G43" t="str">
            <v>ITY6303</v>
          </cell>
          <cell r="H43">
            <v>1</v>
          </cell>
          <cell r="I43">
            <v>1</v>
          </cell>
          <cell r="J43">
            <v>500</v>
          </cell>
          <cell r="K43">
            <v>500</v>
          </cell>
          <cell r="L43">
            <v>497</v>
          </cell>
          <cell r="M43">
            <v>0.99399999999999999</v>
          </cell>
          <cell r="N43">
            <v>47900</v>
          </cell>
          <cell r="O43">
            <v>378000</v>
          </cell>
          <cell r="P43">
            <v>47633</v>
          </cell>
          <cell r="Q43">
            <v>378000</v>
          </cell>
        </row>
        <row r="44">
          <cell r="G44" t="str">
            <v>ITY6304</v>
          </cell>
          <cell r="H44">
            <v>2</v>
          </cell>
          <cell r="I44">
            <v>2</v>
          </cell>
          <cell r="J44">
            <v>700</v>
          </cell>
          <cell r="K44">
            <v>700</v>
          </cell>
          <cell r="L44">
            <v>700</v>
          </cell>
          <cell r="M44">
            <v>1</v>
          </cell>
          <cell r="N44">
            <v>48300</v>
          </cell>
          <cell r="O44">
            <v>378000</v>
          </cell>
          <cell r="P44">
            <v>42663</v>
          </cell>
          <cell r="Q44">
            <v>358000</v>
          </cell>
        </row>
        <row r="45">
          <cell r="G45" t="str">
            <v>ITY6305</v>
          </cell>
          <cell r="H45">
            <v>2</v>
          </cell>
          <cell r="I45">
            <v>2</v>
          </cell>
          <cell r="J45">
            <v>800</v>
          </cell>
          <cell r="K45">
            <v>800</v>
          </cell>
          <cell r="L45">
            <v>797</v>
          </cell>
          <cell r="M45">
            <v>0.99624999999999997</v>
          </cell>
          <cell r="N45">
            <v>48100</v>
          </cell>
          <cell r="O45">
            <v>358000</v>
          </cell>
          <cell r="P45">
            <v>43219</v>
          </cell>
          <cell r="Q45">
            <v>398000</v>
          </cell>
        </row>
        <row r="46">
          <cell r="G46" t="str">
            <v>IFY6301</v>
          </cell>
          <cell r="H46">
            <v>2</v>
          </cell>
          <cell r="I46">
            <v>2</v>
          </cell>
          <cell r="J46">
            <v>1300</v>
          </cell>
          <cell r="K46">
            <v>1300</v>
          </cell>
          <cell r="L46">
            <v>1300</v>
          </cell>
          <cell r="M46">
            <v>1</v>
          </cell>
          <cell r="N46">
            <v>22325</v>
          </cell>
          <cell r="O46">
            <v>158000</v>
          </cell>
          <cell r="P46">
            <v>22338</v>
          </cell>
          <cell r="Q46">
            <v>158000</v>
          </cell>
        </row>
        <row r="47">
          <cell r="G47" t="str">
            <v>ITYC301</v>
          </cell>
          <cell r="H47">
            <v>2</v>
          </cell>
          <cell r="I47">
            <v>2</v>
          </cell>
          <cell r="J47">
            <v>850</v>
          </cell>
          <cell r="K47">
            <v>850</v>
          </cell>
          <cell r="L47">
            <v>880</v>
          </cell>
          <cell r="M47">
            <v>1.0352941176470589</v>
          </cell>
          <cell r="N47">
            <v>67300</v>
          </cell>
          <cell r="O47">
            <v>538000</v>
          </cell>
          <cell r="P47">
            <v>64426</v>
          </cell>
          <cell r="Q47">
            <v>538000</v>
          </cell>
        </row>
        <row r="48">
          <cell r="G48" t="str">
            <v>I0Y7301</v>
          </cell>
          <cell r="H48">
            <v>3</v>
          </cell>
          <cell r="I48">
            <v>3</v>
          </cell>
          <cell r="J48">
            <v>2200</v>
          </cell>
          <cell r="K48">
            <v>2200</v>
          </cell>
          <cell r="L48">
            <v>2155</v>
          </cell>
          <cell r="M48">
            <v>0.9795454545454545</v>
          </cell>
          <cell r="N48">
            <v>20900</v>
          </cell>
          <cell r="O48">
            <v>178000</v>
          </cell>
          <cell r="P48">
            <v>19347</v>
          </cell>
          <cell r="Q48">
            <v>178000</v>
          </cell>
        </row>
        <row r="49">
          <cell r="G49" t="str">
            <v>I0Y7302</v>
          </cell>
          <cell r="H49">
            <v>2</v>
          </cell>
          <cell r="I49">
            <v>2</v>
          </cell>
          <cell r="J49">
            <v>1400</v>
          </cell>
          <cell r="K49">
            <v>1400</v>
          </cell>
          <cell r="L49">
            <v>1472</v>
          </cell>
          <cell r="M49">
            <v>1.0514285714285714</v>
          </cell>
          <cell r="N49">
            <v>20600</v>
          </cell>
          <cell r="O49">
            <v>198000</v>
          </cell>
          <cell r="P49">
            <v>19044</v>
          </cell>
          <cell r="Q49">
            <v>198000</v>
          </cell>
        </row>
        <row r="50">
          <cell r="G50" t="str">
            <v>I0Y7303</v>
          </cell>
          <cell r="H50">
            <v>2</v>
          </cell>
          <cell r="I50">
            <v>2</v>
          </cell>
          <cell r="J50">
            <v>1500</v>
          </cell>
          <cell r="K50">
            <v>1500</v>
          </cell>
          <cell r="L50">
            <v>1369</v>
          </cell>
          <cell r="M50">
            <v>0.91266666666666663</v>
          </cell>
          <cell r="N50">
            <v>23800</v>
          </cell>
          <cell r="O50">
            <v>198000</v>
          </cell>
          <cell r="P50">
            <v>22786</v>
          </cell>
          <cell r="Q50">
            <v>198000</v>
          </cell>
        </row>
        <row r="51">
          <cell r="G51" t="str">
            <v>INY7301</v>
          </cell>
          <cell r="H51">
            <v>2</v>
          </cell>
          <cell r="I51">
            <v>2</v>
          </cell>
          <cell r="J51">
            <v>1600</v>
          </cell>
          <cell r="K51">
            <v>1600</v>
          </cell>
          <cell r="L51">
            <v>1645</v>
          </cell>
          <cell r="M51">
            <v>1.028125</v>
          </cell>
          <cell r="N51">
            <v>25300</v>
          </cell>
          <cell r="O51">
            <v>218000</v>
          </cell>
          <cell r="P51">
            <v>24655</v>
          </cell>
          <cell r="Q51">
            <v>218000</v>
          </cell>
        </row>
        <row r="52">
          <cell r="G52" t="str">
            <v>ITY7301</v>
          </cell>
          <cell r="H52">
            <v>2</v>
          </cell>
          <cell r="I52">
            <v>2</v>
          </cell>
          <cell r="J52">
            <v>1700</v>
          </cell>
          <cell r="K52">
            <v>1700</v>
          </cell>
          <cell r="L52">
            <v>1847</v>
          </cell>
          <cell r="M52">
            <v>1.0864705882352941</v>
          </cell>
          <cell r="N52">
            <v>19800</v>
          </cell>
          <cell r="O52">
            <v>178000</v>
          </cell>
          <cell r="P52">
            <v>19061</v>
          </cell>
          <cell r="Q52">
            <v>178000</v>
          </cell>
        </row>
        <row r="53">
          <cell r="G53" t="str">
            <v>ITY7302</v>
          </cell>
          <cell r="H53">
            <v>2</v>
          </cell>
          <cell r="I53">
            <v>2</v>
          </cell>
          <cell r="J53">
            <v>1400</v>
          </cell>
          <cell r="K53">
            <v>1400</v>
          </cell>
          <cell r="L53">
            <v>1311</v>
          </cell>
          <cell r="M53">
            <v>0.93642857142857139</v>
          </cell>
          <cell r="N53">
            <v>14500</v>
          </cell>
          <cell r="O53">
            <v>158000</v>
          </cell>
          <cell r="P53">
            <v>15143</v>
          </cell>
          <cell r="Q53">
            <v>178000</v>
          </cell>
        </row>
        <row r="54">
          <cell r="G54" t="str">
            <v>ITY7303</v>
          </cell>
          <cell r="H54">
            <v>2</v>
          </cell>
          <cell r="I54">
            <v>2</v>
          </cell>
          <cell r="J54">
            <v>1300</v>
          </cell>
          <cell r="K54">
            <v>1300</v>
          </cell>
          <cell r="L54">
            <v>1279</v>
          </cell>
          <cell r="M54">
            <v>0.98384615384615381</v>
          </cell>
          <cell r="N54">
            <v>21000</v>
          </cell>
          <cell r="O54">
            <v>198000</v>
          </cell>
          <cell r="P54">
            <v>20556</v>
          </cell>
          <cell r="Q54">
            <v>198000</v>
          </cell>
        </row>
        <row r="55">
          <cell r="G55" t="str">
            <v>ITY7305</v>
          </cell>
          <cell r="H55">
            <v>2</v>
          </cell>
          <cell r="I55">
            <v>2</v>
          </cell>
          <cell r="J55">
            <v>1300</v>
          </cell>
          <cell r="K55">
            <v>1300</v>
          </cell>
          <cell r="L55">
            <v>1254</v>
          </cell>
          <cell r="M55">
            <v>0.96461538461538465</v>
          </cell>
          <cell r="N55">
            <v>26200</v>
          </cell>
          <cell r="O55">
            <v>198000</v>
          </cell>
          <cell r="P55">
            <v>27340</v>
          </cell>
          <cell r="Q55">
            <v>198000</v>
          </cell>
        </row>
        <row r="56">
          <cell r="G56" t="str">
            <v>P0Y1301</v>
          </cell>
          <cell r="H56">
            <v>5</v>
          </cell>
          <cell r="I56">
            <v>5</v>
          </cell>
          <cell r="J56">
            <v>2200</v>
          </cell>
          <cell r="K56">
            <v>2200</v>
          </cell>
          <cell r="L56">
            <v>2533</v>
          </cell>
          <cell r="M56">
            <v>1.1513636363636364</v>
          </cell>
          <cell r="N56">
            <v>10000</v>
          </cell>
          <cell r="O56">
            <v>78000</v>
          </cell>
          <cell r="P56">
            <v>10147</v>
          </cell>
          <cell r="Q56">
            <v>78000</v>
          </cell>
        </row>
        <row r="57">
          <cell r="G57" t="str">
            <v>P0Y1302</v>
          </cell>
          <cell r="H57">
            <v>2</v>
          </cell>
          <cell r="I57">
            <v>2</v>
          </cell>
          <cell r="J57">
            <v>1000</v>
          </cell>
          <cell r="K57">
            <v>1000</v>
          </cell>
          <cell r="L57">
            <v>979</v>
          </cell>
          <cell r="M57">
            <v>0.97899999999999998</v>
          </cell>
          <cell r="N57">
            <v>12800</v>
          </cell>
          <cell r="O57">
            <v>118000</v>
          </cell>
          <cell r="P57">
            <v>12804</v>
          </cell>
          <cell r="Q57">
            <v>118000</v>
          </cell>
        </row>
        <row r="58">
          <cell r="G58" t="str">
            <v>P0Y1303</v>
          </cell>
          <cell r="H58">
            <v>2</v>
          </cell>
          <cell r="I58">
            <v>2</v>
          </cell>
          <cell r="J58">
            <v>800</v>
          </cell>
          <cell r="K58">
            <v>800</v>
          </cell>
          <cell r="L58">
            <v>924</v>
          </cell>
          <cell r="M58">
            <v>1.155</v>
          </cell>
          <cell r="N58">
            <v>15750</v>
          </cell>
          <cell r="O58">
            <v>158000</v>
          </cell>
          <cell r="P58">
            <v>13989</v>
          </cell>
          <cell r="Q58">
            <v>158000</v>
          </cell>
        </row>
        <row r="59">
          <cell r="G59" t="str">
            <v>P0Y1304</v>
          </cell>
          <cell r="H59">
            <v>2</v>
          </cell>
          <cell r="I59">
            <v>2</v>
          </cell>
          <cell r="J59">
            <v>900</v>
          </cell>
          <cell r="K59">
            <v>900</v>
          </cell>
          <cell r="L59">
            <v>866</v>
          </cell>
          <cell r="M59">
            <v>0.9622222222222222</v>
          </cell>
          <cell r="N59">
            <v>18000</v>
          </cell>
          <cell r="O59">
            <v>158000</v>
          </cell>
          <cell r="P59">
            <v>15086</v>
          </cell>
          <cell r="Q59">
            <v>158000</v>
          </cell>
        </row>
        <row r="60">
          <cell r="G60" t="str">
            <v>P0Y1305</v>
          </cell>
          <cell r="H60">
            <v>1</v>
          </cell>
          <cell r="I60">
            <v>1</v>
          </cell>
          <cell r="J60">
            <v>700</v>
          </cell>
          <cell r="K60">
            <v>700</v>
          </cell>
          <cell r="L60">
            <v>604</v>
          </cell>
          <cell r="M60">
            <v>0.86285714285714288</v>
          </cell>
          <cell r="N60">
            <v>18700</v>
          </cell>
          <cell r="O60">
            <v>158000</v>
          </cell>
          <cell r="P60">
            <v>16034</v>
          </cell>
          <cell r="Q60">
            <v>158000</v>
          </cell>
        </row>
        <row r="61">
          <cell r="G61" t="str">
            <v>P0Y1306</v>
          </cell>
          <cell r="H61">
            <v>2</v>
          </cell>
          <cell r="I61">
            <v>2</v>
          </cell>
          <cell r="J61">
            <v>1000</v>
          </cell>
          <cell r="K61">
            <v>1000</v>
          </cell>
          <cell r="L61">
            <v>963</v>
          </cell>
          <cell r="M61">
            <v>0.96299999999999997</v>
          </cell>
          <cell r="N61">
            <v>15800</v>
          </cell>
          <cell r="O61">
            <v>158000</v>
          </cell>
          <cell r="P61">
            <v>15307</v>
          </cell>
          <cell r="Q61">
            <v>158000</v>
          </cell>
        </row>
        <row r="62">
          <cell r="G62" t="str">
            <v>P0Y1307</v>
          </cell>
          <cell r="H62">
            <v>2</v>
          </cell>
          <cell r="I62">
            <v>2</v>
          </cell>
          <cell r="J62">
            <v>1000</v>
          </cell>
          <cell r="K62">
            <v>1000</v>
          </cell>
          <cell r="L62">
            <v>977</v>
          </cell>
          <cell r="M62">
            <v>0.97699999999999998</v>
          </cell>
          <cell r="N62">
            <v>15900</v>
          </cell>
          <cell r="O62">
            <v>138000</v>
          </cell>
          <cell r="P62">
            <v>17307</v>
          </cell>
          <cell r="Q62">
            <v>138000</v>
          </cell>
        </row>
        <row r="63">
          <cell r="G63" t="str">
            <v>P0Y1308</v>
          </cell>
          <cell r="H63">
            <v>2</v>
          </cell>
          <cell r="I63">
            <v>2</v>
          </cell>
          <cell r="J63">
            <v>1000</v>
          </cell>
          <cell r="K63">
            <v>1000</v>
          </cell>
          <cell r="L63">
            <v>931</v>
          </cell>
          <cell r="M63">
            <v>0.93100000000000005</v>
          </cell>
          <cell r="N63">
            <v>19000</v>
          </cell>
          <cell r="O63">
            <v>158000</v>
          </cell>
          <cell r="P63">
            <v>16797</v>
          </cell>
          <cell r="Q63">
            <v>158000</v>
          </cell>
        </row>
        <row r="64">
          <cell r="G64" t="str">
            <v>P0Y1309</v>
          </cell>
          <cell r="H64">
            <v>2</v>
          </cell>
          <cell r="I64">
            <v>2</v>
          </cell>
          <cell r="J64">
            <v>1100</v>
          </cell>
          <cell r="K64">
            <v>1100</v>
          </cell>
          <cell r="L64">
            <v>1014</v>
          </cell>
          <cell r="M64">
            <v>0.92181818181818187</v>
          </cell>
          <cell r="N64">
            <v>16700</v>
          </cell>
          <cell r="O64">
            <v>158000</v>
          </cell>
          <cell r="P64">
            <v>17437</v>
          </cell>
          <cell r="Q64">
            <v>158000</v>
          </cell>
        </row>
        <row r="65">
          <cell r="G65" t="str">
            <v>P0Y1310</v>
          </cell>
          <cell r="H65">
            <v>1</v>
          </cell>
          <cell r="I65">
            <v>1</v>
          </cell>
          <cell r="J65">
            <v>500</v>
          </cell>
          <cell r="K65">
            <v>500</v>
          </cell>
          <cell r="L65">
            <v>469</v>
          </cell>
          <cell r="M65">
            <v>0.93799999999999994</v>
          </cell>
          <cell r="N65">
            <v>18900</v>
          </cell>
          <cell r="O65">
            <v>158000</v>
          </cell>
          <cell r="P65">
            <v>16476</v>
          </cell>
          <cell r="Q65">
            <v>158000</v>
          </cell>
        </row>
        <row r="66">
          <cell r="G66" t="str">
            <v>P0Y1311</v>
          </cell>
          <cell r="H66">
            <v>2</v>
          </cell>
          <cell r="I66">
            <v>2</v>
          </cell>
          <cell r="J66">
            <v>800</v>
          </cell>
          <cell r="K66">
            <v>800</v>
          </cell>
          <cell r="L66">
            <v>779</v>
          </cell>
          <cell r="M66">
            <v>0.97375</v>
          </cell>
          <cell r="N66">
            <v>19100</v>
          </cell>
          <cell r="O66">
            <v>158000</v>
          </cell>
          <cell r="P66">
            <v>19675</v>
          </cell>
          <cell r="Q66">
            <v>158000</v>
          </cell>
        </row>
        <row r="67">
          <cell r="G67" t="str">
            <v>P0Y1312</v>
          </cell>
          <cell r="H67">
            <v>1</v>
          </cell>
          <cell r="I67">
            <v>1</v>
          </cell>
          <cell r="J67">
            <v>400</v>
          </cell>
          <cell r="K67">
            <v>400</v>
          </cell>
          <cell r="L67">
            <v>340</v>
          </cell>
          <cell r="M67">
            <v>0.85</v>
          </cell>
          <cell r="N67">
            <v>11200</v>
          </cell>
          <cell r="O67">
            <v>98000</v>
          </cell>
          <cell r="P67">
            <v>12803</v>
          </cell>
          <cell r="Q67">
            <v>98000</v>
          </cell>
        </row>
        <row r="68">
          <cell r="G68" t="str">
            <v>PNY1301</v>
          </cell>
          <cell r="H68">
            <v>2</v>
          </cell>
          <cell r="I68">
            <v>2</v>
          </cell>
          <cell r="J68">
            <v>500</v>
          </cell>
          <cell r="K68">
            <v>500</v>
          </cell>
          <cell r="L68">
            <v>463</v>
          </cell>
          <cell r="M68">
            <v>0.92600000000000005</v>
          </cell>
          <cell r="N68">
            <v>13400</v>
          </cell>
          <cell r="O68">
            <v>118000</v>
          </cell>
          <cell r="P68">
            <v>15807</v>
          </cell>
          <cell r="Q68">
            <v>138000</v>
          </cell>
        </row>
        <row r="69">
          <cell r="G69" t="str">
            <v>PNY1302</v>
          </cell>
          <cell r="H69">
            <v>2</v>
          </cell>
          <cell r="I69">
            <v>2</v>
          </cell>
          <cell r="J69">
            <v>600</v>
          </cell>
          <cell r="K69">
            <v>600</v>
          </cell>
          <cell r="L69">
            <v>511</v>
          </cell>
          <cell r="M69">
            <v>0.85166666666666668</v>
          </cell>
          <cell r="N69">
            <v>17000</v>
          </cell>
          <cell r="O69">
            <v>158000</v>
          </cell>
          <cell r="P69">
            <v>13564</v>
          </cell>
          <cell r="Q69">
            <v>158000</v>
          </cell>
        </row>
        <row r="70">
          <cell r="G70" t="str">
            <v>PTY1301</v>
          </cell>
          <cell r="H70">
            <v>5</v>
          </cell>
          <cell r="I70">
            <v>5</v>
          </cell>
          <cell r="J70">
            <v>3100</v>
          </cell>
          <cell r="K70">
            <v>3100</v>
          </cell>
          <cell r="L70">
            <v>3068</v>
          </cell>
          <cell r="M70">
            <v>0.98967741935483866</v>
          </cell>
          <cell r="N70">
            <v>12300</v>
          </cell>
          <cell r="O70">
            <v>78000</v>
          </cell>
          <cell r="P70">
            <v>9136</v>
          </cell>
          <cell r="Q70">
            <v>78000</v>
          </cell>
        </row>
        <row r="71">
          <cell r="G71" t="str">
            <v>PTY1302</v>
          </cell>
          <cell r="H71">
            <v>1</v>
          </cell>
          <cell r="I71">
            <v>1</v>
          </cell>
          <cell r="J71">
            <v>400</v>
          </cell>
          <cell r="K71">
            <v>400</v>
          </cell>
          <cell r="L71">
            <v>405</v>
          </cell>
          <cell r="M71">
            <v>1.0125</v>
          </cell>
          <cell r="N71">
            <v>22500</v>
          </cell>
          <cell r="O71">
            <v>178000</v>
          </cell>
          <cell r="P71">
            <v>14229</v>
          </cell>
          <cell r="Q71">
            <v>138000</v>
          </cell>
        </row>
        <row r="72">
          <cell r="G72" t="str">
            <v>PTY1303</v>
          </cell>
          <cell r="H72">
            <v>1</v>
          </cell>
          <cell r="I72">
            <v>1</v>
          </cell>
          <cell r="J72">
            <v>400</v>
          </cell>
          <cell r="K72">
            <v>400</v>
          </cell>
          <cell r="L72">
            <v>423</v>
          </cell>
          <cell r="M72">
            <v>1.0575000000000001</v>
          </cell>
          <cell r="N72">
            <v>20400</v>
          </cell>
          <cell r="O72">
            <v>158000</v>
          </cell>
          <cell r="P72">
            <v>15684</v>
          </cell>
          <cell r="Q72">
            <v>138000</v>
          </cell>
        </row>
        <row r="73">
          <cell r="G73" t="str">
            <v>PTY1305</v>
          </cell>
          <cell r="H73">
            <v>2</v>
          </cell>
          <cell r="I73">
            <v>2</v>
          </cell>
          <cell r="J73">
            <v>800</v>
          </cell>
          <cell r="K73">
            <v>800</v>
          </cell>
          <cell r="L73">
            <v>800</v>
          </cell>
          <cell r="M73">
            <v>1</v>
          </cell>
          <cell r="N73">
            <v>10500</v>
          </cell>
          <cell r="O73">
            <v>98000</v>
          </cell>
          <cell r="P73">
            <v>10436</v>
          </cell>
          <cell r="Q73">
            <v>98000</v>
          </cell>
        </row>
        <row r="74">
          <cell r="G74" t="str">
            <v>PNY2301</v>
          </cell>
          <cell r="H74">
            <v>2</v>
          </cell>
          <cell r="I74">
            <v>2</v>
          </cell>
          <cell r="J74">
            <v>700</v>
          </cell>
          <cell r="K74">
            <v>700</v>
          </cell>
          <cell r="L74">
            <v>693</v>
          </cell>
          <cell r="M74">
            <v>0.99</v>
          </cell>
          <cell r="N74">
            <v>39300</v>
          </cell>
          <cell r="O74">
            <v>278000</v>
          </cell>
          <cell r="P74">
            <v>37402</v>
          </cell>
          <cell r="Q74">
            <v>278000</v>
          </cell>
        </row>
        <row r="75">
          <cell r="G75" t="str">
            <v>P0Y4301</v>
          </cell>
          <cell r="H75">
            <v>2</v>
          </cell>
          <cell r="I75">
            <v>2</v>
          </cell>
          <cell r="J75">
            <v>850</v>
          </cell>
          <cell r="K75">
            <v>850</v>
          </cell>
          <cell r="L75">
            <v>783</v>
          </cell>
          <cell r="M75">
            <v>0.92117647058823526</v>
          </cell>
          <cell r="N75">
            <v>22200</v>
          </cell>
          <cell r="O75">
            <v>218000</v>
          </cell>
          <cell r="P75">
            <v>21959</v>
          </cell>
          <cell r="Q75">
            <v>218000</v>
          </cell>
        </row>
        <row r="76">
          <cell r="G76" t="str">
            <v>P0Y4302</v>
          </cell>
          <cell r="H76">
            <v>2</v>
          </cell>
          <cell r="I76">
            <v>2</v>
          </cell>
          <cell r="J76">
            <v>900</v>
          </cell>
          <cell r="K76">
            <v>900</v>
          </cell>
          <cell r="L76">
            <v>810</v>
          </cell>
          <cell r="M76">
            <v>0.9</v>
          </cell>
          <cell r="N76">
            <v>38700</v>
          </cell>
          <cell r="O76">
            <v>278000</v>
          </cell>
          <cell r="P76">
            <v>35736</v>
          </cell>
          <cell r="Q76">
            <v>278000</v>
          </cell>
        </row>
        <row r="77">
          <cell r="G77" t="str">
            <v>P0Y5301</v>
          </cell>
          <cell r="H77">
            <v>1</v>
          </cell>
          <cell r="I77">
            <v>1</v>
          </cell>
          <cell r="J77">
            <v>300</v>
          </cell>
          <cell r="K77">
            <v>300</v>
          </cell>
          <cell r="L77">
            <v>299</v>
          </cell>
          <cell r="M77">
            <v>0.9966666666666667</v>
          </cell>
          <cell r="N77">
            <v>49000</v>
          </cell>
          <cell r="O77">
            <v>358000</v>
          </cell>
          <cell r="P77">
            <v>48907</v>
          </cell>
          <cell r="Q77">
            <v>358000</v>
          </cell>
        </row>
        <row r="78">
          <cell r="G78" t="str">
            <v>PTY8301</v>
          </cell>
          <cell r="H78">
            <v>2</v>
          </cell>
          <cell r="I78">
            <v>2</v>
          </cell>
          <cell r="J78">
            <v>1000</v>
          </cell>
          <cell r="K78">
            <v>1000</v>
          </cell>
          <cell r="L78">
            <v>996</v>
          </cell>
          <cell r="M78">
            <v>0.996</v>
          </cell>
          <cell r="N78">
            <v>21800</v>
          </cell>
          <cell r="O78">
            <v>178000</v>
          </cell>
          <cell r="P78">
            <v>20287</v>
          </cell>
          <cell r="Q78">
            <v>178000</v>
          </cell>
        </row>
        <row r="79">
          <cell r="G79" t="str">
            <v>PTY8302</v>
          </cell>
          <cell r="H79">
            <v>1</v>
          </cell>
          <cell r="I79">
            <v>1</v>
          </cell>
          <cell r="J79">
            <v>400</v>
          </cell>
          <cell r="K79">
            <v>400</v>
          </cell>
          <cell r="L79">
            <v>387</v>
          </cell>
          <cell r="M79">
            <v>0.96750000000000003</v>
          </cell>
          <cell r="N79">
            <v>24300</v>
          </cell>
          <cell r="O79">
            <v>198000</v>
          </cell>
          <cell r="P79">
            <v>21987</v>
          </cell>
          <cell r="Q79">
            <v>198000</v>
          </cell>
        </row>
        <row r="80">
          <cell r="G80" t="str">
            <v>PTY8303</v>
          </cell>
          <cell r="H80">
            <v>1</v>
          </cell>
          <cell r="I80">
            <v>1</v>
          </cell>
          <cell r="J80">
            <v>400</v>
          </cell>
          <cell r="K80">
            <v>400</v>
          </cell>
          <cell r="L80">
            <v>397</v>
          </cell>
          <cell r="M80">
            <v>0.99250000000000005</v>
          </cell>
          <cell r="N80">
            <v>30300</v>
          </cell>
          <cell r="O80">
            <v>218000</v>
          </cell>
          <cell r="P80">
            <v>31787</v>
          </cell>
          <cell r="Q80">
            <v>238000</v>
          </cell>
        </row>
        <row r="81">
          <cell r="G81" t="str">
            <v>PTY8304</v>
          </cell>
          <cell r="H81">
            <v>1</v>
          </cell>
          <cell r="I81">
            <v>1</v>
          </cell>
          <cell r="J81">
            <v>400</v>
          </cell>
          <cell r="K81">
            <v>400</v>
          </cell>
          <cell r="L81">
            <v>422</v>
          </cell>
          <cell r="M81">
            <v>1.0549999999999999</v>
          </cell>
          <cell r="N81">
            <v>26300</v>
          </cell>
          <cell r="O81">
            <v>218000</v>
          </cell>
          <cell r="P81">
            <v>24787</v>
          </cell>
          <cell r="Q81">
            <v>218000</v>
          </cell>
        </row>
        <row r="82">
          <cell r="G82" t="str">
            <v>PTY8305</v>
          </cell>
          <cell r="H82">
            <v>1</v>
          </cell>
          <cell r="I82">
            <v>1</v>
          </cell>
          <cell r="J82">
            <v>400</v>
          </cell>
          <cell r="K82">
            <v>400</v>
          </cell>
          <cell r="L82">
            <v>393</v>
          </cell>
          <cell r="M82">
            <v>0.98250000000000004</v>
          </cell>
          <cell r="N82">
            <v>23300</v>
          </cell>
          <cell r="O82">
            <v>198000</v>
          </cell>
          <cell r="P82">
            <v>28831</v>
          </cell>
          <cell r="Q82">
            <v>218000</v>
          </cell>
        </row>
        <row r="83">
          <cell r="G83" t="str">
            <v>PTY8306</v>
          </cell>
          <cell r="H83">
            <v>1</v>
          </cell>
          <cell r="I83">
            <v>1</v>
          </cell>
          <cell r="J83">
            <v>500</v>
          </cell>
          <cell r="K83">
            <v>500</v>
          </cell>
          <cell r="L83">
            <v>495</v>
          </cell>
          <cell r="M83">
            <v>0.99</v>
          </cell>
          <cell r="N83">
            <v>31000</v>
          </cell>
          <cell r="O83">
            <v>218000</v>
          </cell>
          <cell r="P83">
            <v>31307</v>
          </cell>
          <cell r="Q83">
            <v>218000</v>
          </cell>
        </row>
        <row r="84">
          <cell r="G84" t="str">
            <v>PTY8307</v>
          </cell>
          <cell r="H84">
            <v>2</v>
          </cell>
          <cell r="I84">
            <v>2</v>
          </cell>
          <cell r="J84">
            <v>1100</v>
          </cell>
          <cell r="K84">
            <v>1100</v>
          </cell>
          <cell r="L84">
            <v>1068</v>
          </cell>
          <cell r="M84">
            <v>0.97090909090909094</v>
          </cell>
          <cell r="N84">
            <v>28000</v>
          </cell>
          <cell r="O84">
            <v>218000</v>
          </cell>
          <cell r="P84">
            <v>26307</v>
          </cell>
          <cell r="Q84">
            <v>218000</v>
          </cell>
        </row>
        <row r="85">
          <cell r="G85" t="str">
            <v>P0Y6301</v>
          </cell>
          <cell r="H85">
            <v>3</v>
          </cell>
          <cell r="I85">
            <v>3</v>
          </cell>
          <cell r="J85">
            <v>1500</v>
          </cell>
          <cell r="K85">
            <v>1500</v>
          </cell>
          <cell r="L85">
            <v>1338</v>
          </cell>
          <cell r="M85">
            <v>0.89200000000000002</v>
          </cell>
          <cell r="N85">
            <v>26150</v>
          </cell>
          <cell r="O85">
            <v>198000</v>
          </cell>
          <cell r="P85">
            <v>27566</v>
          </cell>
          <cell r="Q85">
            <v>218000</v>
          </cell>
        </row>
        <row r="86">
          <cell r="G86" t="str">
            <v>P0Y6302</v>
          </cell>
          <cell r="H86">
            <v>2</v>
          </cell>
          <cell r="I86">
            <v>2</v>
          </cell>
          <cell r="J86">
            <v>900</v>
          </cell>
          <cell r="K86">
            <v>900</v>
          </cell>
          <cell r="L86">
            <v>1023</v>
          </cell>
          <cell r="M86">
            <v>1.1366666666666667</v>
          </cell>
          <cell r="N86">
            <v>33800</v>
          </cell>
          <cell r="O86">
            <v>278000</v>
          </cell>
          <cell r="P86">
            <v>33262</v>
          </cell>
          <cell r="Q86">
            <v>278000</v>
          </cell>
        </row>
        <row r="87">
          <cell r="G87" t="str">
            <v>P0Y6303</v>
          </cell>
          <cell r="H87">
            <v>1</v>
          </cell>
          <cell r="I87">
            <v>1</v>
          </cell>
          <cell r="J87">
            <v>400</v>
          </cell>
          <cell r="K87">
            <v>400</v>
          </cell>
          <cell r="L87">
            <v>396</v>
          </cell>
          <cell r="M87">
            <v>0.99</v>
          </cell>
          <cell r="N87">
            <v>46500</v>
          </cell>
          <cell r="O87">
            <v>378000</v>
          </cell>
          <cell r="P87">
            <v>49132</v>
          </cell>
          <cell r="Q87">
            <v>398000</v>
          </cell>
        </row>
        <row r="88">
          <cell r="G88" t="str">
            <v>P0Y6304</v>
          </cell>
          <cell r="H88">
            <v>2</v>
          </cell>
          <cell r="I88">
            <v>2</v>
          </cell>
          <cell r="J88">
            <v>800</v>
          </cell>
          <cell r="K88">
            <v>800</v>
          </cell>
          <cell r="L88">
            <v>748</v>
          </cell>
          <cell r="M88">
            <v>0.93500000000000005</v>
          </cell>
          <cell r="N88">
            <v>49100</v>
          </cell>
          <cell r="O88">
            <v>398000</v>
          </cell>
          <cell r="P88">
            <v>46507</v>
          </cell>
          <cell r="Q88">
            <v>398000</v>
          </cell>
        </row>
        <row r="89">
          <cell r="G89" t="str">
            <v>PNY6301</v>
          </cell>
          <cell r="H89">
            <v>2</v>
          </cell>
          <cell r="I89">
            <v>2</v>
          </cell>
          <cell r="J89">
            <v>600</v>
          </cell>
          <cell r="K89">
            <v>600</v>
          </cell>
          <cell r="L89">
            <v>552</v>
          </cell>
          <cell r="M89">
            <v>0.92</v>
          </cell>
          <cell r="N89">
            <v>35100</v>
          </cell>
          <cell r="O89">
            <v>298000</v>
          </cell>
          <cell r="P89">
            <v>36319</v>
          </cell>
          <cell r="Q89">
            <v>338000</v>
          </cell>
        </row>
        <row r="90">
          <cell r="G90" t="str">
            <v>PTY6301</v>
          </cell>
          <cell r="H90">
            <v>2</v>
          </cell>
          <cell r="I90">
            <v>2</v>
          </cell>
          <cell r="J90">
            <v>800</v>
          </cell>
          <cell r="K90">
            <v>800</v>
          </cell>
          <cell r="L90">
            <v>842</v>
          </cell>
          <cell r="M90">
            <v>1.0525</v>
          </cell>
          <cell r="N90">
            <v>34000</v>
          </cell>
          <cell r="O90">
            <v>298000</v>
          </cell>
          <cell r="P90">
            <v>34063</v>
          </cell>
          <cell r="Q90">
            <v>318000</v>
          </cell>
        </row>
        <row r="91">
          <cell r="G91" t="str">
            <v>PTYT301</v>
          </cell>
          <cell r="H91">
            <v>2</v>
          </cell>
          <cell r="I91">
            <v>2</v>
          </cell>
          <cell r="J91">
            <v>900</v>
          </cell>
          <cell r="K91">
            <v>900</v>
          </cell>
          <cell r="L91">
            <v>863</v>
          </cell>
          <cell r="M91">
            <v>0.9588888888888889</v>
          </cell>
          <cell r="N91">
            <v>42800</v>
          </cell>
          <cell r="O91">
            <v>358000</v>
          </cell>
          <cell r="P91">
            <v>39670</v>
          </cell>
          <cell r="Q91">
            <v>358000</v>
          </cell>
        </row>
        <row r="92">
          <cell r="G92" t="str">
            <v>PTYT302</v>
          </cell>
          <cell r="H92">
            <v>3</v>
          </cell>
          <cell r="I92">
            <v>3</v>
          </cell>
          <cell r="J92">
            <v>1500</v>
          </cell>
          <cell r="K92">
            <v>1500</v>
          </cell>
          <cell r="L92">
            <v>1611</v>
          </cell>
          <cell r="M92">
            <v>1.0740000000000001</v>
          </cell>
          <cell r="N92">
            <v>46100</v>
          </cell>
          <cell r="O92">
            <v>398000</v>
          </cell>
          <cell r="P92">
            <v>45921</v>
          </cell>
          <cell r="Q92">
            <v>420000</v>
          </cell>
        </row>
        <row r="93">
          <cell r="G93" t="str">
            <v>PTYC301</v>
          </cell>
          <cell r="H93">
            <v>2</v>
          </cell>
          <cell r="I93">
            <v>2</v>
          </cell>
          <cell r="J93">
            <v>900</v>
          </cell>
          <cell r="K93">
            <v>900</v>
          </cell>
          <cell r="L93">
            <v>878</v>
          </cell>
          <cell r="M93">
            <v>0.97555555555555551</v>
          </cell>
          <cell r="N93">
            <v>46900</v>
          </cell>
          <cell r="O93">
            <v>398000</v>
          </cell>
          <cell r="P93">
            <v>44720</v>
          </cell>
          <cell r="Q93">
            <v>398000</v>
          </cell>
        </row>
        <row r="94">
          <cell r="G94" t="str">
            <v>P0YV301</v>
          </cell>
          <cell r="H94">
            <v>2</v>
          </cell>
          <cell r="I94">
            <v>2</v>
          </cell>
          <cell r="J94">
            <v>700</v>
          </cell>
          <cell r="K94">
            <v>700</v>
          </cell>
          <cell r="L94">
            <v>768</v>
          </cell>
          <cell r="M94">
            <v>1.0971428571428572</v>
          </cell>
          <cell r="N94">
            <v>39500</v>
          </cell>
          <cell r="O94">
            <v>318000</v>
          </cell>
          <cell r="P94">
            <v>39614</v>
          </cell>
          <cell r="Q94">
            <v>318000</v>
          </cell>
        </row>
        <row r="95">
          <cell r="G95" t="str">
            <v>PNYV301</v>
          </cell>
          <cell r="H95">
            <v>2</v>
          </cell>
          <cell r="I95">
            <v>2</v>
          </cell>
          <cell r="J95">
            <v>600</v>
          </cell>
          <cell r="K95">
            <v>600</v>
          </cell>
          <cell r="L95">
            <v>600</v>
          </cell>
          <cell r="M95">
            <v>1</v>
          </cell>
          <cell r="N95">
            <v>36000</v>
          </cell>
          <cell r="O95">
            <v>298000</v>
          </cell>
          <cell r="P95">
            <v>34328</v>
          </cell>
          <cell r="Q95">
            <v>298000</v>
          </cell>
        </row>
        <row r="96">
          <cell r="G96" t="str">
            <v>PTYV301</v>
          </cell>
          <cell r="H96">
            <v>2</v>
          </cell>
          <cell r="I96">
            <v>2</v>
          </cell>
          <cell r="J96">
            <v>750</v>
          </cell>
          <cell r="K96">
            <v>750</v>
          </cell>
          <cell r="L96">
            <v>750</v>
          </cell>
          <cell r="M96">
            <v>1</v>
          </cell>
          <cell r="N96">
            <v>30900</v>
          </cell>
          <cell r="O96">
            <v>258000</v>
          </cell>
          <cell r="P96">
            <v>34915</v>
          </cell>
          <cell r="Q96">
            <v>298000</v>
          </cell>
        </row>
        <row r="97">
          <cell r="G97" t="str">
            <v>P0Y7301</v>
          </cell>
          <cell r="H97">
            <v>3</v>
          </cell>
          <cell r="I97">
            <v>3</v>
          </cell>
          <cell r="J97">
            <v>1700</v>
          </cell>
          <cell r="K97">
            <v>1700</v>
          </cell>
          <cell r="L97">
            <v>1782</v>
          </cell>
          <cell r="M97">
            <v>1.0482352941176472</v>
          </cell>
          <cell r="N97">
            <v>18000</v>
          </cell>
          <cell r="O97">
            <v>178000</v>
          </cell>
          <cell r="P97">
            <v>17309</v>
          </cell>
          <cell r="Q97">
            <v>178000</v>
          </cell>
        </row>
        <row r="98">
          <cell r="G98" t="str">
            <v>P0Y7302</v>
          </cell>
          <cell r="H98">
            <v>2</v>
          </cell>
          <cell r="I98">
            <v>2</v>
          </cell>
          <cell r="J98">
            <v>1300</v>
          </cell>
          <cell r="K98">
            <v>1300</v>
          </cell>
          <cell r="L98">
            <v>1082</v>
          </cell>
          <cell r="M98">
            <v>0.8323076923076923</v>
          </cell>
          <cell r="N98">
            <v>21300</v>
          </cell>
          <cell r="O98">
            <v>198000</v>
          </cell>
          <cell r="P98">
            <v>21877</v>
          </cell>
          <cell r="Q98">
            <v>198000</v>
          </cell>
        </row>
        <row r="99">
          <cell r="G99" t="str">
            <v>PNY7301</v>
          </cell>
          <cell r="H99">
            <v>2</v>
          </cell>
          <cell r="I99">
            <v>2</v>
          </cell>
          <cell r="J99">
            <v>800</v>
          </cell>
          <cell r="K99">
            <v>800</v>
          </cell>
          <cell r="L99">
            <v>864</v>
          </cell>
          <cell r="M99">
            <v>1.08</v>
          </cell>
          <cell r="N99">
            <v>21700</v>
          </cell>
          <cell r="O99">
            <v>198000</v>
          </cell>
          <cell r="P99">
            <v>20914</v>
          </cell>
          <cell r="Q99">
            <v>198000</v>
          </cell>
        </row>
        <row r="100">
          <cell r="G100" t="str">
            <v>PTY7301</v>
          </cell>
          <cell r="H100">
            <v>3</v>
          </cell>
          <cell r="I100">
            <v>3</v>
          </cell>
          <cell r="J100">
            <v>1700</v>
          </cell>
          <cell r="K100">
            <v>1700</v>
          </cell>
          <cell r="L100">
            <v>1827</v>
          </cell>
          <cell r="M100">
            <v>1.0747058823529412</v>
          </cell>
          <cell r="N100">
            <v>16000</v>
          </cell>
          <cell r="O100">
            <v>118000</v>
          </cell>
          <cell r="P100">
            <v>15489</v>
          </cell>
          <cell r="Q100">
            <v>118000</v>
          </cell>
        </row>
        <row r="101">
          <cell r="G101" t="str">
            <v>PTY7302</v>
          </cell>
          <cell r="H101">
            <v>2</v>
          </cell>
          <cell r="I101">
            <v>2</v>
          </cell>
          <cell r="J101">
            <v>1300</v>
          </cell>
          <cell r="K101">
            <v>1300</v>
          </cell>
          <cell r="L101">
            <v>1294</v>
          </cell>
          <cell r="M101">
            <v>0.99538461538461542</v>
          </cell>
          <cell r="N101">
            <v>17700</v>
          </cell>
          <cell r="O101">
            <v>178000</v>
          </cell>
          <cell r="P101">
            <v>16823</v>
          </cell>
          <cell r="Q101">
            <v>178000</v>
          </cell>
        </row>
        <row r="102">
          <cell r="G102" t="str">
            <v>PTY7304</v>
          </cell>
          <cell r="H102">
            <v>2</v>
          </cell>
          <cell r="I102">
            <v>2</v>
          </cell>
          <cell r="J102">
            <v>1200</v>
          </cell>
          <cell r="K102">
            <v>1200</v>
          </cell>
          <cell r="L102">
            <v>872</v>
          </cell>
          <cell r="M102">
            <v>0.72666666666666668</v>
          </cell>
          <cell r="N102">
            <v>26500</v>
          </cell>
          <cell r="O102">
            <v>218000</v>
          </cell>
          <cell r="P102">
            <v>31092</v>
          </cell>
          <cell r="Q102">
            <v>218000</v>
          </cell>
        </row>
        <row r="103">
          <cell r="G103" t="str">
            <v>PTY7305</v>
          </cell>
          <cell r="H103">
            <v>2</v>
          </cell>
          <cell r="I103">
            <v>2</v>
          </cell>
          <cell r="J103">
            <v>1000</v>
          </cell>
          <cell r="K103">
            <v>1000</v>
          </cell>
          <cell r="L103">
            <v>954</v>
          </cell>
          <cell r="M103">
            <v>0.95399999999999996</v>
          </cell>
          <cell r="N103">
            <v>15900</v>
          </cell>
          <cell r="O103">
            <v>178000</v>
          </cell>
          <cell r="P103">
            <v>16823</v>
          </cell>
          <cell r="Q103">
            <v>178000</v>
          </cell>
        </row>
        <row r="104">
          <cell r="G104" t="str">
            <v>PTY7306</v>
          </cell>
          <cell r="H104">
            <v>1</v>
          </cell>
          <cell r="I104">
            <v>1</v>
          </cell>
          <cell r="J104">
            <v>500</v>
          </cell>
          <cell r="K104">
            <v>500</v>
          </cell>
          <cell r="L104">
            <v>471</v>
          </cell>
          <cell r="M104">
            <v>0.94199999999999995</v>
          </cell>
          <cell r="N104">
            <v>17800</v>
          </cell>
          <cell r="O104">
            <v>178000</v>
          </cell>
          <cell r="P104">
            <v>17323</v>
          </cell>
          <cell r="Q104">
            <v>178000</v>
          </cell>
        </row>
        <row r="105">
          <cell r="G105" t="str">
            <v>PTY7307</v>
          </cell>
          <cell r="H105">
            <v>1</v>
          </cell>
          <cell r="I105">
            <v>1</v>
          </cell>
          <cell r="J105">
            <v>600</v>
          </cell>
          <cell r="K105">
            <v>600</v>
          </cell>
          <cell r="L105">
            <v>614</v>
          </cell>
          <cell r="M105">
            <v>1.0233333333333334</v>
          </cell>
          <cell r="N105">
            <v>25500</v>
          </cell>
          <cell r="O105">
            <v>198000</v>
          </cell>
          <cell r="P105">
            <v>19593</v>
          </cell>
          <cell r="Q105">
            <v>198000</v>
          </cell>
        </row>
        <row r="106">
          <cell r="G106" t="str">
            <v>PTY7308</v>
          </cell>
          <cell r="H106">
            <v>1</v>
          </cell>
          <cell r="I106">
            <v>1</v>
          </cell>
          <cell r="J106">
            <v>700</v>
          </cell>
          <cell r="K106">
            <v>700</v>
          </cell>
          <cell r="L106">
            <v>698</v>
          </cell>
          <cell r="M106">
            <v>0.99714285714285711</v>
          </cell>
          <cell r="N106">
            <v>22000</v>
          </cell>
          <cell r="O106">
            <v>198000</v>
          </cell>
          <cell r="P106">
            <v>20293</v>
          </cell>
          <cell r="Q106">
            <v>198000</v>
          </cell>
        </row>
        <row r="107">
          <cell r="G107" t="str">
            <v>P0YQ301</v>
          </cell>
          <cell r="H107">
            <v>3</v>
          </cell>
          <cell r="I107">
            <v>3</v>
          </cell>
          <cell r="J107">
            <v>1200</v>
          </cell>
          <cell r="K107">
            <v>1200</v>
          </cell>
          <cell r="L107">
            <v>1118</v>
          </cell>
          <cell r="M107">
            <v>0.93166666666666664</v>
          </cell>
          <cell r="N107">
            <v>20300</v>
          </cell>
          <cell r="O107">
            <v>198000</v>
          </cell>
          <cell r="P107">
            <v>18786</v>
          </cell>
          <cell r="Q107">
            <v>178000</v>
          </cell>
        </row>
        <row r="108">
          <cell r="G108" t="str">
            <v>P0YQ302</v>
          </cell>
          <cell r="H108">
            <v>2</v>
          </cell>
          <cell r="I108">
            <v>2</v>
          </cell>
          <cell r="J108">
            <v>550</v>
          </cell>
          <cell r="K108">
            <v>550</v>
          </cell>
          <cell r="L108">
            <v>548</v>
          </cell>
          <cell r="M108">
            <v>0.99636363636363634</v>
          </cell>
          <cell r="N108">
            <v>23200</v>
          </cell>
          <cell r="O108">
            <v>198000</v>
          </cell>
          <cell r="P108">
            <v>19071</v>
          </cell>
          <cell r="Q108">
            <v>198000</v>
          </cell>
        </row>
        <row r="109">
          <cell r="G109" t="str">
            <v>PNYQ301</v>
          </cell>
          <cell r="H109">
            <v>2</v>
          </cell>
          <cell r="I109">
            <v>2</v>
          </cell>
          <cell r="J109">
            <v>800</v>
          </cell>
          <cell r="K109">
            <v>800</v>
          </cell>
          <cell r="L109">
            <v>880</v>
          </cell>
          <cell r="M109">
            <v>1.1000000000000001</v>
          </cell>
          <cell r="N109">
            <v>22700</v>
          </cell>
          <cell r="O109">
            <v>198000</v>
          </cell>
          <cell r="P109">
            <v>17889</v>
          </cell>
          <cell r="Q109">
            <v>198000</v>
          </cell>
        </row>
        <row r="110">
          <cell r="G110" t="str">
            <v>PTYQ301</v>
          </cell>
          <cell r="H110">
            <v>1</v>
          </cell>
          <cell r="I110">
            <v>1</v>
          </cell>
          <cell r="J110">
            <v>350</v>
          </cell>
          <cell r="K110">
            <v>350</v>
          </cell>
          <cell r="L110">
            <v>265</v>
          </cell>
          <cell r="M110">
            <v>0.75714285714285712</v>
          </cell>
          <cell r="N110">
            <v>21800</v>
          </cell>
          <cell r="O110">
            <v>198000</v>
          </cell>
          <cell r="P110">
            <v>22806</v>
          </cell>
          <cell r="Q110">
            <v>198000</v>
          </cell>
        </row>
        <row r="111">
          <cell r="G111" t="str">
            <v>I0Y1401</v>
          </cell>
          <cell r="H111">
            <v>5</v>
          </cell>
          <cell r="I111">
            <v>5</v>
          </cell>
          <cell r="J111">
            <v>2300</v>
          </cell>
          <cell r="K111">
            <v>2300</v>
          </cell>
          <cell r="L111">
            <v>2242</v>
          </cell>
          <cell r="M111">
            <v>0.97478260869565214</v>
          </cell>
          <cell r="N111">
            <v>12700</v>
          </cell>
          <cell r="O111">
            <v>98000</v>
          </cell>
          <cell r="P111">
            <v>13603</v>
          </cell>
          <cell r="Q111">
            <v>118000</v>
          </cell>
        </row>
        <row r="112">
          <cell r="G112" t="str">
            <v>I0Y1402</v>
          </cell>
          <cell r="H112">
            <v>3</v>
          </cell>
          <cell r="I112">
            <v>3</v>
          </cell>
          <cell r="J112">
            <v>2700</v>
          </cell>
          <cell r="K112">
            <v>2700</v>
          </cell>
          <cell r="L112">
            <v>2832</v>
          </cell>
          <cell r="M112">
            <v>1.048888888888889</v>
          </cell>
          <cell r="N112">
            <v>16700</v>
          </cell>
          <cell r="O112">
            <v>158000</v>
          </cell>
          <cell r="P112">
            <v>14790</v>
          </cell>
          <cell r="Q112">
            <v>138000</v>
          </cell>
        </row>
        <row r="113">
          <cell r="G113" t="str">
            <v>I0Y1403</v>
          </cell>
          <cell r="H113">
            <v>2</v>
          </cell>
          <cell r="I113">
            <v>2</v>
          </cell>
          <cell r="J113">
            <v>1400</v>
          </cell>
          <cell r="K113">
            <v>1400</v>
          </cell>
          <cell r="L113">
            <v>1378</v>
          </cell>
          <cell r="M113">
            <v>0.98428571428571432</v>
          </cell>
          <cell r="N113">
            <v>20600</v>
          </cell>
          <cell r="O113">
            <v>178000</v>
          </cell>
          <cell r="P113">
            <v>17304</v>
          </cell>
          <cell r="Q113">
            <v>158000</v>
          </cell>
        </row>
        <row r="114">
          <cell r="G114" t="str">
            <v>I0Y1404</v>
          </cell>
          <cell r="H114">
            <v>2</v>
          </cell>
          <cell r="I114">
            <v>2</v>
          </cell>
          <cell r="J114">
            <v>1600</v>
          </cell>
          <cell r="K114">
            <v>1600</v>
          </cell>
          <cell r="L114">
            <v>1830</v>
          </cell>
          <cell r="M114">
            <v>1.14375</v>
          </cell>
          <cell r="N114">
            <v>21900</v>
          </cell>
          <cell r="O114">
            <v>178000</v>
          </cell>
          <cell r="P114">
            <v>17990</v>
          </cell>
          <cell r="Q114">
            <v>178000</v>
          </cell>
        </row>
        <row r="115">
          <cell r="G115" t="str">
            <v>I0Y1405</v>
          </cell>
          <cell r="H115">
            <v>2</v>
          </cell>
          <cell r="I115">
            <v>2</v>
          </cell>
          <cell r="J115">
            <v>1600</v>
          </cell>
          <cell r="K115">
            <v>1600</v>
          </cell>
          <cell r="L115">
            <v>1635</v>
          </cell>
          <cell r="M115">
            <v>1.0218750000000001</v>
          </cell>
          <cell r="N115">
            <v>27700</v>
          </cell>
          <cell r="O115">
            <v>198000</v>
          </cell>
          <cell r="P115">
            <v>27647</v>
          </cell>
          <cell r="Q115">
            <v>198000</v>
          </cell>
        </row>
        <row r="116">
          <cell r="G116" t="str">
            <v>I0Y1406</v>
          </cell>
          <cell r="H116">
            <v>2</v>
          </cell>
          <cell r="I116">
            <v>2</v>
          </cell>
          <cell r="J116">
            <v>1200</v>
          </cell>
          <cell r="K116">
            <v>1200</v>
          </cell>
          <cell r="L116">
            <v>1110</v>
          </cell>
          <cell r="M116">
            <v>0.92500000000000004</v>
          </cell>
          <cell r="N116">
            <v>24700</v>
          </cell>
          <cell r="O116">
            <v>198000</v>
          </cell>
          <cell r="P116">
            <v>30307</v>
          </cell>
          <cell r="Q116">
            <v>218000</v>
          </cell>
        </row>
        <row r="117">
          <cell r="G117" t="str">
            <v>I0Y1407</v>
          </cell>
          <cell r="H117">
            <v>3</v>
          </cell>
          <cell r="I117">
            <v>3</v>
          </cell>
          <cell r="J117">
            <v>2600</v>
          </cell>
          <cell r="K117">
            <v>2600</v>
          </cell>
          <cell r="L117">
            <v>2528</v>
          </cell>
          <cell r="M117">
            <v>0.97230769230769232</v>
          </cell>
          <cell r="N117">
            <v>13800</v>
          </cell>
          <cell r="O117">
            <v>98000</v>
          </cell>
          <cell r="P117">
            <v>14130</v>
          </cell>
          <cell r="Q117">
            <v>98000</v>
          </cell>
        </row>
        <row r="118">
          <cell r="G118" t="str">
            <v>INY1401</v>
          </cell>
          <cell r="H118">
            <v>2</v>
          </cell>
          <cell r="I118">
            <v>2</v>
          </cell>
          <cell r="J118">
            <v>1800</v>
          </cell>
          <cell r="K118">
            <v>1800</v>
          </cell>
          <cell r="L118">
            <v>1770</v>
          </cell>
          <cell r="M118">
            <v>0.98333333333333328</v>
          </cell>
          <cell r="N118">
            <v>16150</v>
          </cell>
          <cell r="O118">
            <v>158000</v>
          </cell>
          <cell r="P118">
            <v>16807</v>
          </cell>
          <cell r="Q118">
            <v>158000</v>
          </cell>
        </row>
        <row r="119">
          <cell r="G119" t="str">
            <v>INY1402</v>
          </cell>
          <cell r="H119">
            <v>2</v>
          </cell>
          <cell r="I119">
            <v>2</v>
          </cell>
          <cell r="J119">
            <v>1000</v>
          </cell>
          <cell r="K119">
            <v>1000</v>
          </cell>
          <cell r="L119">
            <v>956</v>
          </cell>
          <cell r="M119">
            <v>0.95599999999999996</v>
          </cell>
          <cell r="N119">
            <v>19600</v>
          </cell>
          <cell r="O119">
            <v>158000</v>
          </cell>
          <cell r="P119">
            <v>19807</v>
          </cell>
          <cell r="Q119">
            <v>158000</v>
          </cell>
        </row>
        <row r="120">
          <cell r="G120" t="str">
            <v>ITY1401</v>
          </cell>
          <cell r="H120">
            <v>2</v>
          </cell>
          <cell r="I120">
            <v>2</v>
          </cell>
          <cell r="J120">
            <v>1500</v>
          </cell>
          <cell r="K120">
            <v>1500</v>
          </cell>
          <cell r="L120">
            <v>1515</v>
          </cell>
          <cell r="M120">
            <v>1.01</v>
          </cell>
          <cell r="N120">
            <v>16400</v>
          </cell>
          <cell r="O120">
            <v>138000</v>
          </cell>
          <cell r="P120">
            <v>18004</v>
          </cell>
          <cell r="Q120">
            <v>138000</v>
          </cell>
        </row>
        <row r="121">
          <cell r="G121" t="str">
            <v>ITY1402</v>
          </cell>
          <cell r="H121">
            <v>3</v>
          </cell>
          <cell r="I121">
            <v>3</v>
          </cell>
          <cell r="J121">
            <v>1800</v>
          </cell>
          <cell r="K121">
            <v>1800</v>
          </cell>
          <cell r="L121">
            <v>1598</v>
          </cell>
          <cell r="M121">
            <v>0.88777777777777778</v>
          </cell>
          <cell r="N121">
            <v>17300</v>
          </cell>
          <cell r="O121">
            <v>178000</v>
          </cell>
          <cell r="P121">
            <v>20346</v>
          </cell>
          <cell r="Q121">
            <v>178000</v>
          </cell>
        </row>
        <row r="122">
          <cell r="G122" t="str">
            <v>ITY1403</v>
          </cell>
          <cell r="H122">
            <v>2</v>
          </cell>
          <cell r="I122">
            <v>2</v>
          </cell>
          <cell r="J122">
            <v>2000</v>
          </cell>
          <cell r="K122">
            <v>2000</v>
          </cell>
          <cell r="L122">
            <v>1985</v>
          </cell>
          <cell r="M122">
            <v>0.99250000000000005</v>
          </cell>
          <cell r="N122">
            <v>21200</v>
          </cell>
          <cell r="O122">
            <v>178000</v>
          </cell>
          <cell r="P122">
            <v>20436</v>
          </cell>
          <cell r="Q122">
            <v>178000</v>
          </cell>
        </row>
        <row r="123">
          <cell r="G123" t="str">
            <v>ITY1404</v>
          </cell>
          <cell r="H123">
            <v>2</v>
          </cell>
          <cell r="I123">
            <v>2</v>
          </cell>
          <cell r="J123">
            <v>1600</v>
          </cell>
          <cell r="K123">
            <v>1600</v>
          </cell>
          <cell r="L123">
            <v>1558</v>
          </cell>
          <cell r="M123">
            <v>0.97375</v>
          </cell>
          <cell r="N123">
            <v>19800</v>
          </cell>
          <cell r="O123">
            <v>178000</v>
          </cell>
          <cell r="P123">
            <v>24354</v>
          </cell>
          <cell r="Q123">
            <v>198000</v>
          </cell>
        </row>
        <row r="124">
          <cell r="G124" t="str">
            <v>I0Y2401</v>
          </cell>
          <cell r="H124">
            <v>2</v>
          </cell>
          <cell r="I124">
            <v>2</v>
          </cell>
          <cell r="J124">
            <v>700</v>
          </cell>
          <cell r="K124">
            <v>700</v>
          </cell>
          <cell r="L124">
            <v>696</v>
          </cell>
          <cell r="M124">
            <v>0.99428571428571433</v>
          </cell>
          <cell r="N124">
            <v>43500</v>
          </cell>
          <cell r="O124">
            <v>358000</v>
          </cell>
          <cell r="P124">
            <v>41639</v>
          </cell>
          <cell r="Q124">
            <v>358000</v>
          </cell>
        </row>
        <row r="125">
          <cell r="G125" t="str">
            <v>I0Y2402</v>
          </cell>
          <cell r="H125">
            <v>2</v>
          </cell>
          <cell r="I125">
            <v>2</v>
          </cell>
          <cell r="J125">
            <v>800</v>
          </cell>
          <cell r="K125">
            <v>800</v>
          </cell>
          <cell r="L125">
            <v>886</v>
          </cell>
          <cell r="M125">
            <v>1.1074999999999999</v>
          </cell>
          <cell r="N125">
            <v>47600</v>
          </cell>
          <cell r="O125">
            <v>358000</v>
          </cell>
          <cell r="P125">
            <v>46000</v>
          </cell>
          <cell r="Q125">
            <v>358000</v>
          </cell>
        </row>
        <row r="126">
          <cell r="G126" t="str">
            <v>ITY2401</v>
          </cell>
          <cell r="H126">
            <v>4</v>
          </cell>
          <cell r="I126">
            <v>4</v>
          </cell>
          <cell r="J126">
            <v>1800</v>
          </cell>
          <cell r="K126">
            <v>1800</v>
          </cell>
          <cell r="L126">
            <v>1808</v>
          </cell>
          <cell r="M126">
            <v>1.0044444444444445</v>
          </cell>
          <cell r="N126">
            <v>29000</v>
          </cell>
          <cell r="O126">
            <v>218000</v>
          </cell>
          <cell r="P126">
            <v>29048</v>
          </cell>
          <cell r="Q126">
            <v>218000</v>
          </cell>
        </row>
        <row r="127">
          <cell r="G127" t="str">
            <v>ITY2402</v>
          </cell>
          <cell r="H127">
            <v>3</v>
          </cell>
          <cell r="I127">
            <v>3</v>
          </cell>
          <cell r="J127">
            <v>1600</v>
          </cell>
          <cell r="K127">
            <v>1600</v>
          </cell>
          <cell r="L127">
            <v>1680</v>
          </cell>
          <cell r="M127">
            <v>1.05</v>
          </cell>
          <cell r="N127">
            <v>31800</v>
          </cell>
          <cell r="O127">
            <v>218000</v>
          </cell>
          <cell r="P127">
            <v>29637</v>
          </cell>
          <cell r="Q127">
            <v>218000</v>
          </cell>
        </row>
        <row r="128">
          <cell r="G128" t="str">
            <v>ITY2403</v>
          </cell>
          <cell r="H128">
            <v>2</v>
          </cell>
          <cell r="I128">
            <v>2</v>
          </cell>
          <cell r="J128">
            <v>1600</v>
          </cell>
          <cell r="K128">
            <v>1600</v>
          </cell>
          <cell r="L128">
            <v>1597</v>
          </cell>
          <cell r="M128">
            <v>0.99812500000000004</v>
          </cell>
          <cell r="N128">
            <v>30100</v>
          </cell>
          <cell r="O128">
            <v>218000</v>
          </cell>
          <cell r="P128">
            <v>31567</v>
          </cell>
          <cell r="Q128">
            <v>218000</v>
          </cell>
        </row>
        <row r="129">
          <cell r="G129" t="str">
            <v>ITY2404</v>
          </cell>
          <cell r="H129">
            <v>2</v>
          </cell>
          <cell r="I129">
            <v>2</v>
          </cell>
          <cell r="J129">
            <v>800</v>
          </cell>
          <cell r="K129">
            <v>800</v>
          </cell>
          <cell r="L129">
            <v>805</v>
          </cell>
          <cell r="M129">
            <v>1.0062500000000001</v>
          </cell>
          <cell r="N129">
            <v>47800</v>
          </cell>
          <cell r="O129">
            <v>358000</v>
          </cell>
          <cell r="P129">
            <v>47290</v>
          </cell>
          <cell r="Q129">
            <v>358000</v>
          </cell>
        </row>
        <row r="130">
          <cell r="G130" t="str">
            <v>ITY2405</v>
          </cell>
          <cell r="H130">
            <v>2</v>
          </cell>
          <cell r="I130">
            <v>2</v>
          </cell>
          <cell r="J130">
            <v>800</v>
          </cell>
          <cell r="K130">
            <v>800</v>
          </cell>
          <cell r="L130">
            <v>780</v>
          </cell>
          <cell r="M130">
            <v>0.97499999999999998</v>
          </cell>
          <cell r="N130">
            <v>45200</v>
          </cell>
          <cell r="O130">
            <v>358000</v>
          </cell>
          <cell r="P130">
            <v>41602</v>
          </cell>
          <cell r="Q130">
            <v>358000</v>
          </cell>
        </row>
        <row r="131">
          <cell r="G131" t="str">
            <v>I0Y4401</v>
          </cell>
          <cell r="H131">
            <v>2</v>
          </cell>
          <cell r="I131">
            <v>2</v>
          </cell>
          <cell r="J131">
            <v>800</v>
          </cell>
          <cell r="K131">
            <v>800</v>
          </cell>
          <cell r="L131">
            <v>800</v>
          </cell>
          <cell r="M131">
            <v>1</v>
          </cell>
          <cell r="N131">
            <v>47900</v>
          </cell>
          <cell r="O131">
            <v>378000</v>
          </cell>
          <cell r="P131">
            <v>49158</v>
          </cell>
          <cell r="Q131">
            <v>398000</v>
          </cell>
        </row>
        <row r="132">
          <cell r="G132" t="str">
            <v>ITY4401</v>
          </cell>
          <cell r="H132">
            <v>2</v>
          </cell>
          <cell r="I132">
            <v>2</v>
          </cell>
          <cell r="J132">
            <v>750</v>
          </cell>
          <cell r="K132">
            <v>750</v>
          </cell>
          <cell r="L132">
            <v>683</v>
          </cell>
          <cell r="M132">
            <v>0.91066666666666662</v>
          </cell>
          <cell r="N132">
            <v>22400</v>
          </cell>
          <cell r="O132">
            <v>158000</v>
          </cell>
          <cell r="P132">
            <v>22867</v>
          </cell>
          <cell r="Q132">
            <v>158000</v>
          </cell>
        </row>
        <row r="133">
          <cell r="G133" t="str">
            <v>ITY4402</v>
          </cell>
          <cell r="H133">
            <v>2</v>
          </cell>
          <cell r="I133">
            <v>2</v>
          </cell>
          <cell r="J133">
            <v>800</v>
          </cell>
          <cell r="K133">
            <v>800</v>
          </cell>
          <cell r="L133">
            <v>710</v>
          </cell>
          <cell r="M133">
            <v>0.88749999999999996</v>
          </cell>
          <cell r="N133">
            <v>23700</v>
          </cell>
          <cell r="O133">
            <v>178000</v>
          </cell>
          <cell r="P133">
            <v>24112</v>
          </cell>
          <cell r="Q133">
            <v>178000</v>
          </cell>
        </row>
        <row r="134">
          <cell r="G134" t="str">
            <v>I0Y5401</v>
          </cell>
          <cell r="H134">
            <v>2</v>
          </cell>
          <cell r="I134">
            <v>2</v>
          </cell>
          <cell r="J134">
            <v>800</v>
          </cell>
          <cell r="K134">
            <v>800</v>
          </cell>
          <cell r="L134">
            <v>800</v>
          </cell>
          <cell r="M134">
            <v>1</v>
          </cell>
          <cell r="N134">
            <v>69600</v>
          </cell>
          <cell r="O134">
            <v>518000</v>
          </cell>
          <cell r="P134">
            <v>71867</v>
          </cell>
          <cell r="Q134">
            <v>538000</v>
          </cell>
        </row>
        <row r="135">
          <cell r="G135" t="str">
            <v>ITY5401</v>
          </cell>
          <cell r="H135">
            <v>2</v>
          </cell>
          <cell r="I135">
            <v>2</v>
          </cell>
          <cell r="J135">
            <v>600</v>
          </cell>
          <cell r="K135">
            <v>600</v>
          </cell>
          <cell r="L135">
            <v>554</v>
          </cell>
          <cell r="M135">
            <v>0.92333333333333334</v>
          </cell>
          <cell r="N135">
            <v>32100</v>
          </cell>
          <cell r="O135">
            <v>238000</v>
          </cell>
          <cell r="P135">
            <v>32970</v>
          </cell>
          <cell r="Q135">
            <v>238000</v>
          </cell>
        </row>
        <row r="136">
          <cell r="G136" t="str">
            <v>ITY5402</v>
          </cell>
          <cell r="H136">
            <v>2</v>
          </cell>
          <cell r="I136">
            <v>2</v>
          </cell>
          <cell r="J136">
            <v>1500</v>
          </cell>
          <cell r="K136">
            <v>1500</v>
          </cell>
          <cell r="L136">
            <v>1510</v>
          </cell>
          <cell r="M136">
            <v>1.0066666666666666</v>
          </cell>
          <cell r="N136">
            <v>32000</v>
          </cell>
          <cell r="O136">
            <v>258000</v>
          </cell>
          <cell r="P136">
            <v>32133</v>
          </cell>
          <cell r="Q136">
            <v>258000</v>
          </cell>
        </row>
        <row r="137">
          <cell r="G137" t="str">
            <v>ITY8401</v>
          </cell>
          <cell r="H137">
            <v>1</v>
          </cell>
          <cell r="I137">
            <v>1</v>
          </cell>
          <cell r="J137">
            <v>400</v>
          </cell>
          <cell r="K137">
            <v>400</v>
          </cell>
          <cell r="L137">
            <v>440</v>
          </cell>
          <cell r="M137">
            <v>1.1000000000000001</v>
          </cell>
          <cell r="N137">
            <v>19700</v>
          </cell>
          <cell r="O137">
            <v>158000</v>
          </cell>
          <cell r="P137">
            <v>18679</v>
          </cell>
          <cell r="Q137">
            <v>158000</v>
          </cell>
        </row>
        <row r="138">
          <cell r="G138" t="str">
            <v>ITY8402</v>
          </cell>
          <cell r="H138">
            <v>1</v>
          </cell>
          <cell r="I138">
            <v>1</v>
          </cell>
          <cell r="J138">
            <v>400</v>
          </cell>
          <cell r="K138">
            <v>400</v>
          </cell>
          <cell r="L138">
            <v>403</v>
          </cell>
          <cell r="M138">
            <v>1.0075000000000001</v>
          </cell>
          <cell r="N138">
            <v>19000</v>
          </cell>
          <cell r="O138">
            <v>158000</v>
          </cell>
          <cell r="P138">
            <v>17417</v>
          </cell>
          <cell r="Q138">
            <v>158000</v>
          </cell>
        </row>
        <row r="139">
          <cell r="G139" t="str">
            <v>ITY8403</v>
          </cell>
          <cell r="H139">
            <v>1</v>
          </cell>
          <cell r="I139">
            <v>1</v>
          </cell>
          <cell r="J139">
            <v>400</v>
          </cell>
          <cell r="K139">
            <v>400</v>
          </cell>
          <cell r="L139">
            <v>415</v>
          </cell>
          <cell r="M139">
            <v>1.0375000000000001</v>
          </cell>
          <cell r="N139">
            <v>18100</v>
          </cell>
          <cell r="O139">
            <v>178000</v>
          </cell>
          <cell r="P139">
            <v>19360</v>
          </cell>
          <cell r="Q139">
            <v>178000</v>
          </cell>
        </row>
        <row r="140">
          <cell r="G140" t="str">
            <v>ITY8404</v>
          </cell>
          <cell r="H140">
            <v>1</v>
          </cell>
          <cell r="I140">
            <v>1</v>
          </cell>
          <cell r="J140">
            <v>500</v>
          </cell>
          <cell r="K140">
            <v>500</v>
          </cell>
          <cell r="L140">
            <v>506</v>
          </cell>
          <cell r="M140">
            <v>1.012</v>
          </cell>
          <cell r="N140">
            <v>19000</v>
          </cell>
          <cell r="O140">
            <v>178000</v>
          </cell>
          <cell r="P140">
            <v>20526</v>
          </cell>
          <cell r="Q140">
            <v>178000</v>
          </cell>
        </row>
        <row r="141">
          <cell r="G141" t="str">
            <v>ITY9401</v>
          </cell>
          <cell r="H141">
            <v>1</v>
          </cell>
          <cell r="I141">
            <v>1</v>
          </cell>
          <cell r="J141">
            <v>400</v>
          </cell>
          <cell r="K141">
            <v>400</v>
          </cell>
          <cell r="L141">
            <v>412</v>
          </cell>
          <cell r="M141">
            <v>1.03</v>
          </cell>
          <cell r="N141">
            <v>70800</v>
          </cell>
          <cell r="O141">
            <v>498000</v>
          </cell>
          <cell r="P141">
            <v>52505</v>
          </cell>
          <cell r="Q141">
            <v>458000</v>
          </cell>
        </row>
        <row r="142">
          <cell r="G142" t="str">
            <v>ITY9402</v>
          </cell>
          <cell r="H142">
            <v>1</v>
          </cell>
          <cell r="I142">
            <v>1</v>
          </cell>
          <cell r="J142">
            <v>450</v>
          </cell>
          <cell r="K142">
            <v>450</v>
          </cell>
          <cell r="L142">
            <v>437</v>
          </cell>
          <cell r="M142">
            <v>0.97111111111111115</v>
          </cell>
          <cell r="N142">
            <v>56500</v>
          </cell>
          <cell r="O142">
            <v>478000</v>
          </cell>
          <cell r="P142">
            <v>58327</v>
          </cell>
          <cell r="Q142">
            <v>498000</v>
          </cell>
        </row>
        <row r="143">
          <cell r="G143" t="str">
            <v>ITY9403</v>
          </cell>
          <cell r="H143">
            <v>2</v>
          </cell>
          <cell r="I143">
            <v>2</v>
          </cell>
          <cell r="J143">
            <v>900</v>
          </cell>
          <cell r="K143">
            <v>900</v>
          </cell>
          <cell r="L143">
            <v>0</v>
          </cell>
          <cell r="M143">
            <v>0</v>
          </cell>
          <cell r="N143">
            <v>65700</v>
          </cell>
          <cell r="O143">
            <v>598000</v>
          </cell>
          <cell r="P143">
            <v>0</v>
          </cell>
          <cell r="Q143">
            <v>0</v>
          </cell>
        </row>
        <row r="144">
          <cell r="G144" t="str">
            <v>I0Y6401</v>
          </cell>
          <cell r="H144">
            <v>3</v>
          </cell>
          <cell r="I144">
            <v>3</v>
          </cell>
          <cell r="J144">
            <v>1900</v>
          </cell>
          <cell r="K144">
            <v>1900</v>
          </cell>
          <cell r="L144">
            <v>1880</v>
          </cell>
          <cell r="M144">
            <v>0.98947368421052628</v>
          </cell>
          <cell r="N144">
            <v>40700</v>
          </cell>
          <cell r="O144">
            <v>318000</v>
          </cell>
          <cell r="P144">
            <v>41566</v>
          </cell>
          <cell r="Q144">
            <v>338000</v>
          </cell>
        </row>
        <row r="145">
          <cell r="G145" t="str">
            <v>I0Y6402</v>
          </cell>
          <cell r="H145">
            <v>2</v>
          </cell>
          <cell r="I145">
            <v>2</v>
          </cell>
          <cell r="J145">
            <v>800</v>
          </cell>
          <cell r="K145">
            <v>800</v>
          </cell>
          <cell r="L145">
            <v>782</v>
          </cell>
          <cell r="M145">
            <v>0.97750000000000004</v>
          </cell>
          <cell r="N145">
            <v>50300</v>
          </cell>
          <cell r="O145">
            <v>398000</v>
          </cell>
          <cell r="P145">
            <v>51919</v>
          </cell>
          <cell r="Q145">
            <v>418000</v>
          </cell>
        </row>
        <row r="146">
          <cell r="G146" t="str">
            <v>INY6401</v>
          </cell>
          <cell r="H146">
            <v>2</v>
          </cell>
          <cell r="I146">
            <v>2</v>
          </cell>
          <cell r="J146">
            <v>800</v>
          </cell>
          <cell r="K146">
            <v>800</v>
          </cell>
          <cell r="L146">
            <v>791</v>
          </cell>
          <cell r="M146">
            <v>0.98875000000000002</v>
          </cell>
          <cell r="N146">
            <v>57800</v>
          </cell>
          <cell r="O146">
            <v>478000</v>
          </cell>
          <cell r="P146">
            <v>61108</v>
          </cell>
          <cell r="Q146">
            <v>498000</v>
          </cell>
        </row>
        <row r="147">
          <cell r="G147" t="str">
            <v>ITY6401</v>
          </cell>
          <cell r="H147">
            <v>2</v>
          </cell>
          <cell r="I147">
            <v>2</v>
          </cell>
          <cell r="J147">
            <v>1200</v>
          </cell>
          <cell r="K147">
            <v>1200</v>
          </cell>
          <cell r="L147">
            <v>0</v>
          </cell>
          <cell r="M147">
            <v>0</v>
          </cell>
          <cell r="N147">
            <v>59000</v>
          </cell>
          <cell r="O147">
            <v>518000</v>
          </cell>
          <cell r="P147">
            <v>0</v>
          </cell>
          <cell r="Q147">
            <v>0</v>
          </cell>
        </row>
        <row r="148">
          <cell r="G148" t="str">
            <v>ITY6402</v>
          </cell>
          <cell r="H148">
            <v>2</v>
          </cell>
          <cell r="I148">
            <v>2</v>
          </cell>
          <cell r="J148">
            <v>800</v>
          </cell>
          <cell r="K148">
            <v>800</v>
          </cell>
          <cell r="L148">
            <v>799</v>
          </cell>
          <cell r="M148">
            <v>0.99875000000000003</v>
          </cell>
          <cell r="N148">
            <v>59800</v>
          </cell>
          <cell r="O148">
            <v>578000</v>
          </cell>
          <cell r="P148">
            <v>64041</v>
          </cell>
          <cell r="Q148">
            <v>538000</v>
          </cell>
        </row>
        <row r="149">
          <cell r="G149" t="str">
            <v>ITY6403</v>
          </cell>
          <cell r="H149">
            <v>1</v>
          </cell>
          <cell r="I149">
            <v>1</v>
          </cell>
          <cell r="J149">
            <v>600</v>
          </cell>
          <cell r="K149">
            <v>600</v>
          </cell>
          <cell r="L149">
            <v>604</v>
          </cell>
          <cell r="M149">
            <v>1.0066666666666666</v>
          </cell>
          <cell r="N149">
            <v>69300</v>
          </cell>
          <cell r="O149">
            <v>558000</v>
          </cell>
          <cell r="P149">
            <v>71036</v>
          </cell>
          <cell r="Q149">
            <v>598000</v>
          </cell>
        </row>
        <row r="150">
          <cell r="G150" t="str">
            <v>ITY6404</v>
          </cell>
          <cell r="H150">
            <v>1</v>
          </cell>
          <cell r="I150">
            <v>1</v>
          </cell>
          <cell r="J150">
            <v>450</v>
          </cell>
          <cell r="K150">
            <v>450</v>
          </cell>
          <cell r="L150">
            <v>447</v>
          </cell>
          <cell r="M150">
            <v>0.99333333333333329</v>
          </cell>
          <cell r="N150">
            <v>79800</v>
          </cell>
          <cell r="O150">
            <v>638000</v>
          </cell>
          <cell r="P150">
            <v>81198</v>
          </cell>
          <cell r="Q150">
            <v>678000</v>
          </cell>
        </row>
        <row r="151">
          <cell r="G151" t="str">
            <v>ITYT401</v>
          </cell>
          <cell r="H151">
            <v>2</v>
          </cell>
          <cell r="I151">
            <v>2</v>
          </cell>
          <cell r="J151">
            <v>1300</v>
          </cell>
          <cell r="K151">
            <v>1300</v>
          </cell>
          <cell r="L151">
            <v>1289</v>
          </cell>
          <cell r="M151">
            <v>0.99153846153846159</v>
          </cell>
          <cell r="N151">
            <v>56400</v>
          </cell>
          <cell r="O151">
            <v>498000</v>
          </cell>
          <cell r="P151">
            <v>59183</v>
          </cell>
          <cell r="Q151">
            <v>518000</v>
          </cell>
        </row>
        <row r="152">
          <cell r="G152" t="str">
            <v>ITYT402</v>
          </cell>
          <cell r="H152">
            <v>2</v>
          </cell>
          <cell r="I152">
            <v>2</v>
          </cell>
          <cell r="J152">
            <v>900</v>
          </cell>
          <cell r="K152">
            <v>900</v>
          </cell>
          <cell r="L152">
            <v>0</v>
          </cell>
          <cell r="M152">
            <v>0</v>
          </cell>
          <cell r="N152">
            <v>94900</v>
          </cell>
          <cell r="O152">
            <v>638000</v>
          </cell>
          <cell r="P152">
            <v>0</v>
          </cell>
          <cell r="Q152">
            <v>0</v>
          </cell>
        </row>
        <row r="153">
          <cell r="G153" t="str">
            <v>ITYT403</v>
          </cell>
          <cell r="H153">
            <v>2</v>
          </cell>
          <cell r="I153">
            <v>2</v>
          </cell>
          <cell r="J153">
            <v>800</v>
          </cell>
          <cell r="K153">
            <v>800</v>
          </cell>
          <cell r="L153">
            <v>793</v>
          </cell>
          <cell r="M153">
            <v>0.99124999999999996</v>
          </cell>
          <cell r="N153">
            <v>124800</v>
          </cell>
          <cell r="O153">
            <v>1180000</v>
          </cell>
          <cell r="P153">
            <v>121354</v>
          </cell>
          <cell r="Q153">
            <v>1178000</v>
          </cell>
        </row>
        <row r="154">
          <cell r="G154" t="str">
            <v>INYC401</v>
          </cell>
          <cell r="H154">
            <v>2</v>
          </cell>
          <cell r="I154">
            <v>2</v>
          </cell>
          <cell r="J154">
            <v>800</v>
          </cell>
          <cell r="K154">
            <v>800</v>
          </cell>
          <cell r="L154">
            <v>800</v>
          </cell>
          <cell r="M154">
            <v>1</v>
          </cell>
          <cell r="N154">
            <v>78800</v>
          </cell>
          <cell r="O154">
            <v>598000</v>
          </cell>
          <cell r="P154">
            <v>80964</v>
          </cell>
          <cell r="Q154">
            <v>598000</v>
          </cell>
        </row>
        <row r="155">
          <cell r="G155" t="str">
            <v>ITYC401</v>
          </cell>
          <cell r="H155">
            <v>2</v>
          </cell>
          <cell r="I155">
            <v>2</v>
          </cell>
          <cell r="J155">
            <v>800</v>
          </cell>
          <cell r="K155">
            <v>800</v>
          </cell>
          <cell r="L155">
            <v>0</v>
          </cell>
          <cell r="M155">
            <v>0</v>
          </cell>
          <cell r="N155">
            <v>74300</v>
          </cell>
          <cell r="O155">
            <v>698000</v>
          </cell>
          <cell r="P155">
            <v>0</v>
          </cell>
          <cell r="Q155">
            <v>0</v>
          </cell>
        </row>
        <row r="156">
          <cell r="G156" t="str">
            <v>ITYC402</v>
          </cell>
          <cell r="H156">
            <v>1</v>
          </cell>
          <cell r="I156">
            <v>1</v>
          </cell>
          <cell r="J156">
            <v>400</v>
          </cell>
          <cell r="K156">
            <v>400</v>
          </cell>
          <cell r="L156">
            <v>0</v>
          </cell>
          <cell r="M156">
            <v>0</v>
          </cell>
          <cell r="N156">
            <v>79200</v>
          </cell>
          <cell r="O156">
            <v>698000</v>
          </cell>
          <cell r="P156">
            <v>0</v>
          </cell>
          <cell r="Q156">
            <v>0</v>
          </cell>
        </row>
        <row r="157">
          <cell r="G157" t="str">
            <v>I0YV401</v>
          </cell>
          <cell r="H157">
            <v>3</v>
          </cell>
          <cell r="I157">
            <v>3</v>
          </cell>
          <cell r="J157">
            <v>2300</v>
          </cell>
          <cell r="K157">
            <v>2300</v>
          </cell>
          <cell r="L157">
            <v>2239</v>
          </cell>
          <cell r="M157">
            <v>0.97347826086956524</v>
          </cell>
          <cell r="N157">
            <v>27500</v>
          </cell>
          <cell r="O157">
            <v>218000</v>
          </cell>
          <cell r="P157">
            <v>29866</v>
          </cell>
          <cell r="Q157">
            <v>218000</v>
          </cell>
        </row>
        <row r="158">
          <cell r="G158" t="str">
            <v>INYV401</v>
          </cell>
          <cell r="H158">
            <v>2</v>
          </cell>
          <cell r="I158">
            <v>2</v>
          </cell>
          <cell r="J158">
            <v>700</v>
          </cell>
          <cell r="K158">
            <v>700</v>
          </cell>
          <cell r="L158">
            <v>692</v>
          </cell>
          <cell r="M158">
            <v>0.98857142857142855</v>
          </cell>
          <cell r="N158">
            <v>46700</v>
          </cell>
          <cell r="O158">
            <v>358000</v>
          </cell>
          <cell r="P158">
            <v>46721</v>
          </cell>
          <cell r="Q158">
            <v>358000</v>
          </cell>
        </row>
        <row r="159">
          <cell r="G159" t="str">
            <v>ITYV401</v>
          </cell>
          <cell r="H159">
            <v>2</v>
          </cell>
          <cell r="I159">
            <v>2</v>
          </cell>
          <cell r="J159">
            <v>1200</v>
          </cell>
          <cell r="K159">
            <v>1200</v>
          </cell>
          <cell r="L159">
            <v>1188</v>
          </cell>
          <cell r="M159">
            <v>0.99</v>
          </cell>
          <cell r="N159">
            <v>23000</v>
          </cell>
          <cell r="O159">
            <v>198000</v>
          </cell>
          <cell r="P159">
            <v>23930</v>
          </cell>
          <cell r="Q159">
            <v>198000</v>
          </cell>
        </row>
        <row r="160">
          <cell r="G160" t="str">
            <v>I0Y7401</v>
          </cell>
          <cell r="H160">
            <v>3</v>
          </cell>
          <cell r="I160">
            <v>3</v>
          </cell>
          <cell r="J160">
            <v>2900</v>
          </cell>
          <cell r="K160">
            <v>2900</v>
          </cell>
          <cell r="L160">
            <v>2632</v>
          </cell>
          <cell r="M160">
            <v>0.90758620689655167</v>
          </cell>
          <cell r="N160">
            <v>18800</v>
          </cell>
          <cell r="O160">
            <v>178000</v>
          </cell>
          <cell r="P160">
            <v>17083</v>
          </cell>
          <cell r="Q160">
            <v>178000</v>
          </cell>
        </row>
        <row r="161">
          <cell r="G161" t="str">
            <v>I0Y7402</v>
          </cell>
          <cell r="H161">
            <v>1</v>
          </cell>
          <cell r="I161">
            <v>1</v>
          </cell>
          <cell r="J161">
            <v>1000</v>
          </cell>
          <cell r="K161">
            <v>1000</v>
          </cell>
          <cell r="L161">
            <v>995</v>
          </cell>
          <cell r="M161">
            <v>0.995</v>
          </cell>
          <cell r="N161">
            <v>28700</v>
          </cell>
          <cell r="O161">
            <v>278000</v>
          </cell>
          <cell r="P161">
            <v>28138</v>
          </cell>
          <cell r="Q161">
            <v>258000</v>
          </cell>
        </row>
        <row r="162">
          <cell r="G162" t="str">
            <v>I0Y7403</v>
          </cell>
          <cell r="H162">
            <v>2</v>
          </cell>
          <cell r="I162">
            <v>2</v>
          </cell>
          <cell r="J162">
            <v>1300</v>
          </cell>
          <cell r="K162">
            <v>1300</v>
          </cell>
          <cell r="L162">
            <v>1306</v>
          </cell>
          <cell r="M162">
            <v>1.0046153846153847</v>
          </cell>
          <cell r="N162">
            <v>22000</v>
          </cell>
          <cell r="O162">
            <v>178000</v>
          </cell>
          <cell r="P162">
            <v>20585</v>
          </cell>
          <cell r="Q162">
            <v>178000</v>
          </cell>
        </row>
        <row r="163">
          <cell r="G163" t="str">
            <v>I0Y7404</v>
          </cell>
          <cell r="H163">
            <v>2</v>
          </cell>
          <cell r="I163">
            <v>2</v>
          </cell>
          <cell r="J163">
            <v>2000</v>
          </cell>
          <cell r="K163">
            <v>2000</v>
          </cell>
          <cell r="L163">
            <v>1953</v>
          </cell>
          <cell r="M163">
            <v>0.97650000000000003</v>
          </cell>
          <cell r="N163">
            <v>24400</v>
          </cell>
          <cell r="O163">
            <v>198000</v>
          </cell>
          <cell r="P163">
            <v>21736</v>
          </cell>
          <cell r="Q163">
            <v>198000</v>
          </cell>
        </row>
        <row r="164">
          <cell r="G164" t="str">
            <v>INY7401</v>
          </cell>
          <cell r="H164">
            <v>2</v>
          </cell>
          <cell r="I164">
            <v>2</v>
          </cell>
          <cell r="J164">
            <v>1700</v>
          </cell>
          <cell r="K164">
            <v>1700</v>
          </cell>
          <cell r="L164">
            <v>1688</v>
          </cell>
          <cell r="M164">
            <v>0.99294117647058822</v>
          </cell>
          <cell r="N164">
            <v>24900</v>
          </cell>
          <cell r="O164">
            <v>218000</v>
          </cell>
          <cell r="P164">
            <v>22757</v>
          </cell>
          <cell r="Q164">
            <v>218000</v>
          </cell>
        </row>
        <row r="165">
          <cell r="G165" t="str">
            <v>INY7402</v>
          </cell>
          <cell r="H165">
            <v>2</v>
          </cell>
          <cell r="I165">
            <v>2</v>
          </cell>
          <cell r="J165">
            <v>1600</v>
          </cell>
          <cell r="K165">
            <v>1600</v>
          </cell>
          <cell r="L165">
            <v>1620</v>
          </cell>
          <cell r="M165">
            <v>1.0125</v>
          </cell>
          <cell r="N165">
            <v>28200</v>
          </cell>
          <cell r="O165">
            <v>258000</v>
          </cell>
          <cell r="P165">
            <v>27505</v>
          </cell>
          <cell r="Q165">
            <v>258000</v>
          </cell>
        </row>
        <row r="166">
          <cell r="G166" t="str">
            <v>ITY7401</v>
          </cell>
          <cell r="H166">
            <v>2</v>
          </cell>
          <cell r="I166">
            <v>2</v>
          </cell>
          <cell r="J166">
            <v>2000</v>
          </cell>
          <cell r="K166">
            <v>2000</v>
          </cell>
          <cell r="L166">
            <v>1884</v>
          </cell>
          <cell r="M166">
            <v>0.94199999999999995</v>
          </cell>
          <cell r="N166">
            <v>15400</v>
          </cell>
          <cell r="O166">
            <v>158000</v>
          </cell>
          <cell r="P166">
            <v>16543</v>
          </cell>
          <cell r="Q166">
            <v>158000</v>
          </cell>
        </row>
        <row r="167">
          <cell r="G167" t="str">
            <v>ITY7402</v>
          </cell>
          <cell r="H167">
            <v>2</v>
          </cell>
          <cell r="I167">
            <v>2</v>
          </cell>
          <cell r="J167">
            <v>1400</v>
          </cell>
          <cell r="K167">
            <v>1400</v>
          </cell>
          <cell r="L167">
            <v>1410</v>
          </cell>
          <cell r="M167">
            <v>1.0071428571428571</v>
          </cell>
          <cell r="N167">
            <v>21400</v>
          </cell>
          <cell r="O167">
            <v>198000</v>
          </cell>
          <cell r="P167">
            <v>18799</v>
          </cell>
          <cell r="Q167">
            <v>198000</v>
          </cell>
        </row>
        <row r="168">
          <cell r="G168" t="str">
            <v>ITY7403</v>
          </cell>
          <cell r="H168">
            <v>2</v>
          </cell>
          <cell r="I168">
            <v>2</v>
          </cell>
          <cell r="J168">
            <v>1600</v>
          </cell>
          <cell r="K168">
            <v>1600</v>
          </cell>
          <cell r="L168">
            <v>1611</v>
          </cell>
          <cell r="M168">
            <v>1.006875</v>
          </cell>
          <cell r="N168">
            <v>22600</v>
          </cell>
          <cell r="O168">
            <v>198000</v>
          </cell>
          <cell r="P168">
            <v>21733</v>
          </cell>
          <cell r="Q168">
            <v>198000</v>
          </cell>
        </row>
        <row r="169">
          <cell r="G169" t="str">
            <v>ITY7404</v>
          </cell>
          <cell r="H169">
            <v>2</v>
          </cell>
          <cell r="I169">
            <v>2</v>
          </cell>
          <cell r="J169">
            <v>1700</v>
          </cell>
          <cell r="K169">
            <v>1700</v>
          </cell>
          <cell r="L169">
            <v>1621</v>
          </cell>
          <cell r="M169">
            <v>0.95352941176470585</v>
          </cell>
          <cell r="N169">
            <v>25000</v>
          </cell>
          <cell r="O169">
            <v>218000</v>
          </cell>
          <cell r="P169">
            <v>24431</v>
          </cell>
          <cell r="Q169">
            <v>218000</v>
          </cell>
        </row>
        <row r="170">
          <cell r="G170" t="str">
            <v>ITY7405</v>
          </cell>
          <cell r="H170">
            <v>1</v>
          </cell>
          <cell r="I170">
            <v>1</v>
          </cell>
          <cell r="J170">
            <v>800</v>
          </cell>
          <cell r="K170">
            <v>800</v>
          </cell>
          <cell r="L170">
            <v>892</v>
          </cell>
          <cell r="M170">
            <v>1.115</v>
          </cell>
          <cell r="N170">
            <v>24000</v>
          </cell>
          <cell r="O170">
            <v>218000</v>
          </cell>
          <cell r="P170">
            <v>28448</v>
          </cell>
          <cell r="Q170">
            <v>238000</v>
          </cell>
        </row>
        <row r="171">
          <cell r="G171" t="str">
            <v>ITY7406</v>
          </cell>
          <cell r="H171">
            <v>1</v>
          </cell>
          <cell r="I171">
            <v>1</v>
          </cell>
          <cell r="J171">
            <v>800</v>
          </cell>
          <cell r="K171">
            <v>800</v>
          </cell>
          <cell r="L171">
            <v>789</v>
          </cell>
          <cell r="M171">
            <v>0.98624999999999996</v>
          </cell>
          <cell r="N171">
            <v>26200</v>
          </cell>
          <cell r="O171">
            <v>218000</v>
          </cell>
          <cell r="P171">
            <v>27497</v>
          </cell>
          <cell r="Q171">
            <v>218000</v>
          </cell>
        </row>
        <row r="172">
          <cell r="G172" t="str">
            <v>P0Y1401</v>
          </cell>
          <cell r="H172">
            <v>4</v>
          </cell>
          <cell r="I172">
            <v>4</v>
          </cell>
          <cell r="J172">
            <v>2300</v>
          </cell>
          <cell r="K172">
            <v>2300</v>
          </cell>
          <cell r="L172">
            <v>2256</v>
          </cell>
          <cell r="M172">
            <v>0.98086956521739133</v>
          </cell>
          <cell r="N172">
            <v>11200</v>
          </cell>
          <cell r="O172">
            <v>98000</v>
          </cell>
          <cell r="P172">
            <v>12303</v>
          </cell>
          <cell r="Q172">
            <v>118000</v>
          </cell>
        </row>
        <row r="173">
          <cell r="G173" t="str">
            <v>P0Y1402</v>
          </cell>
          <cell r="H173">
            <v>2</v>
          </cell>
          <cell r="I173">
            <v>2</v>
          </cell>
          <cell r="J173">
            <v>1800</v>
          </cell>
          <cell r="K173">
            <v>1800</v>
          </cell>
          <cell r="L173">
            <v>1832</v>
          </cell>
          <cell r="M173">
            <v>1.0177777777777777</v>
          </cell>
          <cell r="N173">
            <v>15500</v>
          </cell>
          <cell r="O173">
            <v>158000</v>
          </cell>
          <cell r="P173">
            <v>19947</v>
          </cell>
          <cell r="Q173">
            <v>178000</v>
          </cell>
        </row>
        <row r="174">
          <cell r="G174" t="str">
            <v>P0Y1403</v>
          </cell>
          <cell r="H174">
            <v>2</v>
          </cell>
          <cell r="I174">
            <v>2</v>
          </cell>
          <cell r="J174">
            <v>1500</v>
          </cell>
          <cell r="K174">
            <v>1500</v>
          </cell>
          <cell r="L174">
            <v>1477</v>
          </cell>
          <cell r="M174">
            <v>0.98466666666666669</v>
          </cell>
          <cell r="N174">
            <v>18100</v>
          </cell>
          <cell r="O174">
            <v>178000</v>
          </cell>
          <cell r="P174">
            <v>16906</v>
          </cell>
          <cell r="Q174">
            <v>158000</v>
          </cell>
        </row>
        <row r="175">
          <cell r="G175" t="str">
            <v>P0Y1404</v>
          </cell>
          <cell r="H175">
            <v>2</v>
          </cell>
          <cell r="I175">
            <v>2</v>
          </cell>
          <cell r="J175">
            <v>1300</v>
          </cell>
          <cell r="K175">
            <v>1300</v>
          </cell>
          <cell r="L175">
            <v>956</v>
          </cell>
          <cell r="M175">
            <v>0.73538461538461541</v>
          </cell>
          <cell r="N175">
            <v>17800</v>
          </cell>
          <cell r="O175">
            <v>178000</v>
          </cell>
          <cell r="P175">
            <v>16807</v>
          </cell>
          <cell r="Q175">
            <v>178000</v>
          </cell>
        </row>
        <row r="176">
          <cell r="G176" t="str">
            <v>P0Y1405</v>
          </cell>
          <cell r="H176">
            <v>2</v>
          </cell>
          <cell r="I176">
            <v>2</v>
          </cell>
          <cell r="J176">
            <v>1200</v>
          </cell>
          <cell r="K176">
            <v>1200</v>
          </cell>
          <cell r="L176">
            <v>1157</v>
          </cell>
          <cell r="M176">
            <v>0.96416666666666662</v>
          </cell>
          <cell r="N176">
            <v>16300</v>
          </cell>
          <cell r="O176">
            <v>178000</v>
          </cell>
          <cell r="P176">
            <v>16807</v>
          </cell>
          <cell r="Q176">
            <v>178000</v>
          </cell>
        </row>
        <row r="177">
          <cell r="G177" t="str">
            <v>P0Y1406</v>
          </cell>
          <cell r="H177">
            <v>3</v>
          </cell>
          <cell r="I177">
            <v>3</v>
          </cell>
          <cell r="J177">
            <v>3100</v>
          </cell>
          <cell r="K177">
            <v>3100</v>
          </cell>
          <cell r="L177">
            <v>3048</v>
          </cell>
          <cell r="M177">
            <v>0.98322580645161295</v>
          </cell>
          <cell r="N177">
            <v>12200</v>
          </cell>
          <cell r="O177">
            <v>98000</v>
          </cell>
          <cell r="P177">
            <v>12330</v>
          </cell>
          <cell r="Q177">
            <v>98000</v>
          </cell>
        </row>
        <row r="178">
          <cell r="G178" t="str">
            <v>P0Y1407</v>
          </cell>
          <cell r="H178">
            <v>2</v>
          </cell>
          <cell r="I178">
            <v>2</v>
          </cell>
          <cell r="J178">
            <v>1400</v>
          </cell>
          <cell r="K178">
            <v>1400</v>
          </cell>
          <cell r="L178">
            <v>1366</v>
          </cell>
          <cell r="M178">
            <v>0.97571428571428576</v>
          </cell>
          <cell r="N178">
            <v>23400</v>
          </cell>
          <cell r="O178">
            <v>198000</v>
          </cell>
          <cell r="P178">
            <v>23366</v>
          </cell>
          <cell r="Q178">
            <v>198000</v>
          </cell>
        </row>
        <row r="179">
          <cell r="G179" t="str">
            <v>PNY1401</v>
          </cell>
          <cell r="H179">
            <v>2</v>
          </cell>
          <cell r="I179">
            <v>2</v>
          </cell>
          <cell r="J179">
            <v>900</v>
          </cell>
          <cell r="K179">
            <v>900</v>
          </cell>
          <cell r="L179">
            <v>836</v>
          </cell>
          <cell r="M179">
            <v>0.92888888888888888</v>
          </cell>
          <cell r="N179">
            <v>14700</v>
          </cell>
          <cell r="O179">
            <v>158000</v>
          </cell>
          <cell r="P179">
            <v>15307</v>
          </cell>
          <cell r="Q179">
            <v>138000</v>
          </cell>
        </row>
        <row r="180">
          <cell r="G180" t="str">
            <v>PNY1402</v>
          </cell>
          <cell r="H180">
            <v>2</v>
          </cell>
          <cell r="I180">
            <v>2</v>
          </cell>
          <cell r="J180">
            <v>700</v>
          </cell>
          <cell r="K180">
            <v>700</v>
          </cell>
          <cell r="L180">
            <v>668</v>
          </cell>
          <cell r="M180">
            <v>0.95428571428571429</v>
          </cell>
          <cell r="N180">
            <v>19000</v>
          </cell>
          <cell r="O180">
            <v>158000</v>
          </cell>
          <cell r="P180">
            <v>19307</v>
          </cell>
          <cell r="Q180">
            <v>158000</v>
          </cell>
        </row>
        <row r="181">
          <cell r="G181" t="str">
            <v>PTY1401</v>
          </cell>
          <cell r="H181">
            <v>2</v>
          </cell>
          <cell r="I181">
            <v>2</v>
          </cell>
          <cell r="J181">
            <v>1800</v>
          </cell>
          <cell r="K181">
            <v>1800</v>
          </cell>
          <cell r="L181">
            <v>1759</v>
          </cell>
          <cell r="M181">
            <v>0.97722222222222221</v>
          </cell>
          <cell r="N181">
            <v>17600</v>
          </cell>
          <cell r="O181">
            <v>178000</v>
          </cell>
          <cell r="P181">
            <v>20304</v>
          </cell>
          <cell r="Q181">
            <v>178000</v>
          </cell>
        </row>
        <row r="182">
          <cell r="G182" t="str">
            <v>PTY1402</v>
          </cell>
          <cell r="H182">
            <v>2</v>
          </cell>
          <cell r="I182">
            <v>2</v>
          </cell>
          <cell r="J182">
            <v>1400</v>
          </cell>
          <cell r="K182">
            <v>1400</v>
          </cell>
          <cell r="L182">
            <v>1398</v>
          </cell>
          <cell r="M182">
            <v>0.99857142857142855</v>
          </cell>
          <cell r="N182">
            <v>18700</v>
          </cell>
          <cell r="O182">
            <v>198000</v>
          </cell>
          <cell r="P182">
            <v>17931</v>
          </cell>
          <cell r="Q182">
            <v>198000</v>
          </cell>
        </row>
        <row r="183">
          <cell r="G183" t="str">
            <v>PTY1403</v>
          </cell>
          <cell r="H183">
            <v>2</v>
          </cell>
          <cell r="I183">
            <v>2</v>
          </cell>
          <cell r="J183">
            <v>1200</v>
          </cell>
          <cell r="K183">
            <v>1200</v>
          </cell>
          <cell r="L183">
            <v>1067</v>
          </cell>
          <cell r="M183">
            <v>0.88916666666666666</v>
          </cell>
          <cell r="N183">
            <v>17800</v>
          </cell>
          <cell r="O183">
            <v>178000</v>
          </cell>
          <cell r="P183">
            <v>15229</v>
          </cell>
          <cell r="Q183">
            <v>178000</v>
          </cell>
        </row>
        <row r="184">
          <cell r="G184" t="str">
            <v>PTY1404</v>
          </cell>
          <cell r="H184">
            <v>2</v>
          </cell>
          <cell r="I184">
            <v>2</v>
          </cell>
          <cell r="J184">
            <v>1100</v>
          </cell>
          <cell r="K184">
            <v>1100</v>
          </cell>
          <cell r="L184">
            <v>1224</v>
          </cell>
          <cell r="M184">
            <v>1.1127272727272728</v>
          </cell>
          <cell r="N184">
            <v>14800</v>
          </cell>
          <cell r="O184">
            <v>118000</v>
          </cell>
          <cell r="P184">
            <v>17135</v>
          </cell>
          <cell r="Q184">
            <v>138000</v>
          </cell>
        </row>
        <row r="185">
          <cell r="G185" t="str">
            <v>PTY1405</v>
          </cell>
          <cell r="H185">
            <v>1</v>
          </cell>
          <cell r="I185">
            <v>1</v>
          </cell>
          <cell r="J185">
            <v>450</v>
          </cell>
          <cell r="K185">
            <v>450</v>
          </cell>
          <cell r="L185">
            <v>459</v>
          </cell>
          <cell r="M185">
            <v>1.02</v>
          </cell>
          <cell r="N185">
            <v>22100</v>
          </cell>
          <cell r="O185">
            <v>198000</v>
          </cell>
          <cell r="P185">
            <v>21647</v>
          </cell>
          <cell r="Q185">
            <v>198000</v>
          </cell>
        </row>
        <row r="186">
          <cell r="G186" t="str">
            <v>P0Y2401</v>
          </cell>
          <cell r="H186">
            <v>2</v>
          </cell>
          <cell r="I186">
            <v>2</v>
          </cell>
          <cell r="J186">
            <v>1000</v>
          </cell>
          <cell r="K186">
            <v>1000</v>
          </cell>
          <cell r="L186">
            <v>1007</v>
          </cell>
          <cell r="M186">
            <v>1.0069999999999999</v>
          </cell>
          <cell r="N186">
            <v>38900</v>
          </cell>
          <cell r="O186">
            <v>338000</v>
          </cell>
          <cell r="P186">
            <v>39294</v>
          </cell>
          <cell r="Q186">
            <v>338000</v>
          </cell>
        </row>
        <row r="187">
          <cell r="G187" t="str">
            <v>P0Y2402</v>
          </cell>
          <cell r="H187">
            <v>2</v>
          </cell>
          <cell r="I187">
            <v>2</v>
          </cell>
          <cell r="J187">
            <v>800</v>
          </cell>
          <cell r="K187">
            <v>800</v>
          </cell>
          <cell r="L187">
            <v>800</v>
          </cell>
          <cell r="M187">
            <v>1</v>
          </cell>
          <cell r="N187">
            <v>48600</v>
          </cell>
          <cell r="O187">
            <v>358000</v>
          </cell>
          <cell r="P187">
            <v>44044</v>
          </cell>
          <cell r="Q187">
            <v>338000</v>
          </cell>
        </row>
        <row r="188">
          <cell r="G188" t="str">
            <v>PTY2401</v>
          </cell>
          <cell r="H188">
            <v>3</v>
          </cell>
          <cell r="I188">
            <v>3</v>
          </cell>
          <cell r="J188">
            <v>1300</v>
          </cell>
          <cell r="K188">
            <v>1300</v>
          </cell>
          <cell r="L188">
            <v>1305</v>
          </cell>
          <cell r="M188">
            <v>1.0038461538461538</v>
          </cell>
          <cell r="N188">
            <v>19200</v>
          </cell>
          <cell r="O188">
            <v>158000</v>
          </cell>
          <cell r="P188">
            <v>24306</v>
          </cell>
          <cell r="Q188">
            <v>178000</v>
          </cell>
        </row>
        <row r="189">
          <cell r="G189" t="str">
            <v>PTY2402</v>
          </cell>
          <cell r="H189">
            <v>3</v>
          </cell>
          <cell r="I189">
            <v>3</v>
          </cell>
          <cell r="J189">
            <v>1200</v>
          </cell>
          <cell r="K189">
            <v>1200</v>
          </cell>
          <cell r="L189">
            <v>1187</v>
          </cell>
          <cell r="M189">
            <v>0.98916666666666664</v>
          </cell>
          <cell r="N189">
            <v>19200</v>
          </cell>
          <cell r="O189">
            <v>158000</v>
          </cell>
          <cell r="P189">
            <v>24306</v>
          </cell>
          <cell r="Q189">
            <v>178000</v>
          </cell>
        </row>
        <row r="190">
          <cell r="G190" t="str">
            <v>PTY2403</v>
          </cell>
          <cell r="H190">
            <v>2</v>
          </cell>
          <cell r="I190">
            <v>2</v>
          </cell>
          <cell r="J190">
            <v>400</v>
          </cell>
          <cell r="K190">
            <v>400</v>
          </cell>
          <cell r="L190">
            <v>386</v>
          </cell>
          <cell r="M190">
            <v>0.96499999999999997</v>
          </cell>
          <cell r="N190">
            <v>34400</v>
          </cell>
          <cell r="O190">
            <v>238000</v>
          </cell>
          <cell r="P190">
            <v>34400</v>
          </cell>
          <cell r="Q190">
            <v>238000</v>
          </cell>
        </row>
        <row r="191">
          <cell r="G191" t="str">
            <v>PTY2404</v>
          </cell>
          <cell r="H191">
            <v>2</v>
          </cell>
          <cell r="I191">
            <v>2</v>
          </cell>
          <cell r="J191">
            <v>900</v>
          </cell>
          <cell r="K191">
            <v>900</v>
          </cell>
          <cell r="L191">
            <v>913</v>
          </cell>
          <cell r="M191">
            <v>1.0144444444444445</v>
          </cell>
          <cell r="N191">
            <v>26300</v>
          </cell>
          <cell r="O191">
            <v>198000</v>
          </cell>
          <cell r="P191">
            <v>25961</v>
          </cell>
          <cell r="Q191">
            <v>198000</v>
          </cell>
        </row>
        <row r="192">
          <cell r="G192" t="str">
            <v>PTY2405</v>
          </cell>
          <cell r="H192">
            <v>1</v>
          </cell>
          <cell r="I192">
            <v>1</v>
          </cell>
          <cell r="J192">
            <v>500</v>
          </cell>
          <cell r="K192">
            <v>500</v>
          </cell>
          <cell r="L192">
            <v>446</v>
          </cell>
          <cell r="M192">
            <v>0.89200000000000002</v>
          </cell>
          <cell r="N192">
            <v>31300</v>
          </cell>
          <cell r="O192">
            <v>238000</v>
          </cell>
          <cell r="P192">
            <v>32667</v>
          </cell>
          <cell r="Q192">
            <v>258000</v>
          </cell>
        </row>
        <row r="193">
          <cell r="G193" t="str">
            <v>PTY2406</v>
          </cell>
          <cell r="H193">
            <v>2</v>
          </cell>
          <cell r="I193">
            <v>2</v>
          </cell>
          <cell r="J193">
            <v>700</v>
          </cell>
          <cell r="K193">
            <v>700</v>
          </cell>
          <cell r="L193">
            <v>689</v>
          </cell>
          <cell r="M193">
            <v>0.98428571428571432</v>
          </cell>
          <cell r="N193">
            <v>25200</v>
          </cell>
          <cell r="O193">
            <v>198000</v>
          </cell>
          <cell r="P193">
            <v>24606</v>
          </cell>
          <cell r="Q193">
            <v>198000</v>
          </cell>
        </row>
        <row r="194">
          <cell r="G194" t="str">
            <v>PTY2407</v>
          </cell>
          <cell r="H194">
            <v>2</v>
          </cell>
          <cell r="I194">
            <v>2</v>
          </cell>
          <cell r="J194">
            <v>900</v>
          </cell>
          <cell r="K194">
            <v>900</v>
          </cell>
          <cell r="L194">
            <v>905</v>
          </cell>
          <cell r="M194">
            <v>1.0055555555555555</v>
          </cell>
          <cell r="N194">
            <v>21500</v>
          </cell>
          <cell r="O194">
            <v>158000</v>
          </cell>
          <cell r="P194">
            <v>21500</v>
          </cell>
          <cell r="Q194">
            <v>158000</v>
          </cell>
        </row>
        <row r="195">
          <cell r="G195" t="str">
            <v>P0Y4401</v>
          </cell>
          <cell r="H195">
            <v>2</v>
          </cell>
          <cell r="I195">
            <v>2</v>
          </cell>
          <cell r="J195">
            <v>800</v>
          </cell>
          <cell r="K195">
            <v>800</v>
          </cell>
          <cell r="L195">
            <v>763</v>
          </cell>
          <cell r="M195">
            <v>0.95374999999999999</v>
          </cell>
          <cell r="N195">
            <v>35800</v>
          </cell>
          <cell r="O195">
            <v>298000</v>
          </cell>
          <cell r="P195">
            <v>35340</v>
          </cell>
          <cell r="Q195">
            <v>278000</v>
          </cell>
        </row>
        <row r="196">
          <cell r="G196" t="str">
            <v>PTY4401</v>
          </cell>
          <cell r="H196">
            <v>2</v>
          </cell>
          <cell r="I196">
            <v>2</v>
          </cell>
          <cell r="J196">
            <v>1000</v>
          </cell>
          <cell r="K196">
            <v>1000</v>
          </cell>
          <cell r="L196">
            <v>998</v>
          </cell>
          <cell r="M196">
            <v>0.998</v>
          </cell>
          <cell r="N196">
            <v>20200</v>
          </cell>
          <cell r="O196">
            <v>178000</v>
          </cell>
          <cell r="P196">
            <v>25306</v>
          </cell>
          <cell r="Q196">
            <v>198000</v>
          </cell>
        </row>
        <row r="197">
          <cell r="G197" t="str">
            <v>PTY4402</v>
          </cell>
          <cell r="H197">
            <v>3</v>
          </cell>
          <cell r="I197">
            <v>3</v>
          </cell>
          <cell r="J197">
            <v>1600</v>
          </cell>
          <cell r="K197">
            <v>1600</v>
          </cell>
          <cell r="L197">
            <v>1656</v>
          </cell>
          <cell r="M197">
            <v>1.0349999999999999</v>
          </cell>
          <cell r="N197">
            <v>24800</v>
          </cell>
          <cell r="O197">
            <v>198000</v>
          </cell>
          <cell r="P197">
            <v>23730</v>
          </cell>
          <cell r="Q197">
            <v>198000</v>
          </cell>
        </row>
        <row r="198">
          <cell r="G198" t="str">
            <v>P0Y5401</v>
          </cell>
          <cell r="H198">
            <v>2</v>
          </cell>
          <cell r="I198">
            <v>2</v>
          </cell>
          <cell r="J198">
            <v>900</v>
          </cell>
          <cell r="K198">
            <v>900</v>
          </cell>
          <cell r="L198">
            <v>908</v>
          </cell>
          <cell r="M198">
            <v>1.0088888888888889</v>
          </cell>
          <cell r="N198">
            <v>49000</v>
          </cell>
          <cell r="O198">
            <v>378000</v>
          </cell>
          <cell r="P198">
            <v>47958</v>
          </cell>
          <cell r="Q198">
            <v>378000</v>
          </cell>
        </row>
        <row r="199">
          <cell r="G199" t="str">
            <v>PTY5401</v>
          </cell>
          <cell r="H199">
            <v>2</v>
          </cell>
          <cell r="I199">
            <v>2</v>
          </cell>
          <cell r="J199">
            <v>800</v>
          </cell>
          <cell r="K199">
            <v>800</v>
          </cell>
          <cell r="L199">
            <v>767</v>
          </cell>
          <cell r="M199">
            <v>0.95874999999999999</v>
          </cell>
          <cell r="N199">
            <v>22200</v>
          </cell>
          <cell r="O199">
            <v>178000</v>
          </cell>
          <cell r="P199">
            <v>28306</v>
          </cell>
          <cell r="Q199">
            <v>238000</v>
          </cell>
        </row>
        <row r="200">
          <cell r="G200" t="str">
            <v>PTY5402</v>
          </cell>
          <cell r="H200">
            <v>2</v>
          </cell>
          <cell r="I200">
            <v>2</v>
          </cell>
          <cell r="J200">
            <v>400</v>
          </cell>
          <cell r="K200">
            <v>400</v>
          </cell>
          <cell r="L200">
            <v>383</v>
          </cell>
          <cell r="M200">
            <v>0.95750000000000002</v>
          </cell>
          <cell r="N200">
            <v>34700</v>
          </cell>
          <cell r="O200">
            <v>258000</v>
          </cell>
          <cell r="P200">
            <v>34700</v>
          </cell>
          <cell r="Q200">
            <v>258000</v>
          </cell>
        </row>
        <row r="201">
          <cell r="G201" t="str">
            <v>PTY5403</v>
          </cell>
          <cell r="H201">
            <v>2</v>
          </cell>
          <cell r="I201">
            <v>2</v>
          </cell>
          <cell r="J201">
            <v>600</v>
          </cell>
          <cell r="K201">
            <v>600</v>
          </cell>
          <cell r="L201">
            <v>608</v>
          </cell>
          <cell r="M201">
            <v>1.0133333333333334</v>
          </cell>
          <cell r="N201">
            <v>69500</v>
          </cell>
          <cell r="O201">
            <v>498000</v>
          </cell>
          <cell r="P201">
            <v>51791</v>
          </cell>
          <cell r="Q201">
            <v>398000</v>
          </cell>
        </row>
        <row r="202">
          <cell r="G202" t="str">
            <v>PTY5404</v>
          </cell>
          <cell r="H202">
            <v>2</v>
          </cell>
          <cell r="I202">
            <v>2</v>
          </cell>
          <cell r="J202">
            <v>900</v>
          </cell>
          <cell r="K202">
            <v>900</v>
          </cell>
          <cell r="L202">
            <v>915</v>
          </cell>
          <cell r="M202">
            <v>1.0166666666666666</v>
          </cell>
          <cell r="N202">
            <v>23700</v>
          </cell>
          <cell r="O202">
            <v>178000</v>
          </cell>
          <cell r="P202">
            <v>23700</v>
          </cell>
          <cell r="Q202">
            <v>178000</v>
          </cell>
        </row>
        <row r="203">
          <cell r="G203" t="str">
            <v>P0Y6401</v>
          </cell>
          <cell r="H203">
            <v>4</v>
          </cell>
          <cell r="I203">
            <v>4</v>
          </cell>
          <cell r="J203">
            <v>2200</v>
          </cell>
          <cell r="K203">
            <v>2200</v>
          </cell>
          <cell r="L203">
            <v>2088</v>
          </cell>
          <cell r="M203">
            <v>0.9490909090909091</v>
          </cell>
          <cell r="N203">
            <v>41900</v>
          </cell>
          <cell r="O203">
            <v>338000</v>
          </cell>
          <cell r="P203">
            <v>40460</v>
          </cell>
          <cell r="Q203">
            <v>338000</v>
          </cell>
        </row>
        <row r="204">
          <cell r="G204" t="str">
            <v>PNY6401</v>
          </cell>
          <cell r="H204">
            <v>2</v>
          </cell>
          <cell r="I204">
            <v>2</v>
          </cell>
          <cell r="J204">
            <v>900</v>
          </cell>
          <cell r="K204">
            <v>900</v>
          </cell>
          <cell r="L204">
            <v>850</v>
          </cell>
          <cell r="M204">
            <v>0.94444444444444442</v>
          </cell>
          <cell r="N204">
            <v>59500</v>
          </cell>
          <cell r="O204">
            <v>498000</v>
          </cell>
          <cell r="P204">
            <v>53629</v>
          </cell>
          <cell r="Q204">
            <v>458000</v>
          </cell>
        </row>
        <row r="205">
          <cell r="G205" t="str">
            <v>PTY6401</v>
          </cell>
          <cell r="H205">
            <v>3</v>
          </cell>
          <cell r="I205">
            <v>3</v>
          </cell>
          <cell r="J205">
            <v>1700</v>
          </cell>
          <cell r="K205">
            <v>1700</v>
          </cell>
          <cell r="L205">
            <v>1587</v>
          </cell>
          <cell r="M205">
            <v>0.93352941176470583</v>
          </cell>
          <cell r="N205">
            <v>35900</v>
          </cell>
          <cell r="O205">
            <v>258000</v>
          </cell>
          <cell r="P205">
            <v>32513</v>
          </cell>
          <cell r="Q205">
            <v>258000</v>
          </cell>
        </row>
        <row r="206">
          <cell r="G206" t="str">
            <v>PTYT401</v>
          </cell>
          <cell r="H206">
            <v>3</v>
          </cell>
          <cell r="I206">
            <v>3</v>
          </cell>
          <cell r="J206">
            <v>2300</v>
          </cell>
          <cell r="K206">
            <v>2300</v>
          </cell>
          <cell r="L206">
            <v>2368</v>
          </cell>
          <cell r="M206">
            <v>1.0295652173913044</v>
          </cell>
          <cell r="N206">
            <v>50300</v>
          </cell>
          <cell r="O206">
            <v>378000</v>
          </cell>
          <cell r="P206">
            <v>48641</v>
          </cell>
          <cell r="Q206">
            <v>378000</v>
          </cell>
        </row>
        <row r="207">
          <cell r="G207" t="str">
            <v>PTYT402</v>
          </cell>
          <cell r="H207">
            <v>2</v>
          </cell>
          <cell r="I207">
            <v>2</v>
          </cell>
          <cell r="J207">
            <v>1200</v>
          </cell>
          <cell r="K207">
            <v>1200</v>
          </cell>
          <cell r="L207">
            <v>1195</v>
          </cell>
          <cell r="M207">
            <v>0.99583333333333335</v>
          </cell>
          <cell r="N207">
            <v>80400</v>
          </cell>
          <cell r="O207">
            <v>698000</v>
          </cell>
          <cell r="P207">
            <v>92690</v>
          </cell>
          <cell r="Q207">
            <v>718000</v>
          </cell>
        </row>
        <row r="208">
          <cell r="G208" t="str">
            <v>PTYT403</v>
          </cell>
          <cell r="H208">
            <v>1</v>
          </cell>
          <cell r="I208">
            <v>1</v>
          </cell>
          <cell r="J208">
            <v>700</v>
          </cell>
          <cell r="K208">
            <v>700</v>
          </cell>
          <cell r="L208">
            <v>0</v>
          </cell>
          <cell r="M208">
            <v>0</v>
          </cell>
          <cell r="N208">
            <v>76700</v>
          </cell>
          <cell r="O208">
            <v>658000</v>
          </cell>
          <cell r="P208">
            <v>0</v>
          </cell>
          <cell r="Q208">
            <v>0</v>
          </cell>
        </row>
        <row r="209">
          <cell r="G209" t="str">
            <v>PTYT404</v>
          </cell>
          <cell r="H209">
            <v>2</v>
          </cell>
          <cell r="I209">
            <v>2</v>
          </cell>
          <cell r="J209">
            <v>1000</v>
          </cell>
          <cell r="K209">
            <v>1000</v>
          </cell>
          <cell r="L209">
            <v>1031</v>
          </cell>
          <cell r="M209">
            <v>1.0309999999999999</v>
          </cell>
          <cell r="N209">
            <v>55400</v>
          </cell>
          <cell r="O209">
            <v>398000</v>
          </cell>
          <cell r="P209">
            <v>54857</v>
          </cell>
          <cell r="Q209">
            <v>398000</v>
          </cell>
        </row>
        <row r="210">
          <cell r="G210" t="str">
            <v>PTYC401</v>
          </cell>
          <cell r="H210">
            <v>3</v>
          </cell>
          <cell r="I210">
            <v>3</v>
          </cell>
          <cell r="J210">
            <v>2000</v>
          </cell>
          <cell r="K210">
            <v>2000</v>
          </cell>
          <cell r="L210">
            <v>1799</v>
          </cell>
          <cell r="M210">
            <v>0.89949999999999997</v>
          </cell>
          <cell r="N210">
            <v>57800</v>
          </cell>
          <cell r="O210">
            <v>438000</v>
          </cell>
          <cell r="P210">
            <v>56654</v>
          </cell>
          <cell r="Q210">
            <v>458000</v>
          </cell>
        </row>
        <row r="211">
          <cell r="G211" t="str">
            <v>PTYC402</v>
          </cell>
          <cell r="H211">
            <v>2</v>
          </cell>
          <cell r="I211">
            <v>2</v>
          </cell>
          <cell r="J211">
            <v>1200</v>
          </cell>
          <cell r="K211">
            <v>1200</v>
          </cell>
          <cell r="L211">
            <v>1197</v>
          </cell>
          <cell r="M211">
            <v>0.99750000000000005</v>
          </cell>
          <cell r="N211">
            <v>86500</v>
          </cell>
          <cell r="O211">
            <v>698000</v>
          </cell>
          <cell r="P211">
            <v>86944</v>
          </cell>
          <cell r="Q211">
            <v>698000</v>
          </cell>
        </row>
        <row r="212">
          <cell r="G212" t="str">
            <v>PTYC403</v>
          </cell>
          <cell r="H212">
            <v>3</v>
          </cell>
          <cell r="I212">
            <v>3</v>
          </cell>
          <cell r="J212">
            <v>1800</v>
          </cell>
          <cell r="K212">
            <v>1800</v>
          </cell>
          <cell r="L212">
            <v>1743</v>
          </cell>
          <cell r="M212">
            <v>0.96833333333333338</v>
          </cell>
          <cell r="N212">
            <v>91600</v>
          </cell>
          <cell r="O212">
            <v>718000</v>
          </cell>
          <cell r="P212">
            <v>94205</v>
          </cell>
          <cell r="Q212">
            <v>738000</v>
          </cell>
        </row>
        <row r="213">
          <cell r="G213" t="str">
            <v>PTYC404</v>
          </cell>
          <cell r="H213">
            <v>2</v>
          </cell>
          <cell r="I213">
            <v>2</v>
          </cell>
          <cell r="J213">
            <v>1000</v>
          </cell>
          <cell r="K213">
            <v>1000</v>
          </cell>
          <cell r="L213">
            <v>0</v>
          </cell>
          <cell r="M213">
            <v>0</v>
          </cell>
          <cell r="N213">
            <v>83300</v>
          </cell>
          <cell r="O213">
            <v>698000</v>
          </cell>
          <cell r="P213">
            <v>0</v>
          </cell>
          <cell r="Q213">
            <v>0</v>
          </cell>
        </row>
        <row r="214">
          <cell r="G214" t="str">
            <v>PTYC405</v>
          </cell>
          <cell r="H214">
            <v>1</v>
          </cell>
          <cell r="I214">
            <v>1</v>
          </cell>
          <cell r="J214">
            <v>450</v>
          </cell>
          <cell r="K214">
            <v>450</v>
          </cell>
          <cell r="L214">
            <v>444</v>
          </cell>
          <cell r="M214">
            <v>0.98666666666666669</v>
          </cell>
          <cell r="N214">
            <v>120400</v>
          </cell>
          <cell r="O214">
            <v>898000</v>
          </cell>
          <cell r="P214">
            <v>120400</v>
          </cell>
          <cell r="Q214">
            <v>898000</v>
          </cell>
        </row>
        <row r="215">
          <cell r="G215" t="str">
            <v>P0YV401</v>
          </cell>
          <cell r="H215">
            <v>3</v>
          </cell>
          <cell r="I215">
            <v>3</v>
          </cell>
          <cell r="J215">
            <v>1900</v>
          </cell>
          <cell r="K215">
            <v>1900</v>
          </cell>
          <cell r="L215">
            <v>1906</v>
          </cell>
          <cell r="M215">
            <v>1.003157894736842</v>
          </cell>
          <cell r="N215">
            <v>29200</v>
          </cell>
          <cell r="O215">
            <v>218000</v>
          </cell>
          <cell r="P215">
            <v>30002</v>
          </cell>
          <cell r="Q215">
            <v>238000</v>
          </cell>
        </row>
        <row r="216">
          <cell r="G216" t="str">
            <v>PTYV401</v>
          </cell>
          <cell r="H216">
            <v>3</v>
          </cell>
          <cell r="I216">
            <v>3</v>
          </cell>
          <cell r="J216">
            <v>2800</v>
          </cell>
          <cell r="K216">
            <v>2800</v>
          </cell>
          <cell r="L216">
            <v>2687</v>
          </cell>
          <cell r="M216">
            <v>0.95964285714285713</v>
          </cell>
          <cell r="N216">
            <v>30200</v>
          </cell>
          <cell r="O216">
            <v>218000</v>
          </cell>
          <cell r="P216">
            <v>28794</v>
          </cell>
          <cell r="Q216">
            <v>218000</v>
          </cell>
        </row>
        <row r="217">
          <cell r="G217" t="str">
            <v>P0Y7401</v>
          </cell>
          <cell r="H217">
            <v>3</v>
          </cell>
          <cell r="I217">
            <v>3</v>
          </cell>
          <cell r="J217">
            <v>2300</v>
          </cell>
          <cell r="K217">
            <v>2300</v>
          </cell>
          <cell r="L217">
            <v>2264</v>
          </cell>
          <cell r="M217">
            <v>0.98434782608695648</v>
          </cell>
          <cell r="N217">
            <v>21200</v>
          </cell>
          <cell r="O217">
            <v>198000</v>
          </cell>
          <cell r="P217">
            <v>21271</v>
          </cell>
          <cell r="Q217">
            <v>178000</v>
          </cell>
        </row>
        <row r="218">
          <cell r="G218" t="str">
            <v>P0Y7402</v>
          </cell>
          <cell r="H218">
            <v>2</v>
          </cell>
          <cell r="I218">
            <v>2</v>
          </cell>
          <cell r="J218">
            <v>1600</v>
          </cell>
          <cell r="K218">
            <v>1600</v>
          </cell>
          <cell r="L218">
            <v>1214</v>
          </cell>
          <cell r="M218">
            <v>0.75875000000000004</v>
          </cell>
          <cell r="N218">
            <v>26800</v>
          </cell>
          <cell r="O218">
            <v>258000</v>
          </cell>
          <cell r="P218">
            <v>27141</v>
          </cell>
          <cell r="Q218">
            <v>238000</v>
          </cell>
        </row>
        <row r="219">
          <cell r="G219" t="str">
            <v>P0Y7403</v>
          </cell>
          <cell r="H219">
            <v>2</v>
          </cell>
          <cell r="I219">
            <v>2</v>
          </cell>
          <cell r="J219">
            <v>1500</v>
          </cell>
          <cell r="K219">
            <v>1500</v>
          </cell>
          <cell r="L219">
            <v>1508</v>
          </cell>
          <cell r="M219">
            <v>1.0053333333333334</v>
          </cell>
          <cell r="N219">
            <v>22300</v>
          </cell>
          <cell r="O219">
            <v>198000</v>
          </cell>
          <cell r="P219">
            <v>22374</v>
          </cell>
          <cell r="Q219">
            <v>198000</v>
          </cell>
        </row>
        <row r="220">
          <cell r="G220" t="str">
            <v>P0Y7404</v>
          </cell>
          <cell r="H220">
            <v>2</v>
          </cell>
          <cell r="I220">
            <v>2</v>
          </cell>
          <cell r="J220">
            <v>1300</v>
          </cell>
          <cell r="K220">
            <v>1300</v>
          </cell>
          <cell r="L220">
            <v>1095</v>
          </cell>
          <cell r="M220">
            <v>0.84230769230769231</v>
          </cell>
          <cell r="N220">
            <v>26700</v>
          </cell>
          <cell r="O220">
            <v>238000</v>
          </cell>
          <cell r="P220">
            <v>28634</v>
          </cell>
          <cell r="Q220">
            <v>238000</v>
          </cell>
        </row>
        <row r="221">
          <cell r="G221" t="str">
            <v>PNY7401</v>
          </cell>
          <cell r="H221">
            <v>1</v>
          </cell>
          <cell r="I221">
            <v>1</v>
          </cell>
          <cell r="J221">
            <v>900</v>
          </cell>
          <cell r="K221">
            <v>900</v>
          </cell>
          <cell r="L221">
            <v>805</v>
          </cell>
          <cell r="M221">
            <v>0.89444444444444449</v>
          </cell>
          <cell r="N221">
            <v>23600</v>
          </cell>
          <cell r="O221">
            <v>198000</v>
          </cell>
          <cell r="P221">
            <v>20953</v>
          </cell>
          <cell r="Q221">
            <v>198000</v>
          </cell>
        </row>
        <row r="222">
          <cell r="G222" t="str">
            <v>PTY7401</v>
          </cell>
          <cell r="H222">
            <v>3</v>
          </cell>
          <cell r="I222">
            <v>3</v>
          </cell>
          <cell r="J222">
            <v>2900</v>
          </cell>
          <cell r="K222">
            <v>2900</v>
          </cell>
          <cell r="L222">
            <v>2891</v>
          </cell>
          <cell r="M222">
            <v>0.99689655172413794</v>
          </cell>
          <cell r="N222">
            <v>20400</v>
          </cell>
          <cell r="O222">
            <v>158000</v>
          </cell>
          <cell r="P222">
            <v>21323</v>
          </cell>
          <cell r="Q222">
            <v>158000</v>
          </cell>
        </row>
        <row r="223">
          <cell r="G223" t="str">
            <v>PTY7402</v>
          </cell>
          <cell r="H223">
            <v>2</v>
          </cell>
          <cell r="I223">
            <v>2</v>
          </cell>
          <cell r="J223">
            <v>1600</v>
          </cell>
          <cell r="K223">
            <v>1600</v>
          </cell>
          <cell r="L223">
            <v>1559</v>
          </cell>
          <cell r="M223">
            <v>0.97437499999999999</v>
          </cell>
          <cell r="N223">
            <v>26900</v>
          </cell>
          <cell r="O223">
            <v>278000</v>
          </cell>
          <cell r="P223">
            <v>24248</v>
          </cell>
          <cell r="Q223">
            <v>258000</v>
          </cell>
        </row>
        <row r="224">
          <cell r="G224" t="str">
            <v>PTY7403</v>
          </cell>
          <cell r="H224">
            <v>2</v>
          </cell>
          <cell r="I224">
            <v>2</v>
          </cell>
          <cell r="J224">
            <v>1600</v>
          </cell>
          <cell r="K224">
            <v>1600</v>
          </cell>
          <cell r="L224">
            <v>1626</v>
          </cell>
          <cell r="M224">
            <v>1.0162500000000001</v>
          </cell>
          <cell r="N224">
            <v>20900</v>
          </cell>
          <cell r="O224">
            <v>198000</v>
          </cell>
          <cell r="P224">
            <v>21774</v>
          </cell>
          <cell r="Q224">
            <v>198000</v>
          </cell>
        </row>
        <row r="225">
          <cell r="G225" t="str">
            <v>PTY7404</v>
          </cell>
          <cell r="H225">
            <v>2</v>
          </cell>
          <cell r="I225">
            <v>2</v>
          </cell>
          <cell r="J225">
            <v>2000</v>
          </cell>
          <cell r="K225">
            <v>2000</v>
          </cell>
          <cell r="L225">
            <v>1756</v>
          </cell>
          <cell r="M225">
            <v>0.878</v>
          </cell>
          <cell r="N225">
            <v>21100</v>
          </cell>
          <cell r="O225">
            <v>238000</v>
          </cell>
          <cell r="P225">
            <v>18674</v>
          </cell>
          <cell r="Q225">
            <v>198000</v>
          </cell>
        </row>
        <row r="226">
          <cell r="G226" t="str">
            <v>PTY7405</v>
          </cell>
          <cell r="H226">
            <v>1</v>
          </cell>
          <cell r="I226">
            <v>1</v>
          </cell>
          <cell r="J226">
            <v>800</v>
          </cell>
          <cell r="K226">
            <v>800</v>
          </cell>
          <cell r="L226">
            <v>723</v>
          </cell>
          <cell r="M226">
            <v>0.90375000000000005</v>
          </cell>
          <cell r="N226">
            <v>29600</v>
          </cell>
          <cell r="O226">
            <v>238000</v>
          </cell>
          <cell r="P226">
            <v>29847</v>
          </cell>
          <cell r="Q226">
            <v>238000</v>
          </cell>
        </row>
        <row r="227">
          <cell r="G227" t="str">
            <v>PTY7406</v>
          </cell>
          <cell r="H227">
            <v>1</v>
          </cell>
          <cell r="I227">
            <v>1</v>
          </cell>
          <cell r="J227">
            <v>900</v>
          </cell>
          <cell r="K227">
            <v>900</v>
          </cell>
          <cell r="L227">
            <v>751</v>
          </cell>
          <cell r="M227">
            <v>0.83444444444444443</v>
          </cell>
          <cell r="N227">
            <v>21100</v>
          </cell>
          <cell r="O227">
            <v>198000</v>
          </cell>
          <cell r="P227">
            <v>17918</v>
          </cell>
          <cell r="Q227">
            <v>198000</v>
          </cell>
        </row>
        <row r="228">
          <cell r="G228" t="str">
            <v>IAYV301</v>
          </cell>
          <cell r="H228">
            <v>1</v>
          </cell>
          <cell r="I228">
            <v>1</v>
          </cell>
          <cell r="J228">
            <v>300</v>
          </cell>
          <cell r="K228">
            <v>300</v>
          </cell>
          <cell r="L228">
            <v>302</v>
          </cell>
          <cell r="M228">
            <v>1.0066666666666666</v>
          </cell>
          <cell r="N228">
            <v>12000</v>
          </cell>
          <cell r="O228">
            <v>48000</v>
          </cell>
          <cell r="P228">
            <v>10535</v>
          </cell>
          <cell r="Q228">
            <v>48000</v>
          </cell>
        </row>
        <row r="229">
          <cell r="G229" t="str">
            <v>IAYV302</v>
          </cell>
          <cell r="H229">
            <v>1</v>
          </cell>
          <cell r="I229">
            <v>1</v>
          </cell>
          <cell r="J229">
            <v>200</v>
          </cell>
          <cell r="K229">
            <v>200</v>
          </cell>
          <cell r="L229">
            <v>201</v>
          </cell>
          <cell r="M229">
            <v>1.0049999999999999</v>
          </cell>
          <cell r="N229">
            <v>12000</v>
          </cell>
          <cell r="O229">
            <v>48000</v>
          </cell>
          <cell r="P229">
            <v>11035</v>
          </cell>
          <cell r="Q229">
            <v>48000</v>
          </cell>
        </row>
        <row r="230">
          <cell r="G230" t="str">
            <v>IAYW301</v>
          </cell>
          <cell r="H230">
            <v>2</v>
          </cell>
          <cell r="I230">
            <v>2</v>
          </cell>
          <cell r="J230">
            <v>350</v>
          </cell>
          <cell r="K230">
            <v>350</v>
          </cell>
          <cell r="L230">
            <v>347</v>
          </cell>
          <cell r="M230">
            <v>0.99142857142857144</v>
          </cell>
          <cell r="N230">
            <v>10900</v>
          </cell>
          <cell r="O230">
            <v>58000</v>
          </cell>
          <cell r="P230">
            <v>9833</v>
          </cell>
          <cell r="Q230">
            <v>58000</v>
          </cell>
        </row>
        <row r="231">
          <cell r="G231" t="str">
            <v>IAYW302</v>
          </cell>
          <cell r="H231">
            <v>2</v>
          </cell>
          <cell r="I231">
            <v>2</v>
          </cell>
          <cell r="J231">
            <v>350</v>
          </cell>
          <cell r="K231">
            <v>350</v>
          </cell>
          <cell r="L231">
            <v>278</v>
          </cell>
          <cell r="M231">
            <v>0.79428571428571426</v>
          </cell>
          <cell r="N231">
            <v>10700</v>
          </cell>
          <cell r="O231">
            <v>58000</v>
          </cell>
          <cell r="P231">
            <v>10433</v>
          </cell>
          <cell r="Q231">
            <v>58000</v>
          </cell>
        </row>
        <row r="232">
          <cell r="G232" t="str">
            <v>IAYW303</v>
          </cell>
          <cell r="H232">
            <v>1</v>
          </cell>
          <cell r="I232">
            <v>1</v>
          </cell>
          <cell r="J232">
            <v>200</v>
          </cell>
          <cell r="K232">
            <v>200</v>
          </cell>
          <cell r="L232">
            <v>199</v>
          </cell>
          <cell r="M232">
            <v>0.995</v>
          </cell>
          <cell r="N232">
            <v>12700</v>
          </cell>
          <cell r="O232">
            <v>58000</v>
          </cell>
          <cell r="P232">
            <v>12133</v>
          </cell>
          <cell r="Q232">
            <v>58000</v>
          </cell>
        </row>
        <row r="233">
          <cell r="G233" t="str">
            <v>IAYW304</v>
          </cell>
          <cell r="H233">
            <v>2</v>
          </cell>
          <cell r="I233">
            <v>2</v>
          </cell>
          <cell r="J233">
            <v>350</v>
          </cell>
          <cell r="K233">
            <v>350</v>
          </cell>
          <cell r="L233">
            <v>350</v>
          </cell>
          <cell r="M233">
            <v>1</v>
          </cell>
          <cell r="N233">
            <v>10000</v>
          </cell>
          <cell r="O233">
            <v>58000</v>
          </cell>
          <cell r="P233">
            <v>9933</v>
          </cell>
          <cell r="Q233">
            <v>58000</v>
          </cell>
        </row>
        <row r="234">
          <cell r="G234" t="str">
            <v>IAYW305</v>
          </cell>
          <cell r="H234">
            <v>1</v>
          </cell>
          <cell r="I234">
            <v>1</v>
          </cell>
          <cell r="J234">
            <v>200</v>
          </cell>
          <cell r="K234">
            <v>200</v>
          </cell>
          <cell r="L234">
            <v>199</v>
          </cell>
          <cell r="M234">
            <v>0.995</v>
          </cell>
          <cell r="N234">
            <v>18200</v>
          </cell>
          <cell r="O234">
            <v>78000</v>
          </cell>
          <cell r="P234">
            <v>18200</v>
          </cell>
          <cell r="Q234">
            <v>78000</v>
          </cell>
        </row>
        <row r="235">
          <cell r="G235" t="str">
            <v>IAYW306</v>
          </cell>
          <cell r="H235">
            <v>1</v>
          </cell>
          <cell r="I235">
            <v>1</v>
          </cell>
          <cell r="J235">
            <v>250</v>
          </cell>
          <cell r="K235">
            <v>250</v>
          </cell>
          <cell r="L235">
            <v>249</v>
          </cell>
          <cell r="M235">
            <v>0.996</v>
          </cell>
          <cell r="N235">
            <v>12700</v>
          </cell>
          <cell r="O235">
            <v>58000</v>
          </cell>
          <cell r="P235">
            <v>12633</v>
          </cell>
          <cell r="Q235">
            <v>58000</v>
          </cell>
        </row>
        <row r="236">
          <cell r="G236" t="str">
            <v>IAYX301</v>
          </cell>
          <cell r="H236">
            <v>1</v>
          </cell>
          <cell r="I236">
            <v>1</v>
          </cell>
          <cell r="J236">
            <v>200</v>
          </cell>
          <cell r="K236">
            <v>200</v>
          </cell>
          <cell r="L236">
            <v>199</v>
          </cell>
          <cell r="M236">
            <v>0.995</v>
          </cell>
          <cell r="N236">
            <v>38200</v>
          </cell>
          <cell r="O236">
            <v>158000</v>
          </cell>
          <cell r="P236">
            <v>38124</v>
          </cell>
          <cell r="Q236">
            <v>158000</v>
          </cell>
        </row>
        <row r="237">
          <cell r="G237" t="str">
            <v>PAYW301</v>
          </cell>
          <cell r="H237">
            <v>2</v>
          </cell>
          <cell r="I237">
            <v>2</v>
          </cell>
          <cell r="J237">
            <v>300</v>
          </cell>
          <cell r="K237">
            <v>300</v>
          </cell>
          <cell r="L237">
            <v>298</v>
          </cell>
          <cell r="M237">
            <v>0.99333333333333329</v>
          </cell>
          <cell r="N237">
            <v>10700</v>
          </cell>
          <cell r="O237">
            <v>58000</v>
          </cell>
          <cell r="P237">
            <v>10133</v>
          </cell>
          <cell r="Q237">
            <v>58000</v>
          </cell>
        </row>
        <row r="238">
          <cell r="G238" t="str">
            <v>PAYW302</v>
          </cell>
          <cell r="H238">
            <v>2</v>
          </cell>
          <cell r="I238">
            <v>2</v>
          </cell>
          <cell r="J238">
            <v>350</v>
          </cell>
          <cell r="K238">
            <v>350</v>
          </cell>
          <cell r="L238">
            <v>348</v>
          </cell>
          <cell r="M238">
            <v>0.99428571428571433</v>
          </cell>
          <cell r="N238">
            <v>10700</v>
          </cell>
          <cell r="O238">
            <v>58000</v>
          </cell>
          <cell r="P238">
            <v>10133</v>
          </cell>
          <cell r="Q238">
            <v>58000</v>
          </cell>
        </row>
        <row r="239">
          <cell r="G239" t="str">
            <v>PAYW303</v>
          </cell>
          <cell r="H239">
            <v>2</v>
          </cell>
          <cell r="I239">
            <v>2</v>
          </cell>
          <cell r="J239">
            <v>550</v>
          </cell>
          <cell r="K239">
            <v>550</v>
          </cell>
          <cell r="L239">
            <v>548</v>
          </cell>
          <cell r="M239">
            <v>0.99636363636363634</v>
          </cell>
          <cell r="N239">
            <v>10600</v>
          </cell>
          <cell r="O239">
            <v>58000</v>
          </cell>
          <cell r="P239">
            <v>10433</v>
          </cell>
          <cell r="Q239">
            <v>58000</v>
          </cell>
        </row>
        <row r="240">
          <cell r="G240" t="str">
            <v>PAYW304</v>
          </cell>
          <cell r="H240">
            <v>1</v>
          </cell>
          <cell r="I240">
            <v>1</v>
          </cell>
          <cell r="J240">
            <v>200</v>
          </cell>
          <cell r="K240">
            <v>200</v>
          </cell>
          <cell r="L240">
            <v>199</v>
          </cell>
          <cell r="M240">
            <v>0.995</v>
          </cell>
          <cell r="N240">
            <v>11700</v>
          </cell>
          <cell r="O240">
            <v>58000</v>
          </cell>
          <cell r="P240">
            <v>10633</v>
          </cell>
          <cell r="Q240">
            <v>58000</v>
          </cell>
        </row>
        <row r="241">
          <cell r="G241" t="str">
            <v>PAYW306</v>
          </cell>
          <cell r="H241">
            <v>2</v>
          </cell>
          <cell r="I241">
            <v>2</v>
          </cell>
          <cell r="J241">
            <v>600</v>
          </cell>
          <cell r="K241">
            <v>600</v>
          </cell>
          <cell r="L241">
            <v>601</v>
          </cell>
          <cell r="M241">
            <v>1.0016666666666667</v>
          </cell>
          <cell r="N241">
            <v>15200</v>
          </cell>
          <cell r="O241">
            <v>68000</v>
          </cell>
          <cell r="P241">
            <v>14633</v>
          </cell>
          <cell r="Q241">
            <v>68000</v>
          </cell>
        </row>
        <row r="242">
          <cell r="G242" t="str">
            <v>PAYW307</v>
          </cell>
          <cell r="H242">
            <v>2</v>
          </cell>
          <cell r="I242">
            <v>2</v>
          </cell>
          <cell r="J242">
            <v>300</v>
          </cell>
          <cell r="K242">
            <v>300</v>
          </cell>
          <cell r="L242">
            <v>301</v>
          </cell>
          <cell r="M242">
            <v>1.0033333333333334</v>
          </cell>
          <cell r="N242">
            <v>13200</v>
          </cell>
          <cell r="O242">
            <v>58000</v>
          </cell>
          <cell r="P242">
            <v>13133</v>
          </cell>
          <cell r="Q242">
            <v>58000</v>
          </cell>
        </row>
        <row r="243">
          <cell r="G243" t="str">
            <v>PAYW308</v>
          </cell>
          <cell r="H243">
            <v>1</v>
          </cell>
          <cell r="I243">
            <v>1</v>
          </cell>
          <cell r="J243">
            <v>250</v>
          </cell>
          <cell r="K243">
            <v>250</v>
          </cell>
          <cell r="L243">
            <v>250</v>
          </cell>
          <cell r="M243">
            <v>1</v>
          </cell>
          <cell r="N243">
            <v>16700</v>
          </cell>
          <cell r="O243">
            <v>68000</v>
          </cell>
          <cell r="P243">
            <v>15133</v>
          </cell>
          <cell r="Q243">
            <v>68000</v>
          </cell>
        </row>
        <row r="244">
          <cell r="G244" t="str">
            <v>PAYW309</v>
          </cell>
          <cell r="H244">
            <v>2</v>
          </cell>
          <cell r="I244">
            <v>2</v>
          </cell>
          <cell r="J244">
            <v>600</v>
          </cell>
          <cell r="K244">
            <v>600</v>
          </cell>
          <cell r="L244">
            <v>598</v>
          </cell>
          <cell r="M244">
            <v>0.9966666666666667</v>
          </cell>
          <cell r="N244">
            <v>16700</v>
          </cell>
          <cell r="O244">
            <v>68000</v>
          </cell>
          <cell r="P244">
            <v>15133</v>
          </cell>
          <cell r="Q244">
            <v>68000</v>
          </cell>
        </row>
        <row r="245">
          <cell r="G245" t="str">
            <v>PAYM301</v>
          </cell>
          <cell r="H245">
            <v>1</v>
          </cell>
          <cell r="I245">
            <v>1</v>
          </cell>
          <cell r="J245">
            <v>400</v>
          </cell>
          <cell r="K245">
            <v>400</v>
          </cell>
          <cell r="L245">
            <v>309</v>
          </cell>
          <cell r="M245">
            <v>0.77249999999999996</v>
          </cell>
          <cell r="N245">
            <v>4000</v>
          </cell>
          <cell r="O245">
            <v>18000</v>
          </cell>
          <cell r="P245">
            <v>3833</v>
          </cell>
          <cell r="Q245">
            <v>18000</v>
          </cell>
        </row>
        <row r="246">
          <cell r="G246" t="str">
            <v>PAYM302</v>
          </cell>
          <cell r="H246">
            <v>1</v>
          </cell>
          <cell r="I246">
            <v>1</v>
          </cell>
          <cell r="J246">
            <v>400</v>
          </cell>
          <cell r="K246">
            <v>400</v>
          </cell>
          <cell r="L246">
            <v>284</v>
          </cell>
          <cell r="M246">
            <v>0.71</v>
          </cell>
          <cell r="N246">
            <v>4000</v>
          </cell>
          <cell r="O246">
            <v>18000</v>
          </cell>
          <cell r="P246">
            <v>3833</v>
          </cell>
          <cell r="Q246">
            <v>18000</v>
          </cell>
        </row>
        <row r="247">
          <cell r="G247" t="str">
            <v>PAYM303</v>
          </cell>
          <cell r="H247">
            <v>3</v>
          </cell>
          <cell r="I247">
            <v>3</v>
          </cell>
          <cell r="J247">
            <v>1400</v>
          </cell>
          <cell r="K247">
            <v>1400</v>
          </cell>
          <cell r="L247">
            <v>1365</v>
          </cell>
          <cell r="M247">
            <v>0.97499999999999998</v>
          </cell>
          <cell r="N247">
            <v>4000</v>
          </cell>
          <cell r="O247">
            <v>18000</v>
          </cell>
          <cell r="P247">
            <v>4000</v>
          </cell>
          <cell r="Q247">
            <v>18000</v>
          </cell>
        </row>
        <row r="248">
          <cell r="G248" t="str">
            <v>PAYM304</v>
          </cell>
          <cell r="H248">
            <v>2</v>
          </cell>
          <cell r="I248">
            <v>2</v>
          </cell>
          <cell r="J248">
            <v>800</v>
          </cell>
          <cell r="K248">
            <v>800</v>
          </cell>
          <cell r="L248">
            <v>805</v>
          </cell>
          <cell r="M248">
            <v>1.0062500000000001</v>
          </cell>
          <cell r="N248">
            <v>4000</v>
          </cell>
          <cell r="O248">
            <v>18000</v>
          </cell>
          <cell r="P248">
            <v>4000</v>
          </cell>
          <cell r="Q248">
            <v>18000</v>
          </cell>
        </row>
        <row r="249">
          <cell r="G249" t="str">
            <v>IAYW401</v>
          </cell>
          <cell r="H249">
            <v>2</v>
          </cell>
          <cell r="I249">
            <v>2</v>
          </cell>
          <cell r="J249">
            <v>450</v>
          </cell>
          <cell r="K249">
            <v>450</v>
          </cell>
          <cell r="L249">
            <v>446</v>
          </cell>
          <cell r="M249">
            <v>0.99111111111111116</v>
          </cell>
          <cell r="N249">
            <v>15200</v>
          </cell>
          <cell r="O249">
            <v>68000</v>
          </cell>
          <cell r="P249">
            <v>12633</v>
          </cell>
          <cell r="Q249">
            <v>68000</v>
          </cell>
        </row>
        <row r="250">
          <cell r="G250" t="str">
            <v>IAYW402</v>
          </cell>
          <cell r="H250">
            <v>1</v>
          </cell>
          <cell r="I250">
            <v>1</v>
          </cell>
          <cell r="J250">
            <v>350</v>
          </cell>
          <cell r="K250">
            <v>350</v>
          </cell>
          <cell r="L250">
            <v>349</v>
          </cell>
          <cell r="M250">
            <v>0.99714285714285711</v>
          </cell>
          <cell r="N250">
            <v>16700</v>
          </cell>
          <cell r="O250">
            <v>68000</v>
          </cell>
          <cell r="P250">
            <v>16633</v>
          </cell>
          <cell r="Q250">
            <v>68000</v>
          </cell>
        </row>
        <row r="251">
          <cell r="G251" t="str">
            <v>IAYW403</v>
          </cell>
          <cell r="H251">
            <v>2</v>
          </cell>
          <cell r="I251">
            <v>2</v>
          </cell>
          <cell r="J251">
            <v>400</v>
          </cell>
          <cell r="K251">
            <v>400</v>
          </cell>
          <cell r="L251">
            <v>398</v>
          </cell>
          <cell r="M251">
            <v>0.995</v>
          </cell>
          <cell r="N251">
            <v>13700</v>
          </cell>
          <cell r="O251">
            <v>58000</v>
          </cell>
          <cell r="P251">
            <v>12933</v>
          </cell>
          <cell r="Q251">
            <v>68000</v>
          </cell>
        </row>
        <row r="252">
          <cell r="G252" t="str">
            <v>IAYW404</v>
          </cell>
          <cell r="H252">
            <v>2</v>
          </cell>
          <cell r="I252">
            <v>2</v>
          </cell>
          <cell r="J252">
            <v>450</v>
          </cell>
          <cell r="K252">
            <v>450</v>
          </cell>
          <cell r="L252">
            <v>0</v>
          </cell>
          <cell r="M252">
            <v>0</v>
          </cell>
          <cell r="N252">
            <v>19200</v>
          </cell>
          <cell r="O252">
            <v>78000</v>
          </cell>
          <cell r="P252">
            <v>18333</v>
          </cell>
          <cell r="Q252">
            <v>78000</v>
          </cell>
        </row>
        <row r="253">
          <cell r="G253" t="str">
            <v>IAYW405</v>
          </cell>
          <cell r="H253">
            <v>2</v>
          </cell>
          <cell r="I253">
            <v>2</v>
          </cell>
          <cell r="J253">
            <v>550</v>
          </cell>
          <cell r="K253">
            <v>550</v>
          </cell>
          <cell r="L253">
            <v>475</v>
          </cell>
          <cell r="M253">
            <v>0.86363636363636365</v>
          </cell>
          <cell r="N253">
            <v>15600</v>
          </cell>
          <cell r="O253">
            <v>68000</v>
          </cell>
          <cell r="P253">
            <v>14333</v>
          </cell>
          <cell r="Q253">
            <v>68000</v>
          </cell>
        </row>
        <row r="254">
          <cell r="G254" t="str">
            <v>IAYW406</v>
          </cell>
          <cell r="H254">
            <v>2</v>
          </cell>
          <cell r="I254">
            <v>2</v>
          </cell>
          <cell r="J254">
            <v>300</v>
          </cell>
          <cell r="K254">
            <v>300</v>
          </cell>
          <cell r="L254">
            <v>296</v>
          </cell>
          <cell r="M254">
            <v>0.98666666666666669</v>
          </cell>
          <cell r="N254">
            <v>12200</v>
          </cell>
          <cell r="O254">
            <v>58000</v>
          </cell>
          <cell r="P254">
            <v>12133</v>
          </cell>
          <cell r="Q254">
            <v>58000</v>
          </cell>
        </row>
        <row r="255">
          <cell r="G255" t="str">
            <v>IAYW407</v>
          </cell>
          <cell r="H255">
            <v>1</v>
          </cell>
          <cell r="I255">
            <v>1</v>
          </cell>
          <cell r="J255">
            <v>350</v>
          </cell>
          <cell r="K255">
            <v>350</v>
          </cell>
          <cell r="L255">
            <v>349</v>
          </cell>
          <cell r="M255">
            <v>0.99714285714285711</v>
          </cell>
          <cell r="N255">
            <v>12700</v>
          </cell>
          <cell r="O255">
            <v>58000</v>
          </cell>
          <cell r="P255">
            <v>13633</v>
          </cell>
          <cell r="Q255">
            <v>58000</v>
          </cell>
        </row>
        <row r="256">
          <cell r="G256" t="str">
            <v>IAYW408</v>
          </cell>
          <cell r="H256">
            <v>1</v>
          </cell>
          <cell r="I256">
            <v>1</v>
          </cell>
          <cell r="J256">
            <v>200</v>
          </cell>
          <cell r="K256">
            <v>200</v>
          </cell>
          <cell r="L256">
            <v>0</v>
          </cell>
          <cell r="M256">
            <v>0</v>
          </cell>
          <cell r="N256">
            <v>16700</v>
          </cell>
          <cell r="O256">
            <v>68000</v>
          </cell>
          <cell r="P256">
            <v>0</v>
          </cell>
          <cell r="Q256">
            <v>0</v>
          </cell>
        </row>
        <row r="257">
          <cell r="G257" t="str">
            <v>IAYW409</v>
          </cell>
          <cell r="H257">
            <v>1</v>
          </cell>
          <cell r="I257">
            <v>1</v>
          </cell>
          <cell r="J257">
            <v>200</v>
          </cell>
          <cell r="K257">
            <v>200</v>
          </cell>
          <cell r="L257">
            <v>198</v>
          </cell>
          <cell r="M257">
            <v>0.99</v>
          </cell>
          <cell r="N257">
            <v>16400</v>
          </cell>
          <cell r="O257">
            <v>68000</v>
          </cell>
          <cell r="P257">
            <v>14333</v>
          </cell>
          <cell r="Q257">
            <v>68000</v>
          </cell>
        </row>
        <row r="258">
          <cell r="G258" t="str">
            <v>IAYW410</v>
          </cell>
          <cell r="H258">
            <v>2</v>
          </cell>
          <cell r="I258">
            <v>2</v>
          </cell>
          <cell r="J258">
            <v>500</v>
          </cell>
          <cell r="K258">
            <v>500</v>
          </cell>
          <cell r="L258">
            <v>0</v>
          </cell>
          <cell r="M258">
            <v>0</v>
          </cell>
          <cell r="N258">
            <v>17700</v>
          </cell>
          <cell r="O258">
            <v>78000</v>
          </cell>
          <cell r="P258">
            <v>17133</v>
          </cell>
          <cell r="Q258">
            <v>78000</v>
          </cell>
        </row>
        <row r="259">
          <cell r="G259" t="str">
            <v>IAYW411</v>
          </cell>
          <cell r="H259">
            <v>2</v>
          </cell>
          <cell r="I259">
            <v>2</v>
          </cell>
          <cell r="J259">
            <v>350</v>
          </cell>
          <cell r="K259">
            <v>350</v>
          </cell>
          <cell r="L259">
            <v>0</v>
          </cell>
          <cell r="M259">
            <v>0</v>
          </cell>
          <cell r="N259">
            <v>16700</v>
          </cell>
          <cell r="O259">
            <v>68000</v>
          </cell>
          <cell r="P259">
            <v>16158</v>
          </cell>
          <cell r="Q259">
            <v>68000</v>
          </cell>
        </row>
        <row r="260">
          <cell r="G260" t="str">
            <v>IAYG401</v>
          </cell>
          <cell r="H260">
            <v>1</v>
          </cell>
          <cell r="I260">
            <v>1</v>
          </cell>
          <cell r="J260">
            <v>200</v>
          </cell>
          <cell r="K260">
            <v>200</v>
          </cell>
          <cell r="L260">
            <v>200</v>
          </cell>
          <cell r="M260">
            <v>1</v>
          </cell>
          <cell r="N260">
            <v>24200</v>
          </cell>
          <cell r="O260">
            <v>98000</v>
          </cell>
          <cell r="P260">
            <v>24059</v>
          </cell>
          <cell r="Q260">
            <v>98000</v>
          </cell>
        </row>
        <row r="261">
          <cell r="G261" t="str">
            <v>IAYG402</v>
          </cell>
          <cell r="H261">
            <v>1</v>
          </cell>
          <cell r="I261">
            <v>1</v>
          </cell>
          <cell r="J261">
            <v>200</v>
          </cell>
          <cell r="K261">
            <v>200</v>
          </cell>
          <cell r="L261">
            <v>199</v>
          </cell>
          <cell r="M261">
            <v>0.995</v>
          </cell>
          <cell r="N261">
            <v>24200</v>
          </cell>
          <cell r="O261">
            <v>98000</v>
          </cell>
          <cell r="P261">
            <v>24059</v>
          </cell>
          <cell r="Q261">
            <v>98000</v>
          </cell>
        </row>
        <row r="262">
          <cell r="G262" t="str">
            <v>PAYW401</v>
          </cell>
          <cell r="H262">
            <v>2</v>
          </cell>
          <cell r="I262">
            <v>2</v>
          </cell>
          <cell r="J262">
            <v>450</v>
          </cell>
          <cell r="K262">
            <v>450</v>
          </cell>
          <cell r="L262">
            <v>449</v>
          </cell>
          <cell r="M262">
            <v>0.99777777777777776</v>
          </cell>
          <cell r="N262">
            <v>13700</v>
          </cell>
          <cell r="O262">
            <v>68000</v>
          </cell>
          <cell r="P262">
            <v>13333</v>
          </cell>
          <cell r="Q262">
            <v>68000</v>
          </cell>
        </row>
        <row r="263">
          <cell r="G263" t="str">
            <v>PAYW402</v>
          </cell>
          <cell r="H263">
            <v>2</v>
          </cell>
          <cell r="I263">
            <v>2</v>
          </cell>
          <cell r="J263">
            <v>400</v>
          </cell>
          <cell r="K263">
            <v>400</v>
          </cell>
          <cell r="L263">
            <v>398</v>
          </cell>
          <cell r="M263">
            <v>0.995</v>
          </cell>
          <cell r="N263">
            <v>14700</v>
          </cell>
          <cell r="O263">
            <v>68000</v>
          </cell>
          <cell r="P263">
            <v>16033</v>
          </cell>
          <cell r="Q263">
            <v>68000</v>
          </cell>
        </row>
        <row r="264">
          <cell r="G264" t="str">
            <v>PAYW403</v>
          </cell>
          <cell r="H264">
            <v>2</v>
          </cell>
          <cell r="I264">
            <v>2</v>
          </cell>
          <cell r="J264">
            <v>200</v>
          </cell>
          <cell r="K264">
            <v>200</v>
          </cell>
          <cell r="L264">
            <v>198</v>
          </cell>
          <cell r="M264">
            <v>0.99</v>
          </cell>
          <cell r="N264">
            <v>10800</v>
          </cell>
          <cell r="O264">
            <v>48000</v>
          </cell>
          <cell r="P264">
            <v>10133</v>
          </cell>
          <cell r="Q264">
            <v>48000</v>
          </cell>
        </row>
        <row r="265">
          <cell r="G265" t="str">
            <v>PAYW404</v>
          </cell>
          <cell r="H265">
            <v>2</v>
          </cell>
          <cell r="I265">
            <v>2</v>
          </cell>
          <cell r="J265">
            <v>500</v>
          </cell>
          <cell r="K265">
            <v>500</v>
          </cell>
          <cell r="L265">
            <v>498</v>
          </cell>
          <cell r="M265">
            <v>0.996</v>
          </cell>
          <cell r="N265">
            <v>14700</v>
          </cell>
          <cell r="O265">
            <v>68000</v>
          </cell>
          <cell r="P265">
            <v>13833</v>
          </cell>
          <cell r="Q265">
            <v>68000</v>
          </cell>
        </row>
        <row r="266">
          <cell r="G266" t="str">
            <v>PAYW405</v>
          </cell>
          <cell r="H266">
            <v>2</v>
          </cell>
          <cell r="I266">
            <v>2</v>
          </cell>
          <cell r="J266">
            <v>500</v>
          </cell>
          <cell r="K266">
            <v>500</v>
          </cell>
          <cell r="L266">
            <v>500</v>
          </cell>
          <cell r="M266">
            <v>1</v>
          </cell>
          <cell r="N266">
            <v>13000</v>
          </cell>
          <cell r="O266">
            <v>58000</v>
          </cell>
          <cell r="P266">
            <v>10633</v>
          </cell>
          <cell r="Q266">
            <v>58000</v>
          </cell>
        </row>
        <row r="267">
          <cell r="G267" t="str">
            <v>PAYW406</v>
          </cell>
          <cell r="H267">
            <v>2</v>
          </cell>
          <cell r="I267">
            <v>2</v>
          </cell>
          <cell r="J267">
            <v>700</v>
          </cell>
          <cell r="K267">
            <v>700</v>
          </cell>
          <cell r="L267">
            <v>700</v>
          </cell>
          <cell r="M267">
            <v>1</v>
          </cell>
          <cell r="N267">
            <v>16700</v>
          </cell>
          <cell r="O267">
            <v>68000</v>
          </cell>
          <cell r="P267">
            <v>13833</v>
          </cell>
          <cell r="Q267">
            <v>68000</v>
          </cell>
        </row>
        <row r="268">
          <cell r="G268" t="str">
            <v>PAYW407</v>
          </cell>
          <cell r="H268">
            <v>2</v>
          </cell>
          <cell r="I268">
            <v>2</v>
          </cell>
          <cell r="J268">
            <v>350</v>
          </cell>
          <cell r="K268">
            <v>350</v>
          </cell>
          <cell r="L268">
            <v>348</v>
          </cell>
          <cell r="M268">
            <v>0.99428571428571433</v>
          </cell>
          <cell r="N268">
            <v>15200</v>
          </cell>
          <cell r="O268">
            <v>68000</v>
          </cell>
          <cell r="P268">
            <v>13125</v>
          </cell>
          <cell r="Q268">
            <v>68000</v>
          </cell>
        </row>
        <row r="269">
          <cell r="G269" t="str">
            <v>PAYW408</v>
          </cell>
          <cell r="H269">
            <v>2</v>
          </cell>
          <cell r="I269">
            <v>2</v>
          </cell>
          <cell r="J269">
            <v>450</v>
          </cell>
          <cell r="K269">
            <v>450</v>
          </cell>
          <cell r="L269">
            <v>448</v>
          </cell>
          <cell r="M269">
            <v>0.99555555555555553</v>
          </cell>
          <cell r="N269">
            <v>14200</v>
          </cell>
          <cell r="O269">
            <v>68000</v>
          </cell>
          <cell r="P269">
            <v>14033</v>
          </cell>
          <cell r="Q269">
            <v>68000</v>
          </cell>
        </row>
        <row r="270">
          <cell r="G270" t="str">
            <v>PAYW409</v>
          </cell>
          <cell r="H270">
            <v>2</v>
          </cell>
          <cell r="I270">
            <v>2</v>
          </cell>
          <cell r="J270">
            <v>500</v>
          </cell>
          <cell r="K270">
            <v>500</v>
          </cell>
          <cell r="L270">
            <v>498</v>
          </cell>
          <cell r="M270">
            <v>0.996</v>
          </cell>
          <cell r="N270">
            <v>17200</v>
          </cell>
          <cell r="O270">
            <v>68000</v>
          </cell>
          <cell r="P270">
            <v>15133</v>
          </cell>
          <cell r="Q270">
            <v>68000</v>
          </cell>
        </row>
        <row r="271">
          <cell r="G271" t="str">
            <v>PAYW410</v>
          </cell>
          <cell r="H271">
            <v>2</v>
          </cell>
          <cell r="I271">
            <v>2</v>
          </cell>
          <cell r="J271">
            <v>450</v>
          </cell>
          <cell r="K271">
            <v>450</v>
          </cell>
          <cell r="L271">
            <v>448</v>
          </cell>
          <cell r="M271">
            <v>0.99555555555555553</v>
          </cell>
          <cell r="N271">
            <v>17200</v>
          </cell>
          <cell r="O271">
            <v>68000</v>
          </cell>
          <cell r="P271">
            <v>15333</v>
          </cell>
          <cell r="Q271">
            <v>68000</v>
          </cell>
        </row>
        <row r="272">
          <cell r="G272" t="str">
            <v>PAYM401</v>
          </cell>
          <cell r="H272">
            <v>2</v>
          </cell>
          <cell r="I272">
            <v>2</v>
          </cell>
          <cell r="J272">
            <v>600</v>
          </cell>
          <cell r="K272">
            <v>600</v>
          </cell>
          <cell r="L272">
            <v>580</v>
          </cell>
          <cell r="M272">
            <v>0.96666666666666667</v>
          </cell>
          <cell r="N272">
            <v>3500</v>
          </cell>
          <cell r="O272">
            <v>18000</v>
          </cell>
          <cell r="P272">
            <v>3705</v>
          </cell>
          <cell r="Q272">
            <v>18000</v>
          </cell>
        </row>
        <row r="273">
          <cell r="G273" t="str">
            <v>PAYM402</v>
          </cell>
          <cell r="H273">
            <v>2</v>
          </cell>
          <cell r="I273">
            <v>2</v>
          </cell>
          <cell r="J273">
            <v>550</v>
          </cell>
          <cell r="K273">
            <v>550</v>
          </cell>
          <cell r="L273">
            <v>548</v>
          </cell>
          <cell r="M273">
            <v>0.99636363636363634</v>
          </cell>
          <cell r="N273">
            <v>15000</v>
          </cell>
          <cell r="O273">
            <v>68000</v>
          </cell>
          <cell r="P273">
            <v>15133</v>
          </cell>
          <cell r="Q273">
            <v>68000</v>
          </cell>
        </row>
        <row r="274">
          <cell r="G274" t="str">
            <v>PAYA401</v>
          </cell>
          <cell r="H274">
            <v>2</v>
          </cell>
          <cell r="I274">
            <v>2</v>
          </cell>
          <cell r="J274">
            <v>350</v>
          </cell>
          <cell r="K274">
            <v>350</v>
          </cell>
          <cell r="L274">
            <v>346</v>
          </cell>
          <cell r="M274">
            <v>0.98857142857142855</v>
          </cell>
          <cell r="N274">
            <v>11400</v>
          </cell>
          <cell r="O274">
            <v>48000</v>
          </cell>
          <cell r="P274">
            <v>7633</v>
          </cell>
          <cell r="Q274">
            <v>38000</v>
          </cell>
        </row>
        <row r="275">
          <cell r="G275" t="str">
            <v>PAYG401</v>
          </cell>
          <cell r="H275">
            <v>1</v>
          </cell>
          <cell r="I275">
            <v>1</v>
          </cell>
          <cell r="J275">
            <v>300</v>
          </cell>
          <cell r="K275">
            <v>300</v>
          </cell>
          <cell r="L275">
            <v>300</v>
          </cell>
          <cell r="M275">
            <v>1</v>
          </cell>
          <cell r="N275">
            <v>24200</v>
          </cell>
          <cell r="O275">
            <v>98000</v>
          </cell>
          <cell r="P275">
            <v>23559</v>
          </cell>
          <cell r="Q275">
            <v>98000</v>
          </cell>
        </row>
        <row r="276">
          <cell r="G276" t="str">
            <v>IEY1401</v>
          </cell>
          <cell r="H276">
            <v>2</v>
          </cell>
          <cell r="I276">
            <v>2</v>
          </cell>
          <cell r="J276">
            <v>5000</v>
          </cell>
          <cell r="K276">
            <v>5000</v>
          </cell>
          <cell r="L276">
            <v>5000</v>
          </cell>
          <cell r="M276">
            <v>1</v>
          </cell>
          <cell r="N276">
            <v>3800</v>
          </cell>
          <cell r="O276">
            <v>78000</v>
          </cell>
          <cell r="P276">
            <v>3761</v>
          </cell>
          <cell r="Q276">
            <v>78000</v>
          </cell>
        </row>
        <row r="277">
          <cell r="G277" t="str">
            <v>IEY1402</v>
          </cell>
          <cell r="H277">
            <v>1</v>
          </cell>
          <cell r="I277">
            <v>1</v>
          </cell>
          <cell r="J277">
            <v>3000</v>
          </cell>
          <cell r="K277">
            <v>3000</v>
          </cell>
          <cell r="L277">
            <v>2964</v>
          </cell>
          <cell r="M277">
            <v>0.98799999999999999</v>
          </cell>
          <cell r="N277">
            <v>8915</v>
          </cell>
          <cell r="O277">
            <v>118000</v>
          </cell>
          <cell r="P277">
            <v>8915</v>
          </cell>
          <cell r="Q277">
            <v>118000</v>
          </cell>
        </row>
        <row r="278">
          <cell r="G278" t="str">
            <v>IEY1403</v>
          </cell>
          <cell r="H278">
            <v>2</v>
          </cell>
          <cell r="I278">
            <v>2</v>
          </cell>
          <cell r="J278">
            <v>7000</v>
          </cell>
          <cell r="K278">
            <v>7000</v>
          </cell>
          <cell r="L278">
            <v>7062</v>
          </cell>
          <cell r="M278">
            <v>1.0088571428571429</v>
          </cell>
          <cell r="N278">
            <v>9715</v>
          </cell>
          <cell r="O278">
            <v>138000</v>
          </cell>
          <cell r="P278">
            <v>9715</v>
          </cell>
          <cell r="Q278">
            <v>138000</v>
          </cell>
        </row>
        <row r="279">
          <cell r="G279" t="str">
            <v>IEY6401</v>
          </cell>
          <cell r="H279">
            <v>2</v>
          </cell>
          <cell r="I279">
            <v>2</v>
          </cell>
          <cell r="J279">
            <v>4000</v>
          </cell>
          <cell r="K279">
            <v>4000</v>
          </cell>
          <cell r="L279">
            <v>4044</v>
          </cell>
          <cell r="M279">
            <v>1.0109999999999999</v>
          </cell>
          <cell r="N279">
            <v>14000</v>
          </cell>
          <cell r="O279">
            <v>158000</v>
          </cell>
          <cell r="P279">
            <v>14000</v>
          </cell>
          <cell r="Q279">
            <v>158000</v>
          </cell>
        </row>
        <row r="280">
          <cell r="G280" t="str">
            <v>PEY6401</v>
          </cell>
          <cell r="H280">
            <v>2</v>
          </cell>
          <cell r="I280">
            <v>2</v>
          </cell>
          <cell r="J280">
            <v>3000</v>
          </cell>
          <cell r="K280">
            <v>3000</v>
          </cell>
          <cell r="L280">
            <v>3101</v>
          </cell>
          <cell r="M280">
            <v>1.0336666666666667</v>
          </cell>
          <cell r="N280">
            <v>14000</v>
          </cell>
          <cell r="O280">
            <v>158000</v>
          </cell>
          <cell r="P280">
            <v>14000</v>
          </cell>
          <cell r="Q280">
            <v>158000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</row>
        <row r="282"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</row>
      </sheetData>
      <sheetData sheetId="1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개요"/>
      <sheetName val="매입세율"/>
      <sheetName val="갑지 1"/>
      <sheetName val="가실행대비"/>
      <sheetName val="대비(임상무)"/>
      <sheetName val="계약대비"/>
      <sheetName val="품의서"/>
      <sheetName val="총괄표"/>
      <sheetName val="현장관리비"/>
      <sheetName val="토목"/>
      <sheetName val="공통가설"/>
      <sheetName val="아파트"/>
      <sheetName val="부속동"/>
      <sheetName val="조직도"/>
      <sheetName val="직원투입계획"/>
      <sheetName val="admin"/>
      <sheetName val="원가계산(2)"/>
      <sheetName val="BJ_SP3.1"/>
      <sheetName val="월별손익"/>
      <sheetName val="1-1"/>
      <sheetName val="완성차 미수금"/>
      <sheetName val="Ext. Stone-P"/>
      <sheetName val="회사정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">
          <cell r="U6">
            <v>1500000</v>
          </cell>
          <cell r="X6">
            <v>51000</v>
          </cell>
        </row>
      </sheetData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3000"/>
      <sheetName val="3300(1)"/>
      <sheetName val="3300(2)"/>
      <sheetName val="3700"/>
      <sheetName val="3900"/>
      <sheetName val="Sheet1"/>
      <sheetName val="4000"/>
      <sheetName val="상각세부명세표(기말자료) (2)"/>
      <sheetName val="4500"/>
      <sheetName val="현금및현금등가물"/>
      <sheetName val="3200(매출채권)"/>
      <sheetName val="외상매출금  (2)"/>
      <sheetName val="대손충당금 평가"/>
      <sheetName val="이자수익추정액(3100-10)"/>
      <sheetName val="미수수익"/>
      <sheetName val="3100(유가증권)"/>
      <sheetName val="유가증권처분손익"/>
      <sheetName val="매입채무"/>
      <sheetName val="3300(기타당좌자산)"/>
      <sheetName val="3700(투자자산) (2)"/>
      <sheetName val="투자유가증권평가"/>
      <sheetName val="유가증권"/>
      <sheetName val="투자유가증권"/>
      <sheetName val="지분법평가"/>
      <sheetName val="지분법(2)"/>
      <sheetName val="보증금"/>
      <sheetName val="주임종장기채권"/>
      <sheetName val="4500 (2)"/>
      <sheetName val="6100(매출원가)"/>
      <sheetName val="정보이용료"/>
      <sheetName val="6300(판관비)"/>
      <sheetName val="6200(영업외손익)"/>
      <sheetName val="STOCK OPTION"/>
      <sheetName val="부가세대사"/>
      <sheetName val="산출내역"/>
      <sheetName val="6000"/>
      <sheetName val="6100"/>
      <sheetName val="5000"/>
      <sheetName val="6200-수익"/>
      <sheetName val="6200-비용"/>
      <sheetName val="6300-일반관리비"/>
      <sheetName val="23(갑)"/>
      <sheetName val="23(을)"/>
      <sheetName val="6300"/>
      <sheetName val="VXXXXXX"/>
      <sheetName val="project총괄표"/>
      <sheetName val="계약서등"/>
      <sheetName val="Materiality"/>
      <sheetName val="Documentation"/>
      <sheetName val="정산표"/>
      <sheetName val="AJE"/>
      <sheetName val="명세서(자산)"/>
      <sheetName val="명세서(부채)"/>
      <sheetName val="공시BS"/>
      <sheetName val="공시PL"/>
      <sheetName val="공시RE"/>
      <sheetName val="공시CF"/>
      <sheetName val="CF정산표"/>
      <sheetName val="2기CF정산표"/>
      <sheetName val="주석사항"/>
      <sheetName val="이연법인세"/>
      <sheetName val="4"/>
      <sheetName val="32"/>
      <sheetName val="퇴직추계액(소급분반영)"/>
      <sheetName val="34"/>
      <sheetName val="이연법인세추정_회사제시"/>
      <sheetName val="CF"/>
      <sheetName val="공통가설"/>
      <sheetName val="96 FW 기획, 진행 현황"/>
    </sheetNames>
    <sheetDataSet>
      <sheetData sheetId="0" refreshError="1">
        <row r="2">
          <cell r="G2">
            <v>37455</v>
          </cell>
        </row>
        <row r="15">
          <cell r="C15">
            <v>37437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견적서"/>
      <sheetName val="Cumene"/>
      <sheetName val="P&amp;A"/>
      <sheetName val="BPA"/>
      <sheetName val="CPB"/>
      <sheetName val="변동비"/>
      <sheetName val="감가상각비"/>
      <sheetName val="VXXXXXXX"/>
      <sheetName val="Beforesyy"/>
      <sheetName val="장기투자 계획및 예산"/>
      <sheetName val="장기투자 계획 항목별 내용"/>
      <sheetName val="Module1"/>
      <sheetName val="XXXXXX"/>
      <sheetName val="VXXXXX"/>
      <sheetName val="4급 지로"/>
      <sheetName val="4급사원"/>
      <sheetName val="kift-bs"/>
      <sheetName val="kift-pl"/>
      <sheetName val="B2B-pl"/>
      <sheetName val="군포-pl"/>
      <sheetName val="양산-pl"/>
      <sheetName val="hift-pl"/>
      <sheetName val="KIFT세목-백만"/>
      <sheetName val="군포세목-백만"/>
      <sheetName val="양산세목-백만"/>
      <sheetName val="장성세목-백만"/>
      <sheetName val="KIFT세목-매출+일반"/>
      <sheetName val="KIFT세목"/>
      <sheetName val="b2b세목"/>
      <sheetName val="군포세목"/>
      <sheetName val="양산세목"/>
      <sheetName val="장성세목"/>
      <sheetName val="B2B2004비용"/>
      <sheetName val="B2B2005비용"/>
      <sheetName val="차입금상환계획"/>
      <sheetName val="이자비용"/>
      <sheetName val="지급보증료"/>
      <sheetName val="1팀매출2004"/>
      <sheetName val="1팀매출2005"/>
      <sheetName val="B2B매출2004"/>
      <sheetName val="B2B매출2005"/>
      <sheetName val="통신매출2004"/>
      <sheetName val="통신매출2005"/>
      <sheetName val="관리매출2004"/>
      <sheetName val="관리매출2005"/>
      <sheetName val="양산직영매출2004"/>
      <sheetName val="양산직영매출2005"/>
      <sheetName val="_견적서"/>
      <sheetName val="금액집계"/>
      <sheetName val="내역"/>
      <sheetName val="UR2-Calculation"/>
      <sheetName val="합의서"/>
      <sheetName val="월별목표"/>
      <sheetName val="중점추진업무"/>
      <sheetName val="총괄"/>
      <sheetName val="해군-1"/>
      <sheetName val="공군-1"/>
      <sheetName val="총괄(직)"/>
      <sheetName val="해군(직)계"/>
      <sheetName val="공군(직)계"/>
      <sheetName val="03년도 계획"/>
      <sheetName val="전년 대비"/>
      <sheetName val="공군본부"/>
      <sheetName val="1전비"/>
      <sheetName val="10전비"/>
      <sheetName val="10전비(손보)"/>
      <sheetName val="17전비"/>
      <sheetName val="19전비"/>
      <sheetName val="20전비"/>
      <sheetName val="20전비(손보)"/>
      <sheetName val="7항공통신전대"/>
      <sheetName val="작전사"/>
      <sheetName val="30단"/>
      <sheetName val="30단-1"/>
      <sheetName val="30단(손보)"/>
      <sheetName val="30단(손보) (2)"/>
      <sheetName val="방포사"/>
      <sheetName val="방포사-1"/>
      <sheetName val="방포사-2"/>
      <sheetName val="방포사(손보)"/>
      <sheetName val="방포사(손보) (2)"/>
      <sheetName val="3통신52대대"/>
      <sheetName val="3통신70대대"/>
      <sheetName val="73기상전대"/>
      <sheetName val="장교"/>
      <sheetName val="준사관"/>
      <sheetName val="부사관"/>
      <sheetName val="군무원"/>
      <sheetName val="간부현황"/>
      <sheetName val="출타간부"/>
      <sheetName val="XL4Poppy"/>
      <sheetName val="XL4Poppy (2)"/>
      <sheetName val="XL4Poppy (3)"/>
      <sheetName val="감가상각"/>
      <sheetName val="RE9604"/>
      <sheetName val="공사개요"/>
      <sheetName val="Customer Databas"/>
      <sheetName val="소비자가"/>
      <sheetName val="CAL"/>
      <sheetName val="0006_FLT_IR_NAME"/>
      <sheetName val="일위대가"/>
      <sheetName val="교각계산"/>
      <sheetName val="기계내역"/>
      <sheetName val="부속동"/>
      <sheetName val="Sheet2"/>
      <sheetName val="기초공"/>
      <sheetName val="기둥(원형)"/>
      <sheetName val="Sheet5"/>
      <sheetName val="Y-WORK"/>
      <sheetName val="PUMP"/>
      <sheetName val="실행내역"/>
      <sheetName val="1-1"/>
      <sheetName val="QMCT"/>
      <sheetName val="이렇게쓰자!"/>
      <sheetName val="휴가증출력"/>
      <sheetName val="증명서발급대장"/>
      <sheetName val="집결지코드"/>
      <sheetName val="TMO도표"/>
      <sheetName val="급지"/>
      <sheetName val="--------"/>
      <sheetName val="Recovered_Sheet1"/>
      <sheetName val="Recovered_Sheet2"/>
      <sheetName val="1일자"/>
      <sheetName val="2일자"/>
      <sheetName val="3일자"/>
      <sheetName val="4일자"/>
      <sheetName val="5일자"/>
      <sheetName val="6일자"/>
      <sheetName val="7일자"/>
      <sheetName val="8일자"/>
      <sheetName val="9일자"/>
      <sheetName val="10일자"/>
      <sheetName val="11일자"/>
      <sheetName val="12일자"/>
      <sheetName val="13일자"/>
      <sheetName val="14일자"/>
      <sheetName val="15일자"/>
      <sheetName val="16일자"/>
      <sheetName val="17일자"/>
      <sheetName val="18일자"/>
      <sheetName val="19일자"/>
      <sheetName val="20일자"/>
      <sheetName val="21일자"/>
      <sheetName val="22일자"/>
      <sheetName val="23일자"/>
      <sheetName val="24일자"/>
      <sheetName val="25일자"/>
      <sheetName val="서울청"/>
      <sheetName val="이직현황"/>
      <sheetName val="이직자명단"/>
      <sheetName val="LEAD SHEET (K상각후회수율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월별종합"/>
      <sheetName val="Chart1"/>
      <sheetName val="DATA(BAC)"/>
      <sheetName val="DEC_DHDSR0"/>
      <sheetName val="ABUT수량-A1"/>
      <sheetName val="TEL"/>
      <sheetName val="ins"/>
      <sheetName val="2002년요약"/>
      <sheetName val="관계주식"/>
      <sheetName val="공통가설"/>
      <sheetName val="Sheet1"/>
      <sheetName val="Total"/>
      <sheetName val="재공수합"/>
      <sheetName val="foxz"/>
      <sheetName val="8-31"/>
      <sheetName val="8-31(2)"/>
      <sheetName val="8-31(3)"/>
      <sheetName val="8-31(4)"/>
      <sheetName val="8-31(5)"/>
      <sheetName val="9-1"/>
      <sheetName val="9-23"/>
      <sheetName val="9-23(2)"/>
      <sheetName val="9-29(월말)"/>
      <sheetName val="9-29(공병)"/>
      <sheetName val="9-30"/>
      <sheetName val="Sheet3"/>
      <sheetName val="pldt"/>
      <sheetName val="07-29기 공개모집병 "/>
      <sheetName val="부대원명부(간부)"/>
      <sheetName val="부대원명부(병)"/>
      <sheetName val="부대현황"/>
      <sheetName val="휴가급지"/>
      <sheetName val="군사특기"/>
      <sheetName val="계급별현황"/>
      <sheetName val="계급별현황 (2)"/>
      <sheetName val="처부별현황"/>
      <sheetName val="병휴가가넹"/>
      <sheetName val="간부휴가가넹"/>
      <sheetName val="전역자"/>
      <sheetName val="아프냐"/>
      <sheetName val="10월"/>
      <sheetName val="11월"/>
      <sheetName val="12월"/>
      <sheetName val=""/>
      <sheetName val="신병100일위로휴가기간"/>
      <sheetName val="위로,청원휴가현황"/>
      <sheetName val="위로,청원휴가기간"/>
      <sheetName val="정기휴가현황"/>
      <sheetName val="연명부"/>
      <sheetName val="6호기"/>
      <sheetName val="일위대가목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 refreshError="1"/>
      <sheetData sheetId="2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개요"/>
      <sheetName val="매입"/>
      <sheetName val="대비표"/>
      <sheetName val="1"/>
      <sheetName val="갑지"/>
      <sheetName val="2"/>
      <sheetName val="총괄"/>
      <sheetName val="투입"/>
      <sheetName val="조직"/>
      <sheetName val="현장관리"/>
      <sheetName val="공통가설 (2)"/>
      <sheetName val="환경관리"/>
      <sheetName val="아파트"/>
      <sheetName val="부속동"/>
      <sheetName val="조경"/>
      <sheetName val="부대토목"/>
      <sheetName val="안전관리비"/>
      <sheetName val="참고"/>
    </sheetNames>
    <sheetDataSet>
      <sheetData sheetId="0" refreshError="1">
        <row r="5">
          <cell r="C5" t="str">
            <v>영종도 배후지원단지 9-1B/L APT</v>
          </cell>
        </row>
        <row r="8">
          <cell r="D8">
            <v>16.5</v>
          </cell>
        </row>
        <row r="9">
          <cell r="D9">
            <v>2</v>
          </cell>
        </row>
        <row r="15">
          <cell r="C15">
            <v>31893</v>
          </cell>
        </row>
        <row r="16">
          <cell r="C16">
            <v>5630.57</v>
          </cell>
        </row>
        <row r="17">
          <cell r="E17">
            <v>16121.840349999999</v>
          </cell>
        </row>
        <row r="33">
          <cell r="H33">
            <v>452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>
        <row r="27">
          <cell r="AC27">
            <v>300</v>
          </cell>
        </row>
        <row r="29">
          <cell r="R29">
            <v>15450000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내용년수별(합계)"/>
      <sheetName val="T6-6(2)"/>
      <sheetName val="6-6(3)"/>
      <sheetName val="T6-6(5)"/>
      <sheetName val="T6-6(6)"/>
      <sheetName val="T6-6(7)"/>
      <sheetName val="T6-6A1"/>
      <sheetName val="T6-6A2"/>
      <sheetName val="0.1keyAssumption"/>
      <sheetName val="0.0ControlSheet"/>
      <sheetName val="REPORT_ACT"/>
      <sheetName val="공사개요"/>
      <sheetName val="참고"/>
      <sheetName val="TTL"/>
    </sheetNames>
    <sheetDataSet>
      <sheetData sheetId="0" refreshError="1">
        <row r="6">
          <cell r="D6" t="str">
            <v>엘코코리아(株)</v>
          </cell>
        </row>
        <row r="8">
          <cell r="D8" t="str">
            <v>1 1 9 - 8 1 - 1 6 8 7 7</v>
          </cell>
        </row>
        <row r="10">
          <cell r="D10" t="str">
            <v>97. 4.1</v>
          </cell>
        </row>
        <row r="11">
          <cell r="D11" t="str">
            <v>~ 98.3.31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인건비"/>
      <sheetName val="인건비근기"/>
      <sheetName val="인원(26)"/>
      <sheetName val="인원증감(27)"/>
      <sheetName val="Sheet1"/>
      <sheetName val="Sheet2"/>
      <sheetName val="Sheet3"/>
    </sheetNames>
    <sheetDataSet>
      <sheetData sheetId="0" refreshError="1"/>
      <sheetData sheetId="1" refreshError="1">
        <row r="7">
          <cell r="D7">
            <v>5</v>
          </cell>
          <cell r="E7">
            <v>5</v>
          </cell>
          <cell r="F7">
            <v>5</v>
          </cell>
          <cell r="G7">
            <v>5</v>
          </cell>
          <cell r="H7">
            <v>5</v>
          </cell>
          <cell r="I7">
            <v>5</v>
          </cell>
          <cell r="J7">
            <v>30</v>
          </cell>
          <cell r="K7">
            <v>5</v>
          </cell>
          <cell r="L7">
            <v>5</v>
          </cell>
          <cell r="M7">
            <v>5</v>
          </cell>
          <cell r="N7">
            <v>5</v>
          </cell>
          <cell r="O7">
            <v>5</v>
          </cell>
          <cell r="P7">
            <v>5</v>
          </cell>
          <cell r="Q7">
            <v>30</v>
          </cell>
          <cell r="R7">
            <v>60</v>
          </cell>
          <cell r="S7">
            <v>125</v>
          </cell>
          <cell r="T7">
            <v>60</v>
          </cell>
          <cell r="U7">
            <v>24</v>
          </cell>
          <cell r="V7">
            <v>24</v>
          </cell>
          <cell r="W7">
            <v>48</v>
          </cell>
          <cell r="X7">
            <v>100</v>
          </cell>
        </row>
        <row r="8">
          <cell r="D8">
            <v>21350</v>
          </cell>
          <cell r="E8">
            <v>21350</v>
          </cell>
          <cell r="F8">
            <v>21350</v>
          </cell>
          <cell r="G8">
            <v>21350</v>
          </cell>
          <cell r="H8">
            <v>21350</v>
          </cell>
          <cell r="I8">
            <v>21350</v>
          </cell>
          <cell r="J8">
            <v>128100</v>
          </cell>
          <cell r="K8">
            <v>21350</v>
          </cell>
          <cell r="L8">
            <v>21350</v>
          </cell>
          <cell r="M8">
            <v>21350</v>
          </cell>
          <cell r="N8">
            <v>21350</v>
          </cell>
          <cell r="O8">
            <v>21350</v>
          </cell>
          <cell r="P8">
            <v>21350</v>
          </cell>
          <cell r="Q8">
            <v>128100</v>
          </cell>
          <cell r="R8">
            <v>256200</v>
          </cell>
          <cell r="S8">
            <v>95.137302957722952</v>
          </cell>
          <cell r="T8">
            <v>222000</v>
          </cell>
          <cell r="U8">
            <v>128630</v>
          </cell>
          <cell r="V8">
            <v>140665</v>
          </cell>
          <cell r="W8">
            <v>269295</v>
          </cell>
          <cell r="X8">
            <v>115.4054054054054</v>
          </cell>
        </row>
        <row r="9">
          <cell r="D9">
            <v>28</v>
          </cell>
          <cell r="E9">
            <v>28</v>
          </cell>
          <cell r="F9">
            <v>28</v>
          </cell>
          <cell r="G9">
            <v>28</v>
          </cell>
          <cell r="H9">
            <v>28</v>
          </cell>
          <cell r="I9">
            <v>28</v>
          </cell>
          <cell r="J9">
            <v>168</v>
          </cell>
          <cell r="K9">
            <v>28</v>
          </cell>
          <cell r="L9">
            <v>28</v>
          </cell>
          <cell r="M9">
            <v>28</v>
          </cell>
          <cell r="N9">
            <v>28</v>
          </cell>
          <cell r="O9">
            <v>28</v>
          </cell>
          <cell r="P9">
            <v>28</v>
          </cell>
          <cell r="Q9">
            <v>168</v>
          </cell>
          <cell r="R9">
            <v>336</v>
          </cell>
          <cell r="S9">
            <v>96.829971181556189</v>
          </cell>
          <cell r="T9">
            <v>312</v>
          </cell>
          <cell r="U9">
            <v>173</v>
          </cell>
          <cell r="V9">
            <v>174</v>
          </cell>
          <cell r="W9">
            <v>347</v>
          </cell>
          <cell r="X9">
            <v>107.69230769230769</v>
          </cell>
        </row>
        <row r="10">
          <cell r="D10">
            <v>49056</v>
          </cell>
          <cell r="E10">
            <v>36556</v>
          </cell>
          <cell r="F10">
            <v>38856</v>
          </cell>
          <cell r="G10">
            <v>36556</v>
          </cell>
          <cell r="H10">
            <v>38099</v>
          </cell>
          <cell r="I10">
            <v>38099</v>
          </cell>
          <cell r="J10">
            <v>237222</v>
          </cell>
          <cell r="K10">
            <v>53399</v>
          </cell>
          <cell r="L10">
            <v>38099</v>
          </cell>
          <cell r="M10">
            <v>38099</v>
          </cell>
          <cell r="N10">
            <v>40999</v>
          </cell>
          <cell r="O10">
            <v>38099</v>
          </cell>
          <cell r="P10">
            <v>38099</v>
          </cell>
          <cell r="Q10">
            <v>246794</v>
          </cell>
          <cell r="R10">
            <v>484016</v>
          </cell>
          <cell r="S10">
            <v>138.2263066809077</v>
          </cell>
          <cell r="T10">
            <v>391644</v>
          </cell>
          <cell r="U10">
            <v>151039</v>
          </cell>
          <cell r="V10">
            <v>199123</v>
          </cell>
          <cell r="W10">
            <v>350162</v>
          </cell>
          <cell r="X10">
            <v>123.58570538550315</v>
          </cell>
        </row>
        <row r="11">
          <cell r="D11">
            <v>5</v>
          </cell>
          <cell r="E11">
            <v>5</v>
          </cell>
          <cell r="F11">
            <v>5</v>
          </cell>
          <cell r="G11">
            <v>5</v>
          </cell>
          <cell r="H11">
            <v>5</v>
          </cell>
          <cell r="I11">
            <v>5</v>
          </cell>
          <cell r="J11">
            <v>30</v>
          </cell>
          <cell r="K11">
            <v>5</v>
          </cell>
          <cell r="L11">
            <v>5</v>
          </cell>
          <cell r="M11">
            <v>5</v>
          </cell>
          <cell r="N11">
            <v>5</v>
          </cell>
          <cell r="O11">
            <v>5</v>
          </cell>
          <cell r="P11">
            <v>5</v>
          </cell>
          <cell r="Q11">
            <v>30</v>
          </cell>
          <cell r="R11">
            <v>60</v>
          </cell>
          <cell r="S11">
            <v>93.75</v>
          </cell>
          <cell r="T11">
            <v>60</v>
          </cell>
          <cell r="U11">
            <v>34</v>
          </cell>
          <cell r="V11">
            <v>30</v>
          </cell>
          <cell r="W11">
            <v>64</v>
          </cell>
          <cell r="X11">
            <v>100</v>
          </cell>
        </row>
        <row r="12">
          <cell r="D12">
            <v>9653</v>
          </cell>
          <cell r="E12">
            <v>6653</v>
          </cell>
          <cell r="F12">
            <v>7153</v>
          </cell>
          <cell r="G12">
            <v>6653</v>
          </cell>
          <cell r="H12">
            <v>6653</v>
          </cell>
          <cell r="I12">
            <v>6653</v>
          </cell>
          <cell r="J12">
            <v>43418</v>
          </cell>
          <cell r="K12">
            <v>9653</v>
          </cell>
          <cell r="L12">
            <v>6653</v>
          </cell>
          <cell r="M12">
            <v>6653</v>
          </cell>
          <cell r="N12">
            <v>7153</v>
          </cell>
          <cell r="O12">
            <v>6653</v>
          </cell>
          <cell r="P12">
            <v>6653</v>
          </cell>
          <cell r="Q12">
            <v>43418</v>
          </cell>
          <cell r="R12">
            <v>86836</v>
          </cell>
          <cell r="S12">
            <v>112.35233991900529</v>
          </cell>
          <cell r="T12">
            <v>80634</v>
          </cell>
          <cell r="U12">
            <v>37736</v>
          </cell>
          <cell r="V12">
            <v>39553</v>
          </cell>
          <cell r="W12">
            <v>77289</v>
          </cell>
          <cell r="X12">
            <v>107.69154450976015</v>
          </cell>
        </row>
        <row r="13"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T13">
            <v>0</v>
          </cell>
          <cell r="V13">
            <v>0</v>
          </cell>
        </row>
        <row r="14"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T14">
            <v>0</v>
          </cell>
          <cell r="V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T15">
            <v>0</v>
          </cell>
          <cell r="V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1400</v>
          </cell>
          <cell r="V16">
            <v>3263</v>
          </cell>
          <cell r="W16">
            <v>4663</v>
          </cell>
        </row>
        <row r="17">
          <cell r="D17">
            <v>38</v>
          </cell>
          <cell r="E17">
            <v>38</v>
          </cell>
          <cell r="F17">
            <v>38</v>
          </cell>
          <cell r="G17">
            <v>38</v>
          </cell>
          <cell r="H17">
            <v>38</v>
          </cell>
          <cell r="I17">
            <v>38</v>
          </cell>
          <cell r="J17">
            <v>228</v>
          </cell>
          <cell r="K17">
            <v>38</v>
          </cell>
          <cell r="L17">
            <v>38</v>
          </cell>
          <cell r="M17">
            <v>38</v>
          </cell>
          <cell r="N17">
            <v>38</v>
          </cell>
          <cell r="O17">
            <v>38</v>
          </cell>
          <cell r="P17">
            <v>38</v>
          </cell>
          <cell r="Q17">
            <v>228</v>
          </cell>
          <cell r="R17">
            <v>456</v>
          </cell>
          <cell r="S17">
            <v>99.346405228758172</v>
          </cell>
          <cell r="T17">
            <v>432</v>
          </cell>
          <cell r="U17">
            <v>231</v>
          </cell>
          <cell r="V17">
            <v>228</v>
          </cell>
          <cell r="W17">
            <v>459</v>
          </cell>
          <cell r="X17">
            <v>105.55555555555556</v>
          </cell>
        </row>
        <row r="18">
          <cell r="D18">
            <v>80059</v>
          </cell>
          <cell r="E18">
            <v>64559</v>
          </cell>
          <cell r="F18">
            <v>67359</v>
          </cell>
          <cell r="G18">
            <v>64559</v>
          </cell>
          <cell r="H18">
            <v>66102</v>
          </cell>
          <cell r="I18">
            <v>66102</v>
          </cell>
          <cell r="J18">
            <v>408740</v>
          </cell>
          <cell r="K18">
            <v>84402</v>
          </cell>
          <cell r="L18">
            <v>66102</v>
          </cell>
          <cell r="M18">
            <v>66102</v>
          </cell>
          <cell r="N18">
            <v>69502</v>
          </cell>
          <cell r="O18">
            <v>66102</v>
          </cell>
          <cell r="P18">
            <v>66102</v>
          </cell>
          <cell r="Q18">
            <v>418312</v>
          </cell>
          <cell r="R18">
            <v>827052</v>
          </cell>
          <cell r="S18">
            <v>117.91294380311629</v>
          </cell>
          <cell r="T18">
            <v>694278</v>
          </cell>
          <cell r="U18">
            <v>318805</v>
          </cell>
          <cell r="V18">
            <v>382604</v>
          </cell>
          <cell r="W18">
            <v>701409</v>
          </cell>
          <cell r="X18">
            <v>119.12403964982327</v>
          </cell>
        </row>
        <row r="19">
          <cell r="D19">
            <v>15507</v>
          </cell>
          <cell r="E19">
            <v>15507</v>
          </cell>
          <cell r="F19">
            <v>15507</v>
          </cell>
          <cell r="G19">
            <v>15507</v>
          </cell>
          <cell r="H19">
            <v>15507</v>
          </cell>
          <cell r="I19">
            <v>15507</v>
          </cell>
          <cell r="J19">
            <v>93042</v>
          </cell>
          <cell r="K19">
            <v>15507</v>
          </cell>
          <cell r="L19">
            <v>15507</v>
          </cell>
          <cell r="M19">
            <v>15507</v>
          </cell>
          <cell r="N19">
            <v>15507</v>
          </cell>
          <cell r="O19">
            <v>15507</v>
          </cell>
          <cell r="P19">
            <v>15507</v>
          </cell>
          <cell r="Q19">
            <v>93042</v>
          </cell>
          <cell r="R19">
            <v>186084</v>
          </cell>
          <cell r="S19">
            <v>100.18089023838751</v>
          </cell>
          <cell r="T19">
            <v>204732</v>
          </cell>
          <cell r="U19">
            <v>70173</v>
          </cell>
          <cell r="V19">
            <v>115575</v>
          </cell>
          <cell r="W19">
            <v>185748</v>
          </cell>
          <cell r="X19">
            <v>90.891506945665554</v>
          </cell>
        </row>
        <row r="20">
          <cell r="D20">
            <v>9557</v>
          </cell>
          <cell r="E20">
            <v>8007</v>
          </cell>
          <cell r="F20">
            <v>8287</v>
          </cell>
          <cell r="G20">
            <v>8007</v>
          </cell>
          <cell r="H20">
            <v>8161</v>
          </cell>
          <cell r="I20">
            <v>8161</v>
          </cell>
          <cell r="J20">
            <v>50180</v>
          </cell>
          <cell r="K20">
            <v>9991</v>
          </cell>
          <cell r="L20">
            <v>8161</v>
          </cell>
          <cell r="M20">
            <v>8161</v>
          </cell>
          <cell r="N20">
            <v>8501</v>
          </cell>
          <cell r="O20">
            <v>8161</v>
          </cell>
          <cell r="P20">
            <v>8161</v>
          </cell>
          <cell r="Q20">
            <v>51136</v>
          </cell>
          <cell r="R20">
            <v>101316</v>
          </cell>
          <cell r="S20">
            <v>54.6814619718918</v>
          </cell>
          <cell r="T20">
            <v>92296</v>
          </cell>
          <cell r="U20">
            <v>86982</v>
          </cell>
          <cell r="V20">
            <v>98302</v>
          </cell>
          <cell r="W20">
            <v>185284</v>
          </cell>
          <cell r="X20">
            <v>109.77290456791194</v>
          </cell>
        </row>
        <row r="21">
          <cell r="D21">
            <v>564</v>
          </cell>
          <cell r="E21">
            <v>564</v>
          </cell>
          <cell r="F21">
            <v>564</v>
          </cell>
          <cell r="G21">
            <v>564</v>
          </cell>
          <cell r="H21">
            <v>575</v>
          </cell>
          <cell r="I21">
            <v>575</v>
          </cell>
          <cell r="J21">
            <v>3406</v>
          </cell>
          <cell r="K21">
            <v>575</v>
          </cell>
          <cell r="L21">
            <v>575</v>
          </cell>
          <cell r="M21">
            <v>575</v>
          </cell>
          <cell r="N21">
            <v>575</v>
          </cell>
          <cell r="O21">
            <v>575</v>
          </cell>
          <cell r="P21">
            <v>575</v>
          </cell>
          <cell r="Q21">
            <v>3450</v>
          </cell>
          <cell r="R21">
            <v>6856</v>
          </cell>
          <cell r="S21">
            <v>74.692232269310381</v>
          </cell>
          <cell r="T21">
            <v>7668</v>
          </cell>
          <cell r="U21">
            <v>4721</v>
          </cell>
          <cell r="V21">
            <v>4458</v>
          </cell>
          <cell r="W21">
            <v>9179</v>
          </cell>
          <cell r="X21">
            <v>89.410537297861239</v>
          </cell>
        </row>
        <row r="22">
          <cell r="D22">
            <v>992</v>
          </cell>
          <cell r="E22">
            <v>992</v>
          </cell>
          <cell r="F22">
            <v>992</v>
          </cell>
          <cell r="G22">
            <v>992</v>
          </cell>
          <cell r="H22">
            <v>1007</v>
          </cell>
          <cell r="I22">
            <v>1007</v>
          </cell>
          <cell r="J22">
            <v>5982</v>
          </cell>
          <cell r="K22">
            <v>1007</v>
          </cell>
          <cell r="L22">
            <v>1007</v>
          </cell>
          <cell r="M22">
            <v>1007</v>
          </cell>
          <cell r="N22">
            <v>1007</v>
          </cell>
          <cell r="O22">
            <v>1007</v>
          </cell>
          <cell r="P22">
            <v>1007</v>
          </cell>
          <cell r="Q22">
            <v>6042</v>
          </cell>
          <cell r="R22">
            <v>12024</v>
          </cell>
          <cell r="S22">
            <v>103.72670807453417</v>
          </cell>
          <cell r="T22">
            <v>9944</v>
          </cell>
          <cell r="U22">
            <v>5862</v>
          </cell>
          <cell r="V22">
            <v>5730</v>
          </cell>
          <cell r="W22">
            <v>11592</v>
          </cell>
          <cell r="X22">
            <v>120.91713596138376</v>
          </cell>
        </row>
        <row r="23"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T23">
            <v>23989</v>
          </cell>
          <cell r="V23">
            <v>9087</v>
          </cell>
          <cell r="W23">
            <v>9087</v>
          </cell>
          <cell r="X23">
            <v>0</v>
          </cell>
        </row>
        <row r="24"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T24">
            <v>0</v>
          </cell>
        </row>
        <row r="25">
          <cell r="D25">
            <v>106679</v>
          </cell>
          <cell r="E25">
            <v>89629</v>
          </cell>
          <cell r="F25">
            <v>92709</v>
          </cell>
          <cell r="G25">
            <v>89629</v>
          </cell>
          <cell r="H25">
            <v>91352</v>
          </cell>
          <cell r="I25">
            <v>91352</v>
          </cell>
          <cell r="J25">
            <v>561350</v>
          </cell>
          <cell r="K25">
            <v>111482</v>
          </cell>
          <cell r="L25">
            <v>91352</v>
          </cell>
          <cell r="M25">
            <v>91352</v>
          </cell>
          <cell r="N25">
            <v>95092</v>
          </cell>
          <cell r="O25">
            <v>91352</v>
          </cell>
          <cell r="P25">
            <v>91352</v>
          </cell>
          <cell r="Q25">
            <v>571982</v>
          </cell>
          <cell r="R25">
            <v>1133332</v>
          </cell>
          <cell r="S25">
            <v>102.81529784568433</v>
          </cell>
          <cell r="T25">
            <v>1032907</v>
          </cell>
          <cell r="U25">
            <v>486544</v>
          </cell>
          <cell r="V25">
            <v>615755</v>
          </cell>
          <cell r="W25">
            <v>1102299</v>
          </cell>
          <cell r="X25">
            <v>109.72255972706158</v>
          </cell>
        </row>
        <row r="26">
          <cell r="D26">
            <v>37</v>
          </cell>
          <cell r="E26">
            <v>40</v>
          </cell>
          <cell r="F26">
            <v>38</v>
          </cell>
          <cell r="G26">
            <v>39</v>
          </cell>
          <cell r="H26">
            <v>39</v>
          </cell>
          <cell r="I26">
            <v>38</v>
          </cell>
          <cell r="J26">
            <v>231</v>
          </cell>
          <cell r="K26">
            <v>38</v>
          </cell>
          <cell r="L26">
            <v>38</v>
          </cell>
          <cell r="M26">
            <v>38</v>
          </cell>
          <cell r="N26">
            <v>38</v>
          </cell>
          <cell r="O26">
            <v>38</v>
          </cell>
          <cell r="P26">
            <v>38</v>
          </cell>
          <cell r="Q26">
            <v>228</v>
          </cell>
          <cell r="R26">
            <v>459</v>
          </cell>
        </row>
        <row r="27">
          <cell r="D27">
            <v>119750</v>
          </cell>
          <cell r="E27">
            <v>105552</v>
          </cell>
          <cell r="F27">
            <v>116579</v>
          </cell>
          <cell r="G27">
            <v>109053</v>
          </cell>
          <cell r="H27">
            <v>109273</v>
          </cell>
          <cell r="I27">
            <v>-73663</v>
          </cell>
          <cell r="J27">
            <v>486544</v>
          </cell>
          <cell r="K27">
            <v>135354</v>
          </cell>
          <cell r="L27">
            <v>112967</v>
          </cell>
          <cell r="M27">
            <v>123447</v>
          </cell>
          <cell r="N27">
            <v>80000</v>
          </cell>
          <cell r="O27">
            <v>80000</v>
          </cell>
          <cell r="P27">
            <v>83987</v>
          </cell>
          <cell r="Q27">
            <v>615755</v>
          </cell>
          <cell r="R27">
            <v>1102299</v>
          </cell>
        </row>
        <row r="28">
          <cell r="D28">
            <v>89.0847599164927</v>
          </cell>
          <cell r="E28">
            <v>84.914544489919663</v>
          </cell>
          <cell r="F28">
            <v>79.524614210106449</v>
          </cell>
          <cell r="G28">
            <v>82.188477162480638</v>
          </cell>
          <cell r="H28">
            <v>83.599791348274508</v>
          </cell>
          <cell r="I28">
            <v>-124.01341243229299</v>
          </cell>
          <cell r="J28">
            <v>115.37497122562399</v>
          </cell>
          <cell r="K28">
            <v>82.363284424545995</v>
          </cell>
          <cell r="L28">
            <v>80.866093637965065</v>
          </cell>
          <cell r="M28">
            <v>74.000988278370471</v>
          </cell>
          <cell r="N28">
            <v>118.86499999999999</v>
          </cell>
          <cell r="O28">
            <v>114.19</v>
          </cell>
          <cell r="P28">
            <v>108.76921428316287</v>
          </cell>
          <cell r="Q28">
            <v>92.891166129385866</v>
          </cell>
          <cell r="R28">
            <v>102.81529784568433</v>
          </cell>
        </row>
        <row r="29">
          <cell r="D29">
            <v>1</v>
          </cell>
          <cell r="E29">
            <v>1</v>
          </cell>
          <cell r="F29">
            <v>1</v>
          </cell>
          <cell r="G29">
            <v>1</v>
          </cell>
          <cell r="H29">
            <v>1</v>
          </cell>
          <cell r="I29">
            <v>1</v>
          </cell>
          <cell r="J29">
            <v>6</v>
          </cell>
          <cell r="K29">
            <v>1</v>
          </cell>
          <cell r="L29">
            <v>1</v>
          </cell>
          <cell r="M29">
            <v>1</v>
          </cell>
          <cell r="N29">
            <v>1</v>
          </cell>
          <cell r="O29">
            <v>1</v>
          </cell>
          <cell r="P29">
            <v>1</v>
          </cell>
          <cell r="Q29">
            <v>6</v>
          </cell>
          <cell r="R29">
            <v>12</v>
          </cell>
          <cell r="S29">
            <v>100</v>
          </cell>
          <cell r="T29">
            <v>12</v>
          </cell>
          <cell r="U29">
            <v>6</v>
          </cell>
          <cell r="V29">
            <v>6</v>
          </cell>
          <cell r="W29">
            <v>12</v>
          </cell>
          <cell r="X29">
            <v>100</v>
          </cell>
        </row>
        <row r="30">
          <cell r="D30">
            <v>4146</v>
          </cell>
          <cell r="E30">
            <v>4146</v>
          </cell>
          <cell r="F30">
            <v>4146</v>
          </cell>
          <cell r="G30">
            <v>4146</v>
          </cell>
          <cell r="H30">
            <v>4146</v>
          </cell>
          <cell r="I30">
            <v>4146</v>
          </cell>
          <cell r="J30">
            <v>24876</v>
          </cell>
          <cell r="K30">
            <v>4146</v>
          </cell>
          <cell r="L30">
            <v>4146</v>
          </cell>
          <cell r="M30">
            <v>4146</v>
          </cell>
          <cell r="N30">
            <v>4146</v>
          </cell>
          <cell r="O30">
            <v>4146</v>
          </cell>
          <cell r="P30">
            <v>4146</v>
          </cell>
          <cell r="Q30">
            <v>24876</v>
          </cell>
          <cell r="R30">
            <v>49752</v>
          </cell>
          <cell r="S30">
            <v>116.41979641979643</v>
          </cell>
          <cell r="T30">
            <v>35960</v>
          </cell>
          <cell r="U30">
            <v>20830</v>
          </cell>
          <cell r="V30">
            <v>21905</v>
          </cell>
          <cell r="W30">
            <v>42735</v>
          </cell>
          <cell r="X30">
            <v>138.35372636262514</v>
          </cell>
        </row>
        <row r="31">
          <cell r="D31">
            <v>84</v>
          </cell>
          <cell r="E31">
            <v>85</v>
          </cell>
          <cell r="F31">
            <v>76</v>
          </cell>
          <cell r="G31">
            <v>75</v>
          </cell>
          <cell r="H31">
            <v>75</v>
          </cell>
          <cell r="I31">
            <v>75</v>
          </cell>
          <cell r="J31">
            <v>470</v>
          </cell>
          <cell r="K31">
            <v>75</v>
          </cell>
          <cell r="L31">
            <v>75</v>
          </cell>
          <cell r="M31">
            <v>75</v>
          </cell>
          <cell r="N31">
            <v>75</v>
          </cell>
          <cell r="O31">
            <v>75</v>
          </cell>
          <cell r="P31">
            <v>75</v>
          </cell>
          <cell r="Q31">
            <v>450</v>
          </cell>
          <cell r="R31">
            <v>920</v>
          </cell>
          <cell r="S31">
            <v>84.636614535418587</v>
          </cell>
          <cell r="T31">
            <v>1056</v>
          </cell>
          <cell r="U31">
            <v>561</v>
          </cell>
          <cell r="V31">
            <v>526</v>
          </cell>
          <cell r="W31">
            <v>1087</v>
          </cell>
          <cell r="X31">
            <v>87.121212121212125</v>
          </cell>
        </row>
        <row r="32">
          <cell r="D32">
            <v>99294</v>
          </cell>
          <cell r="E32">
            <v>92527.444444444438</v>
          </cell>
          <cell r="F32">
            <v>90333.444444444438</v>
          </cell>
          <cell r="G32">
            <v>88077.925925925927</v>
          </cell>
          <cell r="H32">
            <v>85883.925925925927</v>
          </cell>
          <cell r="I32">
            <v>84786.925925925927</v>
          </cell>
          <cell r="J32">
            <v>540903.66666666674</v>
          </cell>
          <cell r="K32">
            <v>88077.925925925927</v>
          </cell>
          <cell r="L32">
            <v>85883.925925925927</v>
          </cell>
          <cell r="M32">
            <v>83689.925925925927</v>
          </cell>
          <cell r="N32">
            <v>81495.925925925927</v>
          </cell>
          <cell r="O32">
            <v>79301.925925925927</v>
          </cell>
          <cell r="P32">
            <v>76984.888888888891</v>
          </cell>
          <cell r="Q32">
            <v>495434.51851851854</v>
          </cell>
          <cell r="R32">
            <v>1036338.1851851853</v>
          </cell>
          <cell r="S32">
            <v>77.322802050712383</v>
          </cell>
          <cell r="T32">
            <v>1398880</v>
          </cell>
          <cell r="U32">
            <v>596937</v>
          </cell>
          <cell r="V32">
            <v>743338</v>
          </cell>
          <cell r="W32">
            <v>1340275</v>
          </cell>
          <cell r="X32">
            <v>74.083422822914429</v>
          </cell>
        </row>
        <row r="33">
          <cell r="D33">
            <v>412</v>
          </cell>
          <cell r="E33">
            <v>395</v>
          </cell>
          <cell r="F33">
            <v>394</v>
          </cell>
          <cell r="G33">
            <v>382</v>
          </cell>
          <cell r="H33">
            <v>376</v>
          </cell>
          <cell r="I33">
            <v>372</v>
          </cell>
          <cell r="J33">
            <v>2331</v>
          </cell>
          <cell r="K33">
            <v>372</v>
          </cell>
          <cell r="L33">
            <v>372</v>
          </cell>
          <cell r="M33">
            <v>367</v>
          </cell>
          <cell r="N33">
            <v>362</v>
          </cell>
          <cell r="O33">
            <v>353</v>
          </cell>
          <cell r="P33">
            <v>345</v>
          </cell>
          <cell r="Q33">
            <v>2171</v>
          </cell>
          <cell r="R33">
            <v>4502</v>
          </cell>
          <cell r="S33">
            <v>88.500098289758213</v>
          </cell>
          <cell r="T33">
            <v>5388</v>
          </cell>
          <cell r="U33">
            <v>2560</v>
          </cell>
          <cell r="V33">
            <v>2527</v>
          </cell>
          <cell r="W33">
            <v>5087</v>
          </cell>
          <cell r="X33">
            <v>83.556050482553829</v>
          </cell>
        </row>
        <row r="34">
          <cell r="D34">
            <v>444859.5172413793</v>
          </cell>
          <cell r="E34">
            <v>415653.31034482759</v>
          </cell>
          <cell r="F34">
            <v>417922.8275862069</v>
          </cell>
          <cell r="G34">
            <v>409202.8275862069</v>
          </cell>
          <cell r="H34">
            <v>414652.8275862069</v>
          </cell>
          <cell r="I34">
            <v>412607.10344827583</v>
          </cell>
          <cell r="J34">
            <v>2514898.4137931033</v>
          </cell>
          <cell r="K34">
            <v>395390.89655172417</v>
          </cell>
          <cell r="L34">
            <v>391030.89655172417</v>
          </cell>
          <cell r="M34">
            <v>394300.89655172417</v>
          </cell>
          <cell r="N34">
            <v>394300.89655172417</v>
          </cell>
          <cell r="O34">
            <v>394300.89655172417</v>
          </cell>
          <cell r="P34">
            <v>395390.89655172417</v>
          </cell>
          <cell r="Q34">
            <v>2364715.3793103448</v>
          </cell>
          <cell r="R34">
            <v>4879613.7931034481</v>
          </cell>
          <cell r="S34">
            <v>93.06137794193441</v>
          </cell>
          <cell r="T34">
            <v>5887518.1500000004</v>
          </cell>
          <cell r="U34">
            <v>2514633</v>
          </cell>
          <cell r="V34">
            <v>2728803</v>
          </cell>
          <cell r="W34">
            <v>5243436</v>
          </cell>
          <cell r="X34">
            <v>82.880658178581541</v>
          </cell>
        </row>
        <row r="35">
          <cell r="D35">
            <v>497</v>
          </cell>
          <cell r="E35">
            <v>481</v>
          </cell>
          <cell r="F35">
            <v>471</v>
          </cell>
          <cell r="G35">
            <v>458</v>
          </cell>
          <cell r="H35">
            <v>452</v>
          </cell>
          <cell r="I35">
            <v>448</v>
          </cell>
          <cell r="J35">
            <v>2807</v>
          </cell>
          <cell r="K35">
            <v>448</v>
          </cell>
          <cell r="L35">
            <v>448</v>
          </cell>
          <cell r="M35">
            <v>443</v>
          </cell>
          <cell r="N35">
            <v>438</v>
          </cell>
          <cell r="O35">
            <v>429</v>
          </cell>
          <cell r="P35">
            <v>421</v>
          </cell>
          <cell r="Q35">
            <v>2627</v>
          </cell>
          <cell r="R35">
            <v>5434</v>
          </cell>
          <cell r="S35">
            <v>87.843517620433232</v>
          </cell>
          <cell r="T35">
            <v>6456</v>
          </cell>
          <cell r="U35">
            <v>3127</v>
          </cell>
          <cell r="V35">
            <v>3059</v>
          </cell>
          <cell r="W35">
            <v>6186</v>
          </cell>
          <cell r="X35">
            <v>84.169764560099139</v>
          </cell>
        </row>
        <row r="36">
          <cell r="D36">
            <v>548299.51724137925</v>
          </cell>
          <cell r="E36">
            <v>512326.75478927203</v>
          </cell>
          <cell r="F36">
            <v>512402.27203065134</v>
          </cell>
          <cell r="G36">
            <v>501426.7535121328</v>
          </cell>
          <cell r="H36">
            <v>504682.7535121328</v>
          </cell>
          <cell r="I36">
            <v>501540.02937420178</v>
          </cell>
          <cell r="J36">
            <v>3080678.0804597703</v>
          </cell>
          <cell r="K36">
            <v>487614.82247765013</v>
          </cell>
          <cell r="L36">
            <v>481060.82247765013</v>
          </cell>
          <cell r="M36">
            <v>482136.82247765013</v>
          </cell>
          <cell r="N36">
            <v>479942.82247765013</v>
          </cell>
          <cell r="O36">
            <v>477748.82247765013</v>
          </cell>
          <cell r="P36">
            <v>476521.78544061305</v>
          </cell>
          <cell r="Q36">
            <v>2885025.8978288635</v>
          </cell>
          <cell r="R36">
            <v>5965703.9782886337</v>
          </cell>
          <cell r="S36">
            <v>90.02871189606968</v>
          </cell>
          <cell r="T36">
            <v>7322358.1500000004</v>
          </cell>
          <cell r="U36">
            <v>3132400</v>
          </cell>
          <cell r="V36">
            <v>3494046</v>
          </cell>
          <cell r="W36">
            <v>6626446</v>
          </cell>
          <cell r="X36">
            <v>81.472441747316509</v>
          </cell>
        </row>
        <row r="37">
          <cell r="D37">
            <v>187182.4418604651</v>
          </cell>
          <cell r="E37">
            <v>183927.20930232559</v>
          </cell>
          <cell r="F37">
            <v>183167.65116279069</v>
          </cell>
          <cell r="G37">
            <v>182788.72093023255</v>
          </cell>
          <cell r="H37">
            <v>182595.87209302327</v>
          </cell>
          <cell r="I37">
            <v>181384.53488372092</v>
          </cell>
          <cell r="J37">
            <v>1101046.4302325582</v>
          </cell>
          <cell r="K37">
            <v>179326.63953488372</v>
          </cell>
          <cell r="L37">
            <v>179566.63953488372</v>
          </cell>
          <cell r="M37">
            <v>179338.63953488372</v>
          </cell>
          <cell r="N37">
            <v>179500.63953488372</v>
          </cell>
          <cell r="O37">
            <v>179362.63953488372</v>
          </cell>
          <cell r="P37">
            <v>178625.08139534883</v>
          </cell>
          <cell r="Q37">
            <v>1075720.2790697673</v>
          </cell>
          <cell r="R37">
            <v>2176766.7093023257</v>
          </cell>
          <cell r="S37">
            <v>114.38990640264967</v>
          </cell>
          <cell r="T37">
            <v>2102958</v>
          </cell>
          <cell r="U37">
            <v>935042</v>
          </cell>
          <cell r="V37">
            <v>967894</v>
          </cell>
          <cell r="W37">
            <v>1902936</v>
          </cell>
          <cell r="X37">
            <v>103.5097566999591</v>
          </cell>
        </row>
        <row r="38">
          <cell r="D38">
            <v>86691</v>
          </cell>
          <cell r="E38">
            <v>82202</v>
          </cell>
          <cell r="F38">
            <v>81983</v>
          </cell>
          <cell r="G38">
            <v>82465.517441860458</v>
          </cell>
          <cell r="H38">
            <v>83205.069767441862</v>
          </cell>
          <cell r="I38">
            <v>82505.162790697679</v>
          </cell>
          <cell r="J38">
            <v>499051.75</v>
          </cell>
          <cell r="K38">
            <v>80464.651162790688</v>
          </cell>
          <cell r="L38">
            <v>79832.651162790688</v>
          </cell>
          <cell r="M38">
            <v>79917.651162790688</v>
          </cell>
          <cell r="N38">
            <v>79714.651162790688</v>
          </cell>
          <cell r="O38">
            <v>79481.651162790688</v>
          </cell>
          <cell r="P38">
            <v>79131.046511627908</v>
          </cell>
          <cell r="Q38">
            <v>478542.30232558138</v>
          </cell>
          <cell r="R38">
            <v>977594.05232558143</v>
          </cell>
          <cell r="S38">
            <v>67.180699197934914</v>
          </cell>
          <cell r="T38">
            <v>972754</v>
          </cell>
          <cell r="U38">
            <v>768418</v>
          </cell>
          <cell r="V38">
            <v>686753</v>
          </cell>
          <cell r="W38">
            <v>1455171</v>
          </cell>
          <cell r="X38">
            <v>100.49756180139906</v>
          </cell>
        </row>
        <row r="39">
          <cell r="D39">
            <v>1482.5581395348836</v>
          </cell>
          <cell r="E39">
            <v>1412.7906976744184</v>
          </cell>
          <cell r="F39">
            <v>1395.3488372093022</v>
          </cell>
          <cell r="G39">
            <v>1386.627906976744</v>
          </cell>
          <cell r="H39">
            <v>1386.627906976744</v>
          </cell>
          <cell r="I39">
            <v>1360.4651162790697</v>
          </cell>
          <cell r="J39">
            <v>8424.4186046511622</v>
          </cell>
          <cell r="K39">
            <v>2443.2151162790701</v>
          </cell>
          <cell r="L39">
            <v>2443.2151162790701</v>
          </cell>
          <cell r="M39">
            <v>2443.2151162790701</v>
          </cell>
          <cell r="N39">
            <v>2443.2151162790701</v>
          </cell>
          <cell r="O39">
            <v>2443.2151162790701</v>
          </cell>
          <cell r="P39">
            <v>2410.854651162791</v>
          </cell>
          <cell r="Q39">
            <v>14626.930232558141</v>
          </cell>
          <cell r="R39">
            <v>23051.348837209305</v>
          </cell>
          <cell r="S39">
            <v>32.297920496012814</v>
          </cell>
          <cell r="T39">
            <v>0</v>
          </cell>
          <cell r="U39">
            <v>38161</v>
          </cell>
          <cell r="V39">
            <v>33210</v>
          </cell>
          <cell r="W39">
            <v>71371</v>
          </cell>
        </row>
        <row r="40">
          <cell r="D40">
            <v>6716.1395348837214</v>
          </cell>
          <cell r="E40">
            <v>6288.6976744186049</v>
          </cell>
          <cell r="F40">
            <v>6280.8372093023254</v>
          </cell>
          <cell r="G40">
            <v>6156.9069767441861</v>
          </cell>
          <cell r="H40">
            <v>6598.656976744187</v>
          </cell>
          <cell r="I40">
            <v>6550.1162790697672</v>
          </cell>
          <cell r="J40">
            <v>38591.354651162794</v>
          </cell>
          <cell r="K40">
            <v>6363.2151162790706</v>
          </cell>
          <cell r="L40">
            <v>6284.2151162790706</v>
          </cell>
          <cell r="M40">
            <v>6297.2151162790706</v>
          </cell>
          <cell r="N40">
            <v>6271.2151162790706</v>
          </cell>
          <cell r="O40">
            <v>6245.2151162790706</v>
          </cell>
          <cell r="P40">
            <v>6225.854651162791</v>
          </cell>
          <cell r="Q40">
            <v>37686.930232558145</v>
          </cell>
          <cell r="R40">
            <v>76278.284883720946</v>
          </cell>
          <cell r="S40">
            <v>86.613924493534412</v>
          </cell>
          <cell r="T40">
            <v>110308</v>
          </cell>
          <cell r="U40">
            <v>44366</v>
          </cell>
          <cell r="V40">
            <v>43701</v>
          </cell>
          <cell r="W40">
            <v>88067</v>
          </cell>
          <cell r="X40">
            <v>69.150274580013189</v>
          </cell>
        </row>
        <row r="41">
          <cell r="D41">
            <v>11995.39534883721</v>
          </cell>
          <cell r="E41">
            <v>11235.976744186046</v>
          </cell>
          <cell r="F41">
            <v>11219.372093023256</v>
          </cell>
          <cell r="G41">
            <v>11001.069767441861</v>
          </cell>
          <cell r="H41">
            <v>11705.069767441861</v>
          </cell>
          <cell r="I41">
            <v>11617.162790697676</v>
          </cell>
          <cell r="J41">
            <v>68774.046511627908</v>
          </cell>
          <cell r="K41">
            <v>11285.651162790698</v>
          </cell>
          <cell r="L41">
            <v>11146.651162790698</v>
          </cell>
          <cell r="M41">
            <v>11169.651162790698</v>
          </cell>
          <cell r="N41">
            <v>11123.651162790698</v>
          </cell>
          <cell r="O41">
            <v>11077.651162790698</v>
          </cell>
          <cell r="P41">
            <v>11042.046511627907</v>
          </cell>
          <cell r="Q41">
            <v>66845.302325581404</v>
          </cell>
          <cell r="R41">
            <v>135619.34883720931</v>
          </cell>
          <cell r="S41">
            <v>93.990164900935824</v>
          </cell>
          <cell r="T41">
            <v>149348</v>
          </cell>
          <cell r="U41">
            <v>70695</v>
          </cell>
          <cell r="V41">
            <v>73596</v>
          </cell>
          <cell r="W41">
            <v>144291</v>
          </cell>
          <cell r="X41">
            <v>90.807609634684965</v>
          </cell>
        </row>
        <row r="42">
          <cell r="D42">
            <v>23961.953488372092</v>
          </cell>
          <cell r="E42">
            <v>23437.767441860466</v>
          </cell>
          <cell r="F42">
            <v>23306.720930232557</v>
          </cell>
          <cell r="G42">
            <v>23241.197674418603</v>
          </cell>
          <cell r="H42">
            <v>23241.197674418603</v>
          </cell>
          <cell r="I42">
            <v>23044.627906976744</v>
          </cell>
          <cell r="J42">
            <v>140233.46511627905</v>
          </cell>
          <cell r="K42">
            <v>22717.011627906977</v>
          </cell>
          <cell r="L42">
            <v>22717.011627906977</v>
          </cell>
          <cell r="M42">
            <v>22717.011627906977</v>
          </cell>
          <cell r="N42">
            <v>22717.011627906977</v>
          </cell>
          <cell r="O42">
            <v>22717.011627906977</v>
          </cell>
          <cell r="P42">
            <v>22585.965116279069</v>
          </cell>
          <cell r="Q42">
            <v>136171.02325581395</v>
          </cell>
          <cell r="R42">
            <v>276404.48837209301</v>
          </cell>
          <cell r="T42">
            <v>302145</v>
          </cell>
          <cell r="U42">
            <v>342093</v>
          </cell>
          <cell r="W42">
            <v>342093</v>
          </cell>
          <cell r="X42">
            <v>91.480742150984796</v>
          </cell>
        </row>
        <row r="43"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500</v>
          </cell>
          <cell r="Q44">
            <v>500</v>
          </cell>
          <cell r="R44">
            <v>500</v>
          </cell>
          <cell r="T44">
            <v>500</v>
          </cell>
          <cell r="X44">
            <v>100</v>
          </cell>
        </row>
        <row r="45">
          <cell r="D45">
            <v>866329.00561347231</v>
          </cell>
          <cell r="E45">
            <v>820831.19664973707</v>
          </cell>
          <cell r="F45">
            <v>819755.2022632095</v>
          </cell>
          <cell r="G45">
            <v>808466.79420980706</v>
          </cell>
          <cell r="H45">
            <v>813415.24769817921</v>
          </cell>
          <cell r="I45">
            <v>808002.09914164362</v>
          </cell>
          <cell r="J45">
            <v>4936799.545576049</v>
          </cell>
          <cell r="K45">
            <v>790215.20619858033</v>
          </cell>
          <cell r="L45">
            <v>783051.20619858033</v>
          </cell>
          <cell r="M45">
            <v>784020.20619858033</v>
          </cell>
          <cell r="N45">
            <v>781713.20619858033</v>
          </cell>
          <cell r="O45">
            <v>779076.20619858033</v>
          </cell>
          <cell r="P45">
            <v>777042.63427782222</v>
          </cell>
          <cell r="Q45">
            <v>4695118.6652707243</v>
          </cell>
          <cell r="R45">
            <v>9631918.2108467743</v>
          </cell>
          <cell r="S45">
            <v>90.607511125870673</v>
          </cell>
          <cell r="T45">
            <v>10960371.15</v>
          </cell>
          <cell r="U45">
            <v>5331175</v>
          </cell>
          <cell r="V45">
            <v>5299200</v>
          </cell>
          <cell r="W45">
            <v>10630375</v>
          </cell>
          <cell r="X45">
            <v>87.879489471912393</v>
          </cell>
        </row>
        <row r="46">
          <cell r="D46">
            <v>519</v>
          </cell>
          <cell r="E46">
            <v>519</v>
          </cell>
          <cell r="F46">
            <v>525</v>
          </cell>
          <cell r="G46">
            <v>520</v>
          </cell>
          <cell r="H46">
            <v>525</v>
          </cell>
          <cell r="I46">
            <v>519</v>
          </cell>
          <cell r="J46">
            <v>3127</v>
          </cell>
          <cell r="K46">
            <v>514</v>
          </cell>
          <cell r="L46">
            <v>511</v>
          </cell>
          <cell r="M46">
            <v>510</v>
          </cell>
          <cell r="N46">
            <v>508</v>
          </cell>
          <cell r="O46">
            <v>508</v>
          </cell>
          <cell r="P46">
            <v>508</v>
          </cell>
          <cell r="Q46">
            <v>3059</v>
          </cell>
          <cell r="R46">
            <v>6186</v>
          </cell>
        </row>
        <row r="47">
          <cell r="D47">
            <v>987311</v>
          </cell>
          <cell r="E47">
            <v>803706</v>
          </cell>
          <cell r="F47">
            <v>831269</v>
          </cell>
          <cell r="G47">
            <v>902656</v>
          </cell>
          <cell r="H47">
            <v>851899</v>
          </cell>
          <cell r="I47">
            <v>954334</v>
          </cell>
          <cell r="J47">
            <v>5331175</v>
          </cell>
          <cell r="K47">
            <v>867870</v>
          </cell>
          <cell r="L47">
            <v>887872</v>
          </cell>
          <cell r="M47">
            <v>856013</v>
          </cell>
          <cell r="N47">
            <v>864000</v>
          </cell>
          <cell r="O47">
            <v>864000</v>
          </cell>
          <cell r="P47">
            <v>959445</v>
          </cell>
          <cell r="Q47">
            <v>5299200</v>
          </cell>
          <cell r="R47">
            <v>10630375</v>
          </cell>
        </row>
        <row r="48">
          <cell r="D48">
            <v>87.746313533777325</v>
          </cell>
          <cell r="E48">
            <v>102.13077874866394</v>
          </cell>
          <cell r="F48">
            <v>98.614913134401689</v>
          </cell>
          <cell r="G48">
            <v>89.565326570676646</v>
          </cell>
          <cell r="H48">
            <v>95.482592149794669</v>
          </cell>
          <cell r="I48">
            <v>84.666594624276584</v>
          </cell>
          <cell r="J48">
            <v>92.602466540228917</v>
          </cell>
          <cell r="K48">
            <v>91.052255084123232</v>
          </cell>
          <cell r="L48">
            <v>88.194154810443436</v>
          </cell>
          <cell r="M48">
            <v>91.589754618046726</v>
          </cell>
          <cell r="N48">
            <v>90.476065532243084</v>
          </cell>
          <cell r="O48">
            <v>90.170857198909758</v>
          </cell>
          <cell r="P48">
            <v>80.988762699041857</v>
          </cell>
          <cell r="Q48">
            <v>88.600518290887763</v>
          </cell>
          <cell r="R48">
            <v>90.607511125870673</v>
          </cell>
        </row>
        <row r="49">
          <cell r="D49">
            <v>43</v>
          </cell>
          <cell r="E49">
            <v>43</v>
          </cell>
          <cell r="F49">
            <v>43</v>
          </cell>
          <cell r="G49">
            <v>43</v>
          </cell>
          <cell r="H49">
            <v>43</v>
          </cell>
          <cell r="I49">
            <v>43</v>
          </cell>
          <cell r="J49">
            <v>258</v>
          </cell>
          <cell r="K49">
            <v>43</v>
          </cell>
          <cell r="L49">
            <v>43</v>
          </cell>
          <cell r="M49">
            <v>43</v>
          </cell>
          <cell r="N49">
            <v>43</v>
          </cell>
          <cell r="O49">
            <v>43</v>
          </cell>
          <cell r="P49">
            <v>43</v>
          </cell>
          <cell r="Q49">
            <v>258</v>
          </cell>
          <cell r="R49">
            <v>516</v>
          </cell>
          <cell r="S49">
            <v>100</v>
          </cell>
          <cell r="T49">
            <v>588</v>
          </cell>
          <cell r="U49">
            <v>255</v>
          </cell>
          <cell r="V49">
            <v>261</v>
          </cell>
          <cell r="W49">
            <v>516</v>
          </cell>
          <cell r="X49">
            <v>87.755102040816325</v>
          </cell>
        </row>
        <row r="50">
          <cell r="D50">
            <v>62196</v>
          </cell>
          <cell r="E50">
            <v>62196</v>
          </cell>
          <cell r="F50">
            <v>62196</v>
          </cell>
          <cell r="G50">
            <v>62196</v>
          </cell>
          <cell r="H50">
            <v>62196</v>
          </cell>
          <cell r="I50">
            <v>62196</v>
          </cell>
          <cell r="J50">
            <v>373176</v>
          </cell>
          <cell r="K50">
            <v>58242</v>
          </cell>
          <cell r="L50">
            <v>58242</v>
          </cell>
          <cell r="M50">
            <v>58242</v>
          </cell>
          <cell r="N50">
            <v>58242</v>
          </cell>
          <cell r="O50">
            <v>58242</v>
          </cell>
          <cell r="P50">
            <v>58242</v>
          </cell>
          <cell r="Q50">
            <v>349452</v>
          </cell>
          <cell r="R50">
            <v>722628</v>
          </cell>
          <cell r="S50">
            <v>100.39135273009165</v>
          </cell>
          <cell r="T50">
            <v>743943.8</v>
          </cell>
          <cell r="U50">
            <v>347051</v>
          </cell>
          <cell r="V50">
            <v>372760</v>
          </cell>
          <cell r="W50">
            <v>719811</v>
          </cell>
          <cell r="X50">
            <v>97.134756684577511</v>
          </cell>
        </row>
        <row r="51">
          <cell r="D51">
            <v>19866</v>
          </cell>
          <cell r="E51">
            <v>19866</v>
          </cell>
          <cell r="F51">
            <v>19866</v>
          </cell>
          <cell r="G51">
            <v>19866</v>
          </cell>
          <cell r="H51">
            <v>19866</v>
          </cell>
          <cell r="I51">
            <v>19866</v>
          </cell>
          <cell r="J51">
            <v>119196</v>
          </cell>
          <cell r="K51">
            <v>19880</v>
          </cell>
          <cell r="L51">
            <v>19880</v>
          </cell>
          <cell r="M51">
            <v>19880</v>
          </cell>
          <cell r="N51">
            <v>19880</v>
          </cell>
          <cell r="O51">
            <v>19880</v>
          </cell>
          <cell r="P51">
            <v>19880</v>
          </cell>
          <cell r="Q51">
            <v>119280</v>
          </cell>
          <cell r="R51">
            <v>238476</v>
          </cell>
          <cell r="S51">
            <v>140.77685950413223</v>
          </cell>
          <cell r="T51">
            <v>74393</v>
          </cell>
          <cell r="U51">
            <v>81700</v>
          </cell>
          <cell r="V51">
            <v>87700</v>
          </cell>
          <cell r="W51">
            <v>169400</v>
          </cell>
          <cell r="X51">
            <v>320.56241850711757</v>
          </cell>
        </row>
        <row r="52">
          <cell r="D52">
            <v>5928</v>
          </cell>
          <cell r="E52">
            <v>5928</v>
          </cell>
          <cell r="F52">
            <v>5928</v>
          </cell>
          <cell r="G52">
            <v>5928</v>
          </cell>
          <cell r="H52">
            <v>5928</v>
          </cell>
          <cell r="I52">
            <v>5928</v>
          </cell>
          <cell r="J52">
            <v>35568</v>
          </cell>
          <cell r="K52">
            <v>5532</v>
          </cell>
          <cell r="L52">
            <v>5532</v>
          </cell>
          <cell r="M52">
            <v>5532</v>
          </cell>
          <cell r="N52">
            <v>5532</v>
          </cell>
          <cell r="O52">
            <v>5532</v>
          </cell>
          <cell r="P52">
            <v>5532</v>
          </cell>
          <cell r="Q52">
            <v>33192</v>
          </cell>
          <cell r="R52">
            <v>68760</v>
          </cell>
          <cell r="S52">
            <v>48.18635420754611</v>
          </cell>
          <cell r="T52">
            <v>261464</v>
          </cell>
          <cell r="U52">
            <v>68796</v>
          </cell>
          <cell r="V52">
            <v>73900</v>
          </cell>
          <cell r="W52">
            <v>142696</v>
          </cell>
          <cell r="X52">
            <v>26.298075452069885</v>
          </cell>
        </row>
        <row r="53">
          <cell r="D53">
            <v>1892</v>
          </cell>
          <cell r="E53">
            <v>1892</v>
          </cell>
          <cell r="F53">
            <v>1892</v>
          </cell>
          <cell r="G53">
            <v>1892</v>
          </cell>
          <cell r="H53">
            <v>2012.4</v>
          </cell>
          <cell r="I53">
            <v>2012.4</v>
          </cell>
          <cell r="J53">
            <v>11592.8</v>
          </cell>
          <cell r="K53">
            <v>2012.4</v>
          </cell>
          <cell r="L53">
            <v>2012.4</v>
          </cell>
          <cell r="M53">
            <v>2012.4</v>
          </cell>
          <cell r="N53">
            <v>2012.4</v>
          </cell>
          <cell r="O53">
            <v>2012.4</v>
          </cell>
          <cell r="P53">
            <v>2012.4</v>
          </cell>
          <cell r="Q53">
            <v>12074.4</v>
          </cell>
          <cell r="R53">
            <v>23667.199999999997</v>
          </cell>
          <cell r="S53">
            <v>104.69896040698958</v>
          </cell>
          <cell r="T53">
            <v>28856</v>
          </cell>
          <cell r="U53">
            <v>10879</v>
          </cell>
          <cell r="V53">
            <v>11726</v>
          </cell>
          <cell r="W53">
            <v>22605</v>
          </cell>
          <cell r="X53">
            <v>82.0182977543665</v>
          </cell>
        </row>
        <row r="54">
          <cell r="D54">
            <v>89882</v>
          </cell>
          <cell r="E54">
            <v>89882</v>
          </cell>
          <cell r="F54">
            <v>89882</v>
          </cell>
          <cell r="G54">
            <v>89882</v>
          </cell>
          <cell r="H54">
            <v>90002.4</v>
          </cell>
          <cell r="I54">
            <v>90002.4</v>
          </cell>
          <cell r="J54">
            <v>539532.80000000005</v>
          </cell>
          <cell r="K54">
            <v>85666.4</v>
          </cell>
          <cell r="L54">
            <v>85666.4</v>
          </cell>
          <cell r="M54">
            <v>85666.4</v>
          </cell>
          <cell r="N54">
            <v>85666.4</v>
          </cell>
          <cell r="O54">
            <v>85666.4</v>
          </cell>
          <cell r="P54">
            <v>85666.4</v>
          </cell>
          <cell r="Q54">
            <v>513998.4</v>
          </cell>
          <cell r="R54">
            <v>1053531.2000000002</v>
          </cell>
          <cell r="S54">
            <v>99.906990152791082</v>
          </cell>
          <cell r="T54">
            <v>1108656.8</v>
          </cell>
          <cell r="U54">
            <v>508426</v>
          </cell>
          <cell r="V54">
            <v>546086</v>
          </cell>
          <cell r="W54">
            <v>1054512</v>
          </cell>
          <cell r="X54">
            <v>95.027712814281216</v>
          </cell>
        </row>
        <row r="55">
          <cell r="D55">
            <v>45</v>
          </cell>
          <cell r="E55">
            <v>43</v>
          </cell>
          <cell r="F55">
            <v>42</v>
          </cell>
          <cell r="G55">
            <v>42</v>
          </cell>
          <cell r="H55">
            <v>42</v>
          </cell>
          <cell r="I55">
            <v>41</v>
          </cell>
          <cell r="J55">
            <v>255</v>
          </cell>
          <cell r="K55">
            <v>44</v>
          </cell>
          <cell r="L55">
            <v>44</v>
          </cell>
          <cell r="M55">
            <v>44</v>
          </cell>
          <cell r="N55">
            <v>44</v>
          </cell>
          <cell r="O55">
            <v>44</v>
          </cell>
          <cell r="P55">
            <v>44</v>
          </cell>
          <cell r="Q55">
            <v>264</v>
          </cell>
          <cell r="R55">
            <v>519</v>
          </cell>
        </row>
        <row r="56">
          <cell r="D56">
            <v>101255</v>
          </cell>
          <cell r="E56">
            <v>78601</v>
          </cell>
          <cell r="F56">
            <v>89844</v>
          </cell>
          <cell r="G56">
            <v>83554</v>
          </cell>
          <cell r="H56">
            <v>84994</v>
          </cell>
          <cell r="I56">
            <v>70178</v>
          </cell>
          <cell r="J56">
            <v>508426</v>
          </cell>
          <cell r="K56">
            <v>90773</v>
          </cell>
          <cell r="L56">
            <v>88685</v>
          </cell>
          <cell r="M56">
            <v>96982</v>
          </cell>
          <cell r="N56">
            <v>89882</v>
          </cell>
          <cell r="O56">
            <v>89882</v>
          </cell>
          <cell r="P56">
            <v>89882</v>
          </cell>
          <cell r="Q56">
            <v>546086</v>
          </cell>
          <cell r="R56">
            <v>1054512</v>
          </cell>
        </row>
        <row r="57">
          <cell r="D57">
            <v>88.767962075946869</v>
          </cell>
          <cell r="E57">
            <v>114.35223470439307</v>
          </cell>
          <cell r="F57">
            <v>100.04229553448198</v>
          </cell>
          <cell r="G57">
            <v>107.57354525217224</v>
          </cell>
          <cell r="H57">
            <v>105.8926512459703</v>
          </cell>
          <cell r="I57">
            <v>128.24873892102937</v>
          </cell>
          <cell r="J57">
            <v>106.11825516397668</v>
          </cell>
          <cell r="K57">
            <v>94.374318354576786</v>
          </cell>
          <cell r="L57">
            <v>96.596267689011654</v>
          </cell>
          <cell r="M57">
            <v>88.332267843517343</v>
          </cell>
          <cell r="N57">
            <v>95.309850693130997</v>
          </cell>
          <cell r="O57">
            <v>95.309850693130997</v>
          </cell>
          <cell r="P57">
            <v>95.309850693130997</v>
          </cell>
          <cell r="Q57">
            <v>94.12407569503705</v>
          </cell>
          <cell r="R57">
            <v>99.906990152791082</v>
          </cell>
        </row>
        <row r="58">
          <cell r="D58">
            <v>578</v>
          </cell>
          <cell r="E58">
            <v>562</v>
          </cell>
          <cell r="F58">
            <v>552</v>
          </cell>
          <cell r="G58">
            <v>539</v>
          </cell>
          <cell r="H58">
            <v>533</v>
          </cell>
          <cell r="I58">
            <v>529</v>
          </cell>
          <cell r="J58">
            <v>3293</v>
          </cell>
          <cell r="K58">
            <v>529</v>
          </cell>
          <cell r="L58">
            <v>529</v>
          </cell>
          <cell r="M58">
            <v>524</v>
          </cell>
          <cell r="N58">
            <v>519</v>
          </cell>
          <cell r="O58">
            <v>510</v>
          </cell>
          <cell r="P58">
            <v>502</v>
          </cell>
          <cell r="Q58">
            <v>3113</v>
          </cell>
          <cell r="R58">
            <v>6406</v>
          </cell>
          <cell r="S58">
            <v>89.456779779360431</v>
          </cell>
          <cell r="T58">
            <v>7476</v>
          </cell>
          <cell r="U58">
            <v>3613</v>
          </cell>
          <cell r="V58">
            <v>3548</v>
          </cell>
          <cell r="W58">
            <v>7161</v>
          </cell>
          <cell r="X58">
            <v>85.687533440342435</v>
          </cell>
        </row>
        <row r="59">
          <cell r="D59">
            <v>690554.51724137925</v>
          </cell>
          <cell r="E59">
            <v>639081.75478927209</v>
          </cell>
          <cell r="F59">
            <v>641957.27203065134</v>
          </cell>
          <cell r="G59">
            <v>628181.7535121328</v>
          </cell>
          <cell r="H59">
            <v>632980.7535121328</v>
          </cell>
          <cell r="I59">
            <v>629838.02937420178</v>
          </cell>
          <cell r="J59">
            <v>3862594.0804597703</v>
          </cell>
          <cell r="K59">
            <v>630258.82247765013</v>
          </cell>
          <cell r="L59">
            <v>605404.82247765013</v>
          </cell>
          <cell r="M59">
            <v>606480.82247765013</v>
          </cell>
          <cell r="N59">
            <v>607686.82247765013</v>
          </cell>
          <cell r="O59">
            <v>602092.82247765013</v>
          </cell>
          <cell r="P59">
            <v>600865.78544061305</v>
          </cell>
          <cell r="Q59">
            <v>3652789.8978288635</v>
          </cell>
          <cell r="R59">
            <v>7515383.9782886337</v>
          </cell>
          <cell r="S59">
            <v>93.385883289498267</v>
          </cell>
          <cell r="T59">
            <v>8760579.9499999993</v>
          </cell>
          <cell r="U59">
            <v>3798256</v>
          </cell>
          <cell r="V59">
            <v>4249410</v>
          </cell>
          <cell r="W59">
            <v>8047666</v>
          </cell>
          <cell r="X59">
            <v>85.786375116508523</v>
          </cell>
        </row>
        <row r="60">
          <cell r="D60">
            <v>222555.4418604651</v>
          </cell>
          <cell r="E60">
            <v>219300.20930232559</v>
          </cell>
          <cell r="F60">
            <v>218540.65116279069</v>
          </cell>
          <cell r="G60">
            <v>218161.72093023255</v>
          </cell>
          <cell r="H60">
            <v>217968.87209302327</v>
          </cell>
          <cell r="I60">
            <v>216757.53488372092</v>
          </cell>
          <cell r="J60">
            <v>1313284.4302325579</v>
          </cell>
          <cell r="K60">
            <v>214713.63953488372</v>
          </cell>
          <cell r="L60">
            <v>214953.63953488372</v>
          </cell>
          <cell r="M60">
            <v>214725.63953488372</v>
          </cell>
          <cell r="N60">
            <v>214887.63953488372</v>
          </cell>
          <cell r="O60">
            <v>214749.63953488372</v>
          </cell>
          <cell r="P60">
            <v>214012.08139534883</v>
          </cell>
          <cell r="Q60">
            <v>1288042.2790697673</v>
          </cell>
          <cell r="R60">
            <v>2601326.7093023253</v>
          </cell>
          <cell r="S60">
            <v>115.2006173952043</v>
          </cell>
          <cell r="T60">
            <v>2382083</v>
          </cell>
          <cell r="U60">
            <v>1086915</v>
          </cell>
          <cell r="V60">
            <v>1171169</v>
          </cell>
          <cell r="W60">
            <v>2258084</v>
          </cell>
          <cell r="X60">
            <v>109.20386524324826</v>
          </cell>
        </row>
        <row r="61">
          <cell r="D61">
            <v>149780.04651162791</v>
          </cell>
          <cell r="E61">
            <v>141960.23255813954</v>
          </cell>
          <cell r="F61">
            <v>141848.27906976742</v>
          </cell>
          <cell r="G61">
            <v>141634.31976744186</v>
          </cell>
          <cell r="H61">
            <v>143820.02209302326</v>
          </cell>
          <cell r="I61">
            <v>142760.93488372094</v>
          </cell>
          <cell r="J61">
            <v>861803.83488372096</v>
          </cell>
          <cell r="K61">
            <v>142391.1441860465</v>
          </cell>
          <cell r="L61">
            <v>139711.1441860465</v>
          </cell>
          <cell r="M61">
            <v>139832.1441860465</v>
          </cell>
          <cell r="N61">
            <v>139897.1441860465</v>
          </cell>
          <cell r="O61">
            <v>139252.1441860465</v>
          </cell>
          <cell r="P61">
            <v>139183.16744186045</v>
          </cell>
          <cell r="Q61">
            <v>840266.88837209286</v>
          </cell>
          <cell r="R61">
            <v>1702070.7232558138</v>
          </cell>
          <cell r="S61">
            <v>68.592166924950462</v>
          </cell>
          <cell r="T61">
            <v>1959272</v>
          </cell>
          <cell r="U61">
            <v>1440973</v>
          </cell>
          <cell r="V61">
            <v>1040463</v>
          </cell>
          <cell r="W61">
            <v>2481436</v>
          </cell>
          <cell r="X61">
            <v>86.87260999268166</v>
          </cell>
        </row>
        <row r="62">
          <cell r="D62">
            <v>1062890.0056134723</v>
          </cell>
          <cell r="E62">
            <v>1000342.1966497372</v>
          </cell>
          <cell r="F62">
            <v>1002346.2022632095</v>
          </cell>
          <cell r="G62">
            <v>987977.79420980718</v>
          </cell>
          <cell r="H62">
            <v>994769.64769817935</v>
          </cell>
          <cell r="I62">
            <v>989356.49914164364</v>
          </cell>
          <cell r="J62">
            <v>6037682.3455760488</v>
          </cell>
          <cell r="K62">
            <v>987363.60619858024</v>
          </cell>
          <cell r="L62">
            <v>960069.60619858024</v>
          </cell>
          <cell r="M62">
            <v>961038.60619858024</v>
          </cell>
          <cell r="N62">
            <v>962471.60619858024</v>
          </cell>
          <cell r="O62">
            <v>956094.60619858024</v>
          </cell>
          <cell r="P62">
            <v>954061.03427782224</v>
          </cell>
          <cell r="Q62">
            <v>5781099.0652707228</v>
          </cell>
          <cell r="R62">
            <v>11818781.410846772</v>
          </cell>
          <cell r="S62">
            <v>92.42675762162817</v>
          </cell>
          <cell r="T62">
            <v>13101934.950000001</v>
          </cell>
          <cell r="U62">
            <v>6326144</v>
          </cell>
          <cell r="V62">
            <v>6461042</v>
          </cell>
          <cell r="W62">
            <v>12787186</v>
          </cell>
          <cell r="X62">
            <v>90.206381392900823</v>
          </cell>
        </row>
        <row r="63">
          <cell r="D63">
            <v>601</v>
          </cell>
          <cell r="E63">
            <v>602</v>
          </cell>
          <cell r="F63">
            <v>605</v>
          </cell>
          <cell r="G63">
            <v>601</v>
          </cell>
          <cell r="H63">
            <v>606</v>
          </cell>
          <cell r="I63">
            <v>598</v>
          </cell>
          <cell r="J63">
            <v>3613</v>
          </cell>
          <cell r="K63">
            <v>596</v>
          </cell>
          <cell r="L63">
            <v>593</v>
          </cell>
          <cell r="M63">
            <v>592</v>
          </cell>
          <cell r="N63">
            <v>590</v>
          </cell>
          <cell r="O63">
            <v>590</v>
          </cell>
          <cell r="P63">
            <v>590</v>
          </cell>
          <cell r="Q63">
            <v>3551</v>
          </cell>
          <cell r="R63">
            <v>7164</v>
          </cell>
        </row>
        <row r="64">
          <cell r="D64">
            <v>1208316</v>
          </cell>
          <cell r="E64">
            <v>987859</v>
          </cell>
          <cell r="F64">
            <v>1037692</v>
          </cell>
          <cell r="G64">
            <v>1095263</v>
          </cell>
          <cell r="H64">
            <v>1046166</v>
          </cell>
          <cell r="I64">
            <v>950849</v>
          </cell>
          <cell r="J64">
            <v>6326145</v>
          </cell>
          <cell r="K64">
            <v>1093997</v>
          </cell>
          <cell r="L64">
            <v>1089524</v>
          </cell>
          <cell r="M64">
            <v>1076442</v>
          </cell>
          <cell r="N64">
            <v>1033882</v>
          </cell>
          <cell r="O64">
            <v>1033882</v>
          </cell>
          <cell r="P64">
            <v>1133314</v>
          </cell>
          <cell r="Q64">
            <v>6461041</v>
          </cell>
          <cell r="R64">
            <v>12787186</v>
          </cell>
        </row>
        <row r="65">
          <cell r="D65">
            <v>87.964572646019107</v>
          </cell>
          <cell r="E65">
            <v>101.2636617826772</v>
          </cell>
          <cell r="F65">
            <v>96.59380647275006</v>
          </cell>
          <cell r="G65">
            <v>90.204616992430786</v>
          </cell>
          <cell r="H65">
            <v>95.087170458433874</v>
          </cell>
          <cell r="I65">
            <v>104.04980171842675</v>
          </cell>
          <cell r="J65">
            <v>95.440151080571951</v>
          </cell>
          <cell r="K65">
            <v>90.252862320333634</v>
          </cell>
          <cell r="L65">
            <v>88.118261387411394</v>
          </cell>
          <cell r="M65">
            <v>89.279181432773925</v>
          </cell>
          <cell r="N65">
            <v>93.092984131514072</v>
          </cell>
          <cell r="O65">
            <v>92.476182600971896</v>
          </cell>
          <cell r="P65">
            <v>84.183292033613128</v>
          </cell>
          <cell r="Q65">
            <v>89.476278904138255</v>
          </cell>
          <cell r="R65">
            <v>92.42675762162817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갑)"/>
      <sheetName val="(을)"/>
      <sheetName val="(병)"/>
      <sheetName val="(정)"/>
      <sheetName val="inform"/>
      <sheetName val="MAT1"/>
      <sheetName val="MAT2"/>
      <sheetName val="BS"/>
      <sheetName val="PL"/>
      <sheetName val="T16"/>
      <sheetName val="T2"/>
      <sheetName val="T6"/>
      <sheetName val="T6A"/>
      <sheetName val="T6B"/>
      <sheetName val="T6-1"/>
      <sheetName val="T6-3(2)"/>
      <sheetName val="T6-3(4)"/>
      <sheetName val="T6-4A"/>
      <sheetName val="T6-4B"/>
      <sheetName val="T6-6(2)"/>
      <sheetName val="T6_6_2_"/>
      <sheetName val="인건비"/>
      <sheetName val="8S발주관리대장"/>
      <sheetName val="회사정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목차"/>
      <sheetName val="0.0ControlSheet"/>
      <sheetName val="0.1keyAssumption"/>
      <sheetName val="1.점포분석"/>
      <sheetName val="▶종합"/>
      <sheetName val="▶아울렛영업"/>
      <sheetName val="▶뉴코아영업"/>
      <sheetName val="▶제외 (3)"/>
      <sheetName val="▶제외 (2)"/>
      <sheetName val="▶제외"/>
      <sheetName val="강남1"/>
      <sheetName val="강남킴스"/>
      <sheetName val="평촌아울렛"/>
      <sheetName val="야탑"/>
      <sheetName val="동수원"/>
      <sheetName val="일산"/>
      <sheetName val="본사"/>
      <sheetName val="강남2"/>
      <sheetName val="순천"/>
      <sheetName val="순천킴스"/>
      <sheetName val="평택"/>
      <sheetName val="평촌"/>
      <sheetName val="평촌킴스"/>
      <sheetName val="과천"/>
      <sheetName val="구월킴스"/>
      <sheetName val="수원"/>
      <sheetName val="수원킴스"/>
      <sheetName val="남산킴스"/>
      <sheetName val="곤지암"/>
      <sheetName val="동관"/>
      <sheetName val="비전"/>
      <sheetName val="포항"/>
      <sheetName val="본관"/>
      <sheetName val="오대산"/>
      <sheetName val="인천"/>
      <sheetName val="서현킴스"/>
      <sheetName val="진부"/>
      <sheetName val="건설본부"/>
      <sheetName val="기타매각점"/>
      <sheetName val="▶주력"/>
      <sheetName val="▶기타"/>
      <sheetName val="0_0Control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3200"/>
      <sheetName val="선급비용"/>
      <sheetName val="수정"/>
      <sheetName val="조회서통제표"/>
      <sheetName val="3400"/>
      <sheetName val="3430"/>
      <sheetName val="3460"/>
      <sheetName val="4000"/>
      <sheetName val="6000"/>
      <sheetName val="6100"/>
      <sheetName val="제조경비"/>
      <sheetName val="0.0ControlSheet"/>
      <sheetName val="SG"/>
    </sheetNames>
    <sheetDataSet>
      <sheetData sheetId="0" refreshError="1">
        <row r="14">
          <cell r="C14">
            <v>37711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격비"/>
      <sheetName val="구월채무"/>
      <sheetName val="동수원채무"/>
      <sheetName val="수원킴스채무"/>
      <sheetName val="평촌채무"/>
      <sheetName val="Sheet1"/>
      <sheetName val="Sheet1 (2)"/>
      <sheetName val="평택점"/>
      <sheetName val="계산 (3)"/>
      <sheetName val="계산 (4)"/>
      <sheetName val="참고"/>
      <sheetName val="공사개요"/>
      <sheetName val="정산표"/>
    </sheetNames>
    <sheetDataSet>
      <sheetData sheetId="0" refreshError="1">
        <row r="1">
          <cell r="B1" t="str">
            <v>건물(10F)</v>
          </cell>
          <cell r="C1">
            <v>35</v>
          </cell>
        </row>
        <row r="2">
          <cell r="B2" t="str">
            <v>건물(11F)</v>
          </cell>
          <cell r="C2">
            <v>35</v>
          </cell>
        </row>
        <row r="3">
          <cell r="B3" t="str">
            <v>건물(12F)</v>
          </cell>
          <cell r="C3">
            <v>35</v>
          </cell>
        </row>
        <row r="4">
          <cell r="B4" t="str">
            <v>건물(13F)</v>
          </cell>
          <cell r="C4">
            <v>35</v>
          </cell>
        </row>
        <row r="5">
          <cell r="B5" t="str">
            <v>건물(14F)</v>
          </cell>
          <cell r="C5">
            <v>35</v>
          </cell>
        </row>
        <row r="6">
          <cell r="B6" t="str">
            <v>건물(1F)</v>
          </cell>
          <cell r="C6">
            <v>100</v>
          </cell>
        </row>
        <row r="7">
          <cell r="B7" t="str">
            <v>건물(2F)</v>
          </cell>
          <cell r="C7">
            <v>50</v>
          </cell>
        </row>
        <row r="8">
          <cell r="B8" t="str">
            <v>건물(3F)</v>
          </cell>
          <cell r="C8">
            <v>35</v>
          </cell>
        </row>
        <row r="9">
          <cell r="B9" t="str">
            <v>건물(4F)</v>
          </cell>
          <cell r="C9">
            <v>35</v>
          </cell>
        </row>
        <row r="10">
          <cell r="B10" t="str">
            <v>건물(5F)</v>
          </cell>
          <cell r="C10">
            <v>35</v>
          </cell>
        </row>
        <row r="11">
          <cell r="B11" t="str">
            <v>건물(6F)</v>
          </cell>
          <cell r="C11">
            <v>35</v>
          </cell>
        </row>
        <row r="12">
          <cell r="B12" t="str">
            <v>건물(7F)</v>
          </cell>
          <cell r="C12">
            <v>35</v>
          </cell>
        </row>
        <row r="13">
          <cell r="B13" t="str">
            <v>건물(8F)</v>
          </cell>
          <cell r="C13">
            <v>35</v>
          </cell>
        </row>
        <row r="14">
          <cell r="B14" t="str">
            <v>건물(9F)</v>
          </cell>
          <cell r="C14">
            <v>35</v>
          </cell>
        </row>
        <row r="15">
          <cell r="B15" t="str">
            <v>건물(B1)</v>
          </cell>
          <cell r="C15">
            <v>45</v>
          </cell>
        </row>
        <row r="16">
          <cell r="B16" t="str">
            <v>건물(B2)</v>
          </cell>
          <cell r="C16">
            <v>35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목(가-마)"/>
      <sheetName val="수목(바-주목)"/>
      <sheetName val="수목(중국단풍-)"/>
      <sheetName val="식재인부"/>
      <sheetName val="지주목수"/>
      <sheetName val="데이타"/>
      <sheetName val="炷舅?XLS]데이타'!$E$124"/>
      <sheetName val="ls]노임"/>
      <sheetName val="갑지"/>
      <sheetName val="목차"/>
      <sheetName val="1표지-공사시방서"/>
      <sheetName val="2표지-설계내역서"/>
      <sheetName val="원가계산서"/>
      <sheetName val="관급내역서"/>
      <sheetName val="내역서"/>
      <sheetName val="일위대가표"/>
      <sheetName val="aiming(일위대가표)"/>
      <sheetName val="산출서"/>
      <sheetName val="F단가비교표"/>
      <sheetName val="3표지-설계도면"/>
      <sheetName val="노임"/>
      <sheetName val="____"/>
      <sheetName val="___"/>
      <sheetName val="참고"/>
      <sheetName val="공사개요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표지"/>
      <sheetName val="6호기"/>
      <sheetName val="소일위대가코드표"/>
      <sheetName val="炷舅?XLS"/>
      <sheetName val="ls"/>
      <sheetName val="토공사"/>
      <sheetName val="간접"/>
      <sheetName val="품셈집계표"/>
      <sheetName val="자재조사표(참고용)"/>
      <sheetName val="일반부표집계표"/>
      <sheetName val="수목일위"/>
      <sheetName val=""/>
      <sheetName val="䈘목(중국단풍-)"/>
      <sheetName val="원가계산"/>
      <sheetName val="자재단가"/>
      <sheetName val="단가대비표"/>
      <sheetName val="건축2"/>
      <sheetName val="품셈TABLE"/>
      <sheetName val="수목표준대가"/>
      <sheetName val="수목데이타"/>
      <sheetName val="AS포장복구 "/>
      <sheetName val="별표집계"/>
      <sheetName val="기타 정보통신공사"/>
      <sheetName val="2000.11월설계내역"/>
      <sheetName val="Sheet1"/>
      <sheetName val="Customer Databas"/>
      <sheetName val="공종단가"/>
      <sheetName val="표지 (2)"/>
      <sheetName val="설명"/>
      <sheetName val="원내역"/>
      <sheetName val="가설공사비"/>
      <sheetName val="도로구조공사비"/>
      <sheetName val="도로토공공사비"/>
      <sheetName val="여수토공사비"/>
      <sheetName val="노임단가"/>
      <sheetName val="단가조사"/>
      <sheetName val="시설물일위"/>
      <sheetName val="가설공사"/>
      <sheetName val="단가결정"/>
      <sheetName val="내역아"/>
      <sheetName val="울타리"/>
      <sheetName val="문학간접"/>
      <sheetName val="장비별표(오거보링)(Ø400)(12M)"/>
      <sheetName val="갑  지"/>
      <sheetName val="접속도로1"/>
      <sheetName val="평가데이터"/>
      <sheetName val="unit 4"/>
      <sheetName val="1"/>
      <sheetName val="2"/>
      <sheetName val="3"/>
      <sheetName val="4"/>
      <sheetName val="5"/>
      <sheetName val="화재 탐지 설비"/>
      <sheetName val="Total"/>
      <sheetName val="횡배수관재료-"/>
      <sheetName val="계산서(직선부)"/>
      <sheetName val="포장재료집계표"/>
      <sheetName val="콘크리트측구연장"/>
      <sheetName val="포장공"/>
      <sheetName val="-몰탈콘크리트"/>
      <sheetName val="-배수구조물공토공"/>
      <sheetName val="수량산출서"/>
      <sheetName val="간선계산"/>
      <sheetName val="전익자재"/>
      <sheetName val="기초일위"/>
      <sheetName val="시설일위"/>
      <sheetName val="조명일위"/>
      <sheetName val="자재단가조사표-수목"/>
      <sheetName val="1차증가원가계산"/>
      <sheetName val="직재"/>
      <sheetName val="재집"/>
      <sheetName val="금액"/>
      <sheetName val="골조시행"/>
      <sheetName val="49"/>
      <sheetName val="data"/>
      <sheetName val="직접경비"/>
      <sheetName val="직접인건비"/>
      <sheetName val="Sheet2"/>
      <sheetName val="철근총괄집계표"/>
      <sheetName val="#REF"/>
      <sheetName val="집수정(600-700)"/>
      <sheetName val="토사(PE)"/>
      <sheetName val="DATE"/>
      <sheetName val="Sheet3"/>
      <sheetName val="터파기및재료"/>
      <sheetName val="빗물받이(910-510-410)"/>
      <sheetName val="우수"/>
      <sheetName val="Sheet1 (2)"/>
      <sheetName val="건축-물가변동"/>
      <sheetName val="데리네이타현황"/>
      <sheetName val="현장관리비"/>
      <sheetName val="DANGA"/>
      <sheetName val="일위대가목차"/>
      <sheetName val="교사기준면적(초등)"/>
      <sheetName val="일위대가(가설)"/>
      <sheetName val="평가내역"/>
      <sheetName val="단가 및 재료비"/>
      <sheetName val="단가산출2"/>
      <sheetName val="금융비용"/>
      <sheetName val="준검 내역서"/>
      <sheetName val="내역"/>
      <sheetName val="123"/>
      <sheetName val="이름표지정"/>
      <sheetName val="9811"/>
      <sheetName val="2000년1차"/>
      <sheetName val="2000전체분"/>
      <sheetName val="남양내역"/>
      <sheetName val="Sheet4"/>
      <sheetName val="일위대가"/>
      <sheetName val="노무,재료"/>
      <sheetName val="개인"/>
      <sheetName val="기본단가표"/>
      <sheetName val="수안보-MBR1"/>
      <sheetName val="단가산출1"/>
      <sheetName val="일위"/>
      <sheetName val="전체"/>
      <sheetName val="철콘"/>
      <sheetName val="금액내역서"/>
      <sheetName val="총괄내역"/>
      <sheetName val="공종목록표"/>
      <sheetName val="EACT10"/>
      <sheetName val="횡배수관토공수량"/>
      <sheetName val="년도별시공"/>
      <sheetName val="총괄내역서"/>
      <sheetName val="A"/>
      <sheetName val="9509"/>
      <sheetName val="단가산출"/>
      <sheetName val="수목단가"/>
      <sheetName val="식재수량표"/>
      <sheetName val="식재일위"/>
      <sheetName val="단가"/>
      <sheetName val="2공구산출내역"/>
      <sheetName val="공종별원가계산"/>
      <sheetName val="가감수량"/>
      <sheetName val="맨홀수량산출"/>
      <sheetName val="10공구일위"/>
      <sheetName val="Mc1"/>
      <sheetName val="전기혼잡제경비(45)"/>
      <sheetName val="현장"/>
      <sheetName val="토공산출(주차장)"/>
      <sheetName val="현장관리"/>
      <sheetName val="공통가설"/>
      <sheetName val="매입"/>
      <sheetName val="토공산출 (아파트)"/>
      <sheetName val="조명시설"/>
      <sheetName val="견적시담(송포2공구)"/>
      <sheetName val="노임이"/>
      <sheetName val="전기"/>
      <sheetName val="간접비"/>
      <sheetName val="Ⅶ-2.현장경비산출"/>
      <sheetName val="전주2本1"/>
      <sheetName val="1.설계조건"/>
      <sheetName val="품셈"/>
      <sheetName val="시멘트"/>
      <sheetName val="영업.일1"/>
      <sheetName val="연습"/>
      <sheetName val="시설수량표"/>
      <sheetName val="입찰"/>
      <sheetName val="현경"/>
      <sheetName val="비목군분류일위"/>
      <sheetName val="내역(APT)"/>
      <sheetName val="골조대비내역"/>
      <sheetName val="기초자료입력"/>
      <sheetName val="기계경비적용기준"/>
      <sheetName val="참조"/>
      <sheetName val="설계명세서"/>
      <sheetName val="예산명세서"/>
      <sheetName val="자료입력"/>
      <sheetName val="ABUT수량-A1"/>
      <sheetName val="시설물기초"/>
      <sheetName val="세부내역"/>
      <sheetName val="파일의이용"/>
      <sheetName val="토목주소"/>
      <sheetName val="공사비예산서(토목분)"/>
      <sheetName val="교육종류"/>
      <sheetName val="계수시트"/>
      <sheetName val="INPUT"/>
      <sheetName val="노임(1차)"/>
      <sheetName val="공구원가계산"/>
      <sheetName val="일위대가-1"/>
      <sheetName val="천방교접속"/>
      <sheetName val="WORK"/>
      <sheetName val="물가자료"/>
      <sheetName val="BID"/>
      <sheetName val="산출내역서집계표"/>
      <sheetName val="DC-O-4-S(설명서)"/>
      <sheetName val="부하계산서"/>
      <sheetName val="총괄표"/>
      <sheetName val="제수"/>
      <sheetName val="공기"/>
      <sheetName val="일위목록"/>
      <sheetName val="5 일위목록"/>
      <sheetName val="7 단가조사"/>
      <sheetName val="6 일위대가"/>
      <sheetName val="E.P.T수량산출서"/>
      <sheetName val="배수내역"/>
      <sheetName val="DT"/>
      <sheetName val="롤러"/>
      <sheetName val="펌프차타설"/>
      <sheetName val="참조M"/>
      <sheetName val="중기사용료산출근거"/>
      <sheetName val="가도공"/>
      <sheetName val="정렬"/>
      <sheetName val="공내역"/>
      <sheetName val="자재 집계표"/>
      <sheetName val="말고개터널조명전압강하"/>
      <sheetName val="동해title"/>
      <sheetName val="개소별수량산출"/>
      <sheetName val="카렌스센터계량기설치공사"/>
      <sheetName val="기계설비-물가변동"/>
      <sheetName val="실행간접비용"/>
      <sheetName val="合成単価作成表-BLDG"/>
      <sheetName val="수량산출"/>
      <sheetName val="관공일위대가"/>
      <sheetName val="설계내역일위"/>
      <sheetName val="기성청구"/>
      <sheetName val="대가표(품셈)"/>
      <sheetName val="삭제금지단가"/>
      <sheetName val="설계서"/>
      <sheetName val="공사기본내용입력"/>
      <sheetName val="공통"/>
      <sheetName val="부대공Ⅱ"/>
      <sheetName val="조건"/>
      <sheetName val="준공정산"/>
      <sheetName val="경산"/>
      <sheetName val="2.대외공문"/>
      <sheetName val="공사요율산출표"/>
      <sheetName val="에너지동"/>
      <sheetName val="공사별 가중치 산출근거(토목)"/>
      <sheetName val="가중치근거(조경)"/>
      <sheetName val="예가표"/>
      <sheetName val="식재"/>
      <sheetName val="시설물"/>
      <sheetName val="식재출력용"/>
      <sheetName val="유지관리"/>
      <sheetName val="상 부"/>
      <sheetName val="현관"/>
      <sheetName val="인원"/>
      <sheetName val="귀래 설계 공내역서"/>
      <sheetName val="입력자료"/>
      <sheetName val="DB@Acess"/>
      <sheetName val="Civil"/>
      <sheetName val="견적"/>
      <sheetName val="일반부표"/>
      <sheetName val="1안"/>
      <sheetName val="설계내역서"/>
      <sheetName val="1차 내역서"/>
      <sheetName val="부하계산"/>
      <sheetName val="GAS"/>
      <sheetName val="기초자료"/>
      <sheetName val="토공집계"/>
      <sheetName val="자료"/>
      <sheetName val="간선"/>
      <sheetName val="전압"/>
      <sheetName val="조도"/>
      <sheetName val="동력"/>
      <sheetName val="견적율"/>
      <sheetName val="설계예산서"/>
      <sheetName val="단가표 (2)"/>
      <sheetName val="입찰안"/>
      <sheetName val="공종집계"/>
      <sheetName val="운동장 (2)"/>
      <sheetName val="중기일위대가"/>
      <sheetName val="토공수량"/>
      <sheetName val="전선 및 전선관"/>
      <sheetName val="금융"/>
      <sheetName val="충주"/>
      <sheetName val="예산갑지"/>
      <sheetName val="설계내"/>
      <sheetName val="SG"/>
      <sheetName val="JUCKEYK"/>
      <sheetName val="단위단가"/>
      <sheetName val="BH"/>
      <sheetName val="총괄표1"/>
      <sheetName val="퇴직금(울산천상)"/>
      <sheetName val="공통비총괄표"/>
      <sheetName val="내역서2안"/>
      <sheetName val="날개벽(좌,우=60도-4개)"/>
      <sheetName val="밸브설치"/>
      <sheetName val="D&amp;P특기사항"/>
      <sheetName val="MOTOR"/>
      <sheetName val="지주목시비량산출서"/>
      <sheetName val="주요항목별"/>
      <sheetName val="지수"/>
      <sheetName val="대치판정"/>
      <sheetName val="간지"/>
      <sheetName val="배수공"/>
      <sheetName val="전기공사"/>
      <sheetName val="사급자재"/>
      <sheetName val="약품설비"/>
      <sheetName val="4-10"/>
      <sheetName val="부대공1(65-77,93-95)"/>
      <sheetName val="부대공2(78-"/>
      <sheetName val="배수및구조물공1"/>
      <sheetName val="구조물토공"/>
      <sheetName val="토공2(11~19)"/>
      <sheetName val="배수및구조물공2"/>
      <sheetName val="토공1(1~10,92)"/>
      <sheetName val="토공3(20~31)"/>
      <sheetName val="설계내역"/>
      <sheetName val="03하반기내역서"/>
      <sheetName val="04상반기"/>
      <sheetName val="약품공급2"/>
      <sheetName val="공작물조직표(용배수)"/>
      <sheetName val="기기리스트"/>
      <sheetName val="정화조방수미장"/>
      <sheetName val="잡비"/>
      <sheetName val=" 견적서"/>
      <sheetName val="조명율표"/>
      <sheetName val="산출근거"/>
      <sheetName val="일위집계표"/>
      <sheetName val="설계"/>
      <sheetName val="소야공정계획표"/>
      <sheetName val="자단"/>
      <sheetName val="인공산출"/>
      <sheetName val="공정코드"/>
      <sheetName val="SCHE"/>
      <sheetName val="2000_11월설계내역"/>
      <sheetName val="Customer_Databas"/>
      <sheetName val="AS포장복구_"/>
      <sheetName val="표지_(2)"/>
      <sheetName val="기타_정보통신공사"/>
      <sheetName val="갑__지"/>
      <sheetName val="unit_4"/>
      <sheetName val="화재_탐지_설비"/>
      <sheetName val="단가_및_재료비"/>
      <sheetName val="준검_내역서"/>
      <sheetName val="Sheet1_(2)"/>
      <sheetName val="토공산출_(아파트)"/>
      <sheetName val="1_설계조건"/>
      <sheetName val="Ⅶ-2_현장경비산출"/>
      <sheetName val="귀래_설계_공내역서"/>
      <sheetName val="자재_집계표"/>
      <sheetName val="5_일위목록"/>
      <sheetName val="7_단가조사"/>
      <sheetName val="6_일위대가"/>
      <sheetName val="E_P_T수량산출서"/>
      <sheetName val="전선_및_전선관"/>
      <sheetName val="GAS저장소"/>
      <sheetName val="라인마킹"/>
      <sheetName val="위험물저장소"/>
      <sheetName val="일반창고동"/>
      <sheetName val="가격비"/>
      <sheetName val="炷舅_XLS_데이타'!$E$124"/>
      <sheetName val="ls_노임"/>
      <sheetName val="炷舅_XLS"/>
      <sheetName val="설계가"/>
      <sheetName val="내역서01"/>
      <sheetName val="코드"/>
      <sheetName val="인건비"/>
      <sheetName val="11월"/>
      <sheetName val="단가비교"/>
      <sheetName val="JUCK"/>
      <sheetName val="평교-내역"/>
      <sheetName val="구조물공1(51~56)"/>
      <sheetName val="총괄"/>
      <sheetName val="Sheet6"/>
      <sheetName val="설계예시"/>
      <sheetName val="자재"/>
      <sheetName val="가스(내역)"/>
      <sheetName val="가로등"/>
      <sheetName val="시공"/>
      <sheetName val="위치조서"/>
      <sheetName val="전등설비"/>
      <sheetName val="평형별수량표"/>
      <sheetName val="가설개략"/>
      <sheetName val="을지"/>
      <sheetName val="평당"/>
      <sheetName val="매입세"/>
      <sheetName val="창호"/>
      <sheetName val="노무비단가"/>
      <sheetName val="자판실행"/>
      <sheetName val="PAINT"/>
      <sheetName val="참조(2)"/>
      <sheetName val="동력부하계산"/>
      <sheetName val="퍼스트"/>
      <sheetName val="cable-data"/>
      <sheetName val="품셈표"/>
      <sheetName val="정부노임단가"/>
      <sheetName val="계산내역(설비)"/>
      <sheetName val="근거(기밀댐퍼)"/>
      <sheetName val="실행철강하도"/>
      <sheetName val="01"/>
      <sheetName val="사전공사"/>
      <sheetName val="3.바닥판  "/>
      <sheetName val="제잡비"/>
      <sheetName val="토집"/>
    </sheetNames>
    <sheetDataSet>
      <sheetData sheetId="0"/>
      <sheetData sheetId="1"/>
      <sheetData sheetId="2"/>
      <sheetData sheetId="3" refreshError="1">
        <row r="5">
          <cell r="B5">
            <v>0.09</v>
          </cell>
        </row>
        <row r="18">
          <cell r="B18">
            <v>0.14000000000000001</v>
          </cell>
          <cell r="C18">
            <v>0.09</v>
          </cell>
        </row>
        <row r="19">
          <cell r="B19">
            <v>0.23</v>
          </cell>
          <cell r="C19">
            <v>0.14000000000000001</v>
          </cell>
        </row>
        <row r="20">
          <cell r="B20">
            <v>0.32</v>
          </cell>
          <cell r="C20">
            <v>0.19</v>
          </cell>
        </row>
        <row r="22">
          <cell r="B22">
            <v>0.5</v>
          </cell>
          <cell r="C22">
            <v>0.28999999999999998</v>
          </cell>
        </row>
        <row r="24">
          <cell r="B24">
            <v>0.68</v>
          </cell>
          <cell r="C24">
            <v>0.39</v>
          </cell>
        </row>
        <row r="48">
          <cell r="B48">
            <v>0.11</v>
          </cell>
          <cell r="C48">
            <v>7.0000000000000007E-2</v>
          </cell>
        </row>
        <row r="49">
          <cell r="B49">
            <v>0.17</v>
          </cell>
          <cell r="C49">
            <v>0.1</v>
          </cell>
        </row>
        <row r="50">
          <cell r="B50">
            <v>0.23</v>
          </cell>
          <cell r="C50">
            <v>0.14000000000000001</v>
          </cell>
        </row>
        <row r="51">
          <cell r="B51">
            <v>0.3</v>
          </cell>
          <cell r="C51">
            <v>0.18</v>
          </cell>
        </row>
        <row r="52">
          <cell r="B52">
            <v>0.37</v>
          </cell>
          <cell r="C52">
            <v>0.22</v>
          </cell>
        </row>
        <row r="54">
          <cell r="B54">
            <v>0.51</v>
          </cell>
          <cell r="C54">
            <v>0.3</v>
          </cell>
        </row>
        <row r="56">
          <cell r="B56">
            <v>0.65</v>
          </cell>
          <cell r="C56">
            <v>0.39</v>
          </cell>
        </row>
        <row r="59">
          <cell r="B59">
            <v>0.87</v>
          </cell>
          <cell r="C59">
            <v>0.52</v>
          </cell>
        </row>
      </sheetData>
      <sheetData sheetId="4"/>
      <sheetData sheetId="5" refreshError="1">
        <row r="2">
          <cell r="E2">
            <v>23200</v>
          </cell>
        </row>
        <row r="3">
          <cell r="E3">
            <v>44600</v>
          </cell>
        </row>
        <row r="4">
          <cell r="E4">
            <v>66500</v>
          </cell>
        </row>
        <row r="5">
          <cell r="E5">
            <v>123000</v>
          </cell>
        </row>
        <row r="6">
          <cell r="E6">
            <v>3600</v>
          </cell>
        </row>
        <row r="7">
          <cell r="E7">
            <v>6400</v>
          </cell>
        </row>
        <row r="8">
          <cell r="E8">
            <v>13000</v>
          </cell>
        </row>
        <row r="9">
          <cell r="E9">
            <v>22300</v>
          </cell>
        </row>
        <row r="10">
          <cell r="E10">
            <v>47700</v>
          </cell>
        </row>
        <row r="11">
          <cell r="E11">
            <v>203800</v>
          </cell>
        </row>
        <row r="12">
          <cell r="E12">
            <v>407710</v>
          </cell>
        </row>
        <row r="13">
          <cell r="E13">
            <v>815430</v>
          </cell>
        </row>
        <row r="14">
          <cell r="E14">
            <v>1630860</v>
          </cell>
        </row>
        <row r="15">
          <cell r="E15">
            <v>6100</v>
          </cell>
        </row>
        <row r="16">
          <cell r="E16">
            <v>9700</v>
          </cell>
        </row>
        <row r="17">
          <cell r="E17">
            <v>13500</v>
          </cell>
        </row>
        <row r="18">
          <cell r="E18">
            <v>20800</v>
          </cell>
        </row>
        <row r="19">
          <cell r="E19">
            <v>37500</v>
          </cell>
        </row>
        <row r="20">
          <cell r="E20">
            <v>18600</v>
          </cell>
        </row>
        <row r="21">
          <cell r="E21">
            <v>42000</v>
          </cell>
        </row>
        <row r="22">
          <cell r="E22">
            <v>41500</v>
          </cell>
        </row>
        <row r="23">
          <cell r="E23">
            <v>68250</v>
          </cell>
        </row>
        <row r="24">
          <cell r="E24">
            <v>76100</v>
          </cell>
        </row>
        <row r="25">
          <cell r="E25">
            <v>157500</v>
          </cell>
        </row>
        <row r="26">
          <cell r="E26">
            <v>127000</v>
          </cell>
        </row>
        <row r="27">
          <cell r="E27">
            <v>380</v>
          </cell>
        </row>
        <row r="28">
          <cell r="E28">
            <v>910</v>
          </cell>
        </row>
        <row r="29">
          <cell r="E29">
            <v>1400</v>
          </cell>
        </row>
        <row r="30">
          <cell r="E30">
            <v>3460</v>
          </cell>
        </row>
        <row r="31">
          <cell r="E31">
            <v>3100</v>
          </cell>
        </row>
        <row r="32">
          <cell r="E32">
            <v>5300</v>
          </cell>
        </row>
        <row r="33">
          <cell r="E33">
            <v>8500</v>
          </cell>
        </row>
        <row r="34">
          <cell r="E34">
            <v>23700</v>
          </cell>
        </row>
        <row r="35">
          <cell r="E35">
            <v>71170</v>
          </cell>
        </row>
        <row r="36">
          <cell r="E36">
            <v>4070</v>
          </cell>
        </row>
        <row r="37">
          <cell r="E37">
            <v>5100</v>
          </cell>
        </row>
        <row r="38">
          <cell r="E38">
            <v>10000</v>
          </cell>
        </row>
        <row r="39">
          <cell r="E39">
            <v>23500</v>
          </cell>
        </row>
        <row r="40">
          <cell r="E40">
            <v>45600</v>
          </cell>
        </row>
        <row r="42">
          <cell r="E42">
            <v>27000</v>
          </cell>
        </row>
        <row r="44">
          <cell r="E44">
            <v>2200</v>
          </cell>
        </row>
        <row r="45">
          <cell r="E45">
            <v>3200</v>
          </cell>
        </row>
        <row r="47">
          <cell r="E47">
            <v>22400</v>
          </cell>
        </row>
        <row r="48">
          <cell r="E48">
            <v>271810</v>
          </cell>
        </row>
        <row r="49">
          <cell r="E49">
            <v>327470</v>
          </cell>
        </row>
        <row r="50">
          <cell r="E50">
            <v>427240</v>
          </cell>
        </row>
        <row r="51">
          <cell r="E51">
            <v>1500</v>
          </cell>
        </row>
        <row r="52">
          <cell r="E52">
            <v>2200</v>
          </cell>
        </row>
        <row r="53">
          <cell r="E53">
            <v>5800</v>
          </cell>
        </row>
        <row r="54">
          <cell r="E54">
            <v>14000</v>
          </cell>
        </row>
        <row r="55">
          <cell r="E55">
            <v>20000</v>
          </cell>
        </row>
        <row r="56">
          <cell r="E56">
            <v>30100</v>
          </cell>
        </row>
        <row r="57">
          <cell r="E57">
            <v>45200</v>
          </cell>
        </row>
        <row r="58">
          <cell r="E58">
            <v>13500</v>
          </cell>
        </row>
        <row r="59">
          <cell r="E59">
            <v>25600</v>
          </cell>
        </row>
        <row r="60">
          <cell r="E60">
            <v>55600</v>
          </cell>
        </row>
        <row r="61">
          <cell r="E61">
            <v>13600</v>
          </cell>
        </row>
        <row r="62">
          <cell r="E62">
            <v>42500</v>
          </cell>
        </row>
        <row r="63">
          <cell r="E63">
            <v>50400</v>
          </cell>
        </row>
        <row r="64">
          <cell r="E64">
            <v>82000</v>
          </cell>
        </row>
        <row r="65">
          <cell r="E65">
            <v>18900</v>
          </cell>
        </row>
        <row r="66">
          <cell r="E66">
            <v>52600</v>
          </cell>
        </row>
        <row r="67">
          <cell r="E67">
            <v>98600</v>
          </cell>
        </row>
        <row r="68">
          <cell r="E68">
            <v>148200</v>
          </cell>
        </row>
        <row r="69">
          <cell r="E69">
            <v>48200</v>
          </cell>
        </row>
        <row r="70">
          <cell r="E70">
            <v>164700</v>
          </cell>
        </row>
        <row r="71">
          <cell r="E71">
            <v>294200</v>
          </cell>
        </row>
        <row r="72">
          <cell r="E72">
            <v>411900</v>
          </cell>
        </row>
        <row r="73">
          <cell r="E73">
            <v>258900</v>
          </cell>
        </row>
        <row r="74">
          <cell r="E74">
            <v>482500</v>
          </cell>
        </row>
        <row r="75">
          <cell r="E75">
            <v>765000</v>
          </cell>
        </row>
        <row r="76">
          <cell r="E76">
            <v>5800</v>
          </cell>
        </row>
        <row r="77">
          <cell r="E77">
            <v>12900</v>
          </cell>
        </row>
        <row r="78">
          <cell r="E78">
            <v>29400</v>
          </cell>
        </row>
        <row r="79">
          <cell r="E79">
            <v>52000</v>
          </cell>
        </row>
        <row r="80">
          <cell r="E80">
            <v>91700</v>
          </cell>
        </row>
        <row r="81">
          <cell r="E81">
            <v>12000</v>
          </cell>
        </row>
        <row r="82">
          <cell r="E82">
            <v>18600</v>
          </cell>
        </row>
        <row r="83">
          <cell r="E83">
            <v>33600</v>
          </cell>
        </row>
        <row r="84">
          <cell r="E84">
            <v>61800</v>
          </cell>
        </row>
        <row r="85">
          <cell r="E85">
            <v>244540</v>
          </cell>
        </row>
        <row r="86">
          <cell r="E86">
            <v>24800</v>
          </cell>
        </row>
        <row r="87">
          <cell r="E87">
            <v>36600</v>
          </cell>
        </row>
        <row r="88">
          <cell r="E88">
            <v>54300</v>
          </cell>
        </row>
        <row r="89">
          <cell r="E89">
            <v>85200</v>
          </cell>
        </row>
        <row r="90">
          <cell r="E90">
            <v>220600</v>
          </cell>
        </row>
        <row r="91">
          <cell r="E91">
            <v>367400</v>
          </cell>
        </row>
        <row r="92">
          <cell r="E92">
            <v>4600</v>
          </cell>
        </row>
        <row r="93">
          <cell r="E93">
            <v>7200</v>
          </cell>
        </row>
        <row r="94">
          <cell r="E94">
            <v>13200</v>
          </cell>
        </row>
        <row r="95">
          <cell r="E95">
            <v>30300</v>
          </cell>
        </row>
        <row r="96">
          <cell r="E96">
            <v>164700</v>
          </cell>
        </row>
        <row r="97">
          <cell r="E97">
            <v>12000</v>
          </cell>
        </row>
        <row r="98">
          <cell r="E98">
            <v>19600</v>
          </cell>
        </row>
        <row r="100">
          <cell r="E100">
            <v>64400</v>
          </cell>
        </row>
        <row r="101">
          <cell r="E101">
            <v>20100</v>
          </cell>
        </row>
        <row r="102">
          <cell r="E102">
            <v>30500</v>
          </cell>
        </row>
        <row r="103">
          <cell r="E103">
            <v>63000</v>
          </cell>
        </row>
        <row r="105">
          <cell r="E105">
            <v>173000</v>
          </cell>
        </row>
        <row r="106">
          <cell r="E106">
            <v>361000</v>
          </cell>
        </row>
        <row r="107">
          <cell r="E107">
            <v>476170</v>
          </cell>
        </row>
        <row r="108">
          <cell r="E108">
            <v>663000</v>
          </cell>
        </row>
        <row r="109">
          <cell r="E109">
            <v>998000</v>
          </cell>
        </row>
        <row r="110">
          <cell r="E110">
            <v>2224530</v>
          </cell>
        </row>
        <row r="111">
          <cell r="E111">
            <v>23600</v>
          </cell>
        </row>
        <row r="112">
          <cell r="E112">
            <v>72600</v>
          </cell>
        </row>
        <row r="113">
          <cell r="E113">
            <v>175300</v>
          </cell>
        </row>
        <row r="114">
          <cell r="E114">
            <v>600</v>
          </cell>
        </row>
        <row r="115">
          <cell r="E115">
            <v>29300</v>
          </cell>
        </row>
        <row r="116">
          <cell r="E116">
            <v>82300</v>
          </cell>
        </row>
        <row r="117">
          <cell r="E117">
            <v>120000</v>
          </cell>
        </row>
        <row r="118">
          <cell r="E118">
            <v>180000</v>
          </cell>
        </row>
        <row r="119">
          <cell r="E119">
            <v>8300</v>
          </cell>
        </row>
        <row r="120">
          <cell r="E120">
            <v>25200</v>
          </cell>
        </row>
        <row r="121">
          <cell r="E121">
            <v>25500</v>
          </cell>
        </row>
        <row r="122">
          <cell r="E122">
            <v>49100</v>
          </cell>
        </row>
        <row r="123">
          <cell r="E123">
            <v>81700</v>
          </cell>
        </row>
        <row r="124">
          <cell r="E124">
            <v>25100</v>
          </cell>
        </row>
        <row r="125">
          <cell r="E125">
            <v>40000</v>
          </cell>
        </row>
        <row r="126">
          <cell r="E126">
            <v>77200</v>
          </cell>
        </row>
        <row r="127">
          <cell r="E127">
            <v>136000</v>
          </cell>
        </row>
        <row r="128">
          <cell r="E128">
            <v>2600</v>
          </cell>
        </row>
        <row r="129">
          <cell r="E129">
            <v>8030</v>
          </cell>
        </row>
        <row r="130">
          <cell r="E130">
            <v>12650</v>
          </cell>
        </row>
        <row r="131">
          <cell r="E131">
            <v>10000</v>
          </cell>
        </row>
        <row r="132">
          <cell r="E132">
            <v>18000</v>
          </cell>
        </row>
        <row r="133">
          <cell r="E133">
            <v>36000</v>
          </cell>
        </row>
        <row r="134">
          <cell r="E134">
            <v>54700</v>
          </cell>
        </row>
        <row r="135">
          <cell r="E135">
            <v>97500</v>
          </cell>
        </row>
        <row r="136">
          <cell r="E136">
            <v>289060</v>
          </cell>
        </row>
        <row r="137">
          <cell r="E137">
            <v>12500</v>
          </cell>
        </row>
        <row r="138">
          <cell r="E138">
            <v>23600</v>
          </cell>
        </row>
        <row r="139">
          <cell r="E139">
            <v>43800</v>
          </cell>
        </row>
        <row r="140">
          <cell r="E140">
            <v>81100</v>
          </cell>
        </row>
        <row r="141">
          <cell r="E141">
            <v>2300</v>
          </cell>
        </row>
        <row r="142">
          <cell r="E142">
            <v>10500</v>
          </cell>
        </row>
        <row r="143">
          <cell r="E143">
            <v>16100</v>
          </cell>
        </row>
        <row r="144">
          <cell r="E144">
            <v>33500</v>
          </cell>
        </row>
        <row r="145">
          <cell r="E145">
            <v>4800</v>
          </cell>
        </row>
        <row r="146">
          <cell r="E146">
            <v>11200</v>
          </cell>
        </row>
        <row r="147">
          <cell r="E147">
            <v>21000</v>
          </cell>
        </row>
        <row r="148">
          <cell r="E148">
            <v>180000</v>
          </cell>
        </row>
        <row r="149">
          <cell r="E149">
            <v>308700</v>
          </cell>
        </row>
        <row r="150">
          <cell r="E150">
            <v>372960</v>
          </cell>
        </row>
        <row r="151">
          <cell r="E151">
            <v>406000</v>
          </cell>
        </row>
        <row r="152">
          <cell r="E152">
            <v>1662040</v>
          </cell>
        </row>
        <row r="153">
          <cell r="E153">
            <v>11000</v>
          </cell>
        </row>
        <row r="154">
          <cell r="E154">
            <v>23500</v>
          </cell>
        </row>
        <row r="155">
          <cell r="E155">
            <v>36700</v>
          </cell>
        </row>
        <row r="156">
          <cell r="E156">
            <v>7300</v>
          </cell>
        </row>
        <row r="157">
          <cell r="E157">
            <v>21900</v>
          </cell>
        </row>
        <row r="158">
          <cell r="E158">
            <v>61000</v>
          </cell>
        </row>
        <row r="159">
          <cell r="E159">
            <v>99900</v>
          </cell>
        </row>
        <row r="160">
          <cell r="E160">
            <v>14800</v>
          </cell>
        </row>
        <row r="161">
          <cell r="E161">
            <v>33100</v>
          </cell>
        </row>
        <row r="162">
          <cell r="E162">
            <v>131040</v>
          </cell>
        </row>
        <row r="163">
          <cell r="E163">
            <v>1300</v>
          </cell>
        </row>
        <row r="164">
          <cell r="E164">
            <v>2000</v>
          </cell>
        </row>
        <row r="165">
          <cell r="E165">
            <v>3900</v>
          </cell>
        </row>
        <row r="166">
          <cell r="E166">
            <v>2400</v>
          </cell>
        </row>
        <row r="168">
          <cell r="E168">
            <v>3670</v>
          </cell>
        </row>
        <row r="169">
          <cell r="E169">
            <v>8820</v>
          </cell>
        </row>
        <row r="170">
          <cell r="E170">
            <v>11760</v>
          </cell>
        </row>
        <row r="171">
          <cell r="E171">
            <v>10100</v>
          </cell>
        </row>
        <row r="172">
          <cell r="E172">
            <v>17100</v>
          </cell>
        </row>
        <row r="173">
          <cell r="E173">
            <v>31100</v>
          </cell>
        </row>
        <row r="174">
          <cell r="E174">
            <v>162500</v>
          </cell>
        </row>
        <row r="176">
          <cell r="E176">
            <v>21000</v>
          </cell>
        </row>
        <row r="177">
          <cell r="E177">
            <v>30100</v>
          </cell>
        </row>
        <row r="178">
          <cell r="E178">
            <v>98800</v>
          </cell>
        </row>
        <row r="179">
          <cell r="E179">
            <v>158000</v>
          </cell>
        </row>
        <row r="180">
          <cell r="E180">
            <v>202000</v>
          </cell>
        </row>
        <row r="183">
          <cell r="E183">
            <v>1300</v>
          </cell>
        </row>
        <row r="184">
          <cell r="E184">
            <v>2800</v>
          </cell>
        </row>
        <row r="185">
          <cell r="E185">
            <v>4000</v>
          </cell>
        </row>
        <row r="186">
          <cell r="E186">
            <v>10500</v>
          </cell>
        </row>
        <row r="187">
          <cell r="E187">
            <v>24700</v>
          </cell>
        </row>
        <row r="188">
          <cell r="E188">
            <v>50600</v>
          </cell>
        </row>
        <row r="189">
          <cell r="E189">
            <v>88000</v>
          </cell>
        </row>
        <row r="190">
          <cell r="E190">
            <v>176500</v>
          </cell>
        </row>
        <row r="191">
          <cell r="E191">
            <v>8100</v>
          </cell>
        </row>
        <row r="192">
          <cell r="E192">
            <v>10900</v>
          </cell>
        </row>
        <row r="193">
          <cell r="E193">
            <v>18600</v>
          </cell>
        </row>
        <row r="194">
          <cell r="E194">
            <v>76120</v>
          </cell>
        </row>
        <row r="195">
          <cell r="E195">
            <v>101000</v>
          </cell>
        </row>
        <row r="196">
          <cell r="E196">
            <v>149000</v>
          </cell>
        </row>
        <row r="197">
          <cell r="E197">
            <v>290000</v>
          </cell>
        </row>
        <row r="198">
          <cell r="E198">
            <v>466000</v>
          </cell>
        </row>
        <row r="199">
          <cell r="E199">
            <v>1544760</v>
          </cell>
        </row>
        <row r="200">
          <cell r="E200">
            <v>5600</v>
          </cell>
        </row>
        <row r="201">
          <cell r="E201">
            <v>17200</v>
          </cell>
        </row>
        <row r="202">
          <cell r="E202">
            <v>9200</v>
          </cell>
        </row>
        <row r="203">
          <cell r="E203">
            <v>18200</v>
          </cell>
        </row>
        <row r="204">
          <cell r="E204">
            <v>34700</v>
          </cell>
        </row>
        <row r="205">
          <cell r="E205">
            <v>65100</v>
          </cell>
        </row>
        <row r="206">
          <cell r="E206">
            <v>108000</v>
          </cell>
        </row>
        <row r="207">
          <cell r="E207">
            <v>150000</v>
          </cell>
        </row>
        <row r="210">
          <cell r="E210">
            <v>9500</v>
          </cell>
        </row>
        <row r="211">
          <cell r="E211">
            <v>16000</v>
          </cell>
        </row>
        <row r="212">
          <cell r="E212">
            <v>26400</v>
          </cell>
        </row>
        <row r="213">
          <cell r="E213">
            <v>47700</v>
          </cell>
        </row>
        <row r="214">
          <cell r="E214">
            <v>70600</v>
          </cell>
        </row>
        <row r="215">
          <cell r="E215">
            <v>154700</v>
          </cell>
        </row>
        <row r="216">
          <cell r="E216">
            <v>430</v>
          </cell>
        </row>
        <row r="217">
          <cell r="E217">
            <v>1100</v>
          </cell>
        </row>
        <row r="218">
          <cell r="E218">
            <v>1000</v>
          </cell>
        </row>
        <row r="219">
          <cell r="E219">
            <v>1500</v>
          </cell>
        </row>
        <row r="220">
          <cell r="E220">
            <v>4700</v>
          </cell>
        </row>
        <row r="221">
          <cell r="E221">
            <v>22300</v>
          </cell>
        </row>
        <row r="222">
          <cell r="E222">
            <v>36400</v>
          </cell>
        </row>
        <row r="223">
          <cell r="E223">
            <v>52900</v>
          </cell>
        </row>
        <row r="224">
          <cell r="E224">
            <v>4000</v>
          </cell>
        </row>
        <row r="225">
          <cell r="E225">
            <v>8200</v>
          </cell>
        </row>
        <row r="552">
          <cell r="E552">
            <v>48300</v>
          </cell>
        </row>
      </sheetData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가격비"/>
      <sheetName val="admin"/>
      <sheetName val="데이타"/>
      <sheetName val="식재인부"/>
      <sheetName val="controll"/>
      <sheetName val="법인세비용"/>
      <sheetName val="기초자료"/>
      <sheetName val="월간"/>
      <sheetName val="장기대여금명세서"/>
      <sheetName val="0.1keyAssumption"/>
      <sheetName val="0.0ControlSheet"/>
      <sheetName val="공사기성"/>
      <sheetName val="아파트진행률"/>
      <sheetName val="Income Statement(AR)"/>
      <sheetName val="1)기본서식"/>
      <sheetName val="현장관리비"/>
      <sheetName val="96제조"/>
      <sheetName val="보정사항"/>
      <sheetName val="6-3(2)호_"/>
      <sheetName val="0_1keyAssumption"/>
      <sheetName val="0_0ControlSheet"/>
      <sheetName val="Income_Statement(AR)"/>
      <sheetName val="Ctrl"/>
      <sheetName val="납부서"/>
      <sheetName val="●2005년평촌점"/>
      <sheetName val="내역"/>
      <sheetName val="과"/>
      <sheetName val="Menu_Link"/>
      <sheetName val="인원계획-미화"/>
      <sheetName val="해창정"/>
      <sheetName val="매입세안분"/>
      <sheetName val="laroux"/>
      <sheetName val="03.12월"/>
      <sheetName val="1월"/>
      <sheetName val="2월"/>
      <sheetName val="3월"/>
      <sheetName val="1기예정"/>
      <sheetName val="4월"/>
      <sheetName val="4월수정분"/>
      <sheetName val="5월"/>
      <sheetName val="6월"/>
      <sheetName val="1기확정"/>
      <sheetName val="반기명세서"/>
      <sheetName val="7월"/>
      <sheetName val="8월"/>
      <sheetName val="8월수정분"/>
      <sheetName val="9월"/>
      <sheetName val="2기예정"/>
      <sheetName val="중간감사"/>
      <sheetName val="10월"/>
      <sheetName val="11월"/>
      <sheetName val="12월"/>
      <sheetName val="2기확정"/>
      <sheetName val="요약BS"/>
      <sheetName val="교통대책내역"/>
      <sheetName val="건재양식"/>
      <sheetName val="금강투자2000"/>
      <sheetName val="코드"/>
      <sheetName val="감가상각"/>
      <sheetName val="리드14"/>
      <sheetName val="손익합산"/>
      <sheetName val="품종별월계"/>
      <sheetName val="IntercompanyAROct2001"/>
      <sheetName val="공사개요"/>
      <sheetName val="내역서"/>
      <sheetName val="총상담"/>
      <sheetName val="***********************00"/>
      <sheetName val="Purchase"/>
      <sheetName val="계정code"/>
      <sheetName val="3(б)호부표2"/>
      <sheetName val=" HIT-&gt;HMC 견적(3900)"/>
      <sheetName val="외주정비"/>
      <sheetName val="_HIT-&gt;HMC_견적(3900)"/>
      <sheetName val="Scenario"/>
      <sheetName val="98지급계획"/>
      <sheetName val="T48a"/>
      <sheetName val="자재단가비교표"/>
      <sheetName val="총원"/>
      <sheetName val="BS(5월-경리과)"/>
      <sheetName val="품셈TABLE"/>
      <sheetName val="수익성분석"/>
      <sheetName val="완성차 미수금"/>
      <sheetName val="이자율"/>
      <sheetName val="손익계산서"/>
      <sheetName val="이익잉여금처분계산서"/>
      <sheetName val="제조원가명세서"/>
      <sheetName val="현금흐름표"/>
      <sheetName val="1.외주공사"/>
      <sheetName val="2.직영공사"/>
      <sheetName val="일위대가"/>
      <sheetName val="3(1)호(을倩"/>
      <sheetName val="3(1氩호부표2"/>
      <sheetName val="분양금할인"/>
      <sheetName val="개요"/>
      <sheetName val="시화점실행"/>
      <sheetName val="안산2전년대비"/>
      <sheetName val="실행철강하도"/>
      <sheetName val="노무비"/>
      <sheetName val="3본사"/>
      <sheetName val="8S발주관리대장"/>
      <sheetName val="별제권_정리담보권"/>
      <sheetName val="인건비"/>
      <sheetName val="기초일위"/>
      <sheetName val="시설일위"/>
      <sheetName val="조명일위"/>
      <sheetName val="수목표준대가"/>
      <sheetName val="ITINERARY"/>
      <sheetName val="법인별요약"/>
      <sheetName val="대차대조표"/>
      <sheetName val="산출내역(공장)"/>
      <sheetName val="재무가정"/>
      <sheetName val="_______________________00"/>
      <sheetName val="갑지1"/>
      <sheetName val="원가서"/>
      <sheetName val="원가계산서"/>
      <sheetName val="00매출"/>
      <sheetName val="첨부1"/>
      <sheetName val="영업외손익등"/>
      <sheetName val="현금"/>
      <sheetName val="산출내역서"/>
      <sheetName val="MAIN_TABLE"/>
      <sheetName val="참고"/>
      <sheetName val="계수원본(99.2.28)"/>
      <sheetName val="가정"/>
      <sheetName val="월별"/>
      <sheetName val="대차"/>
      <sheetName val="03_12월"/>
      <sheetName val="계수원본(99_2_28)"/>
      <sheetName val="①매출"/>
      <sheetName val="환산매출"/>
      <sheetName val="노임"/>
      <sheetName val="목표"/>
      <sheetName val="4000매입채무"/>
      <sheetName val="유니트입출고내역"/>
      <sheetName val="간접비계산"/>
      <sheetName val="syte_curr"/>
      <sheetName val="syte_prior"/>
      <sheetName val="QUALITY COST"/>
      <sheetName val="외화금융(97-03)"/>
      <sheetName val="6호첨부 (2)"/>
      <sheetName val="6-3(4)호"/>
      <sheetName val="6-4호(갑)"/>
      <sheetName val="6-4호(을)"/>
      <sheetName val="신우"/>
      <sheetName val="정의"/>
      <sheetName val="Assumption"/>
      <sheetName val="CF_RE type"/>
      <sheetName val="단"/>
      <sheetName val="재고기준"/>
      <sheetName val="기본사항"/>
      <sheetName val="1.지급어음"/>
      <sheetName val="Data"/>
      <sheetName val="울산"/>
      <sheetName val="연불채권"/>
      <sheetName val="APT"/>
      <sheetName val=""/>
      <sheetName val="연습"/>
      <sheetName val="추가예산"/>
      <sheetName val="생산현황"/>
      <sheetName val="Summary"/>
      <sheetName val="2공구산출내역"/>
      <sheetName val="99년신청"/>
      <sheetName val="원도급내역"/>
      <sheetName val="Macro1"/>
      <sheetName val="Macro(MCC)"/>
      <sheetName val="페이지전경"/>
      <sheetName val="1페이지보고"/>
      <sheetName val="청과"/>
      <sheetName val="기타코드"/>
      <sheetName val="Variable"/>
      <sheetName val="TLCF"/>
      <sheetName val="지점분석00"/>
      <sheetName val="TNC(1안)"/>
      <sheetName val="미수금GL"/>
      <sheetName val="Assumptions"/>
      <sheetName val="Cash Flow"/>
      <sheetName val="이자율별 차입금 적수"/>
      <sheetName val="내역표지"/>
      <sheetName val="자재,노무CODE"/>
      <sheetName val="Batch Header"/>
      <sheetName val="OF_Export"/>
      <sheetName val="Sales_Base"/>
      <sheetName val="선급비용"/>
      <sheetName val="기존단가 (2)"/>
      <sheetName val="외화평가"/>
      <sheetName val="외화가수금"/>
      <sheetName val="S1.1총괄"/>
      <sheetName val="낙찰표"/>
      <sheetName val="견적서"/>
      <sheetName val="대치판정"/>
      <sheetName val="횡배수관토공수량"/>
      <sheetName val="F1,2"/>
      <sheetName val="F45"/>
      <sheetName val="XREF"/>
      <sheetName val="F3"/>
      <sheetName val="4월정산액"/>
      <sheetName val="요약"/>
      <sheetName val="2003년운영"/>
      <sheetName val="조회서"/>
      <sheetName val="#REF"/>
      <sheetName val="적송(11)"/>
      <sheetName val="정산표"/>
      <sheetName val="제출용BS(한일+할부)"/>
      <sheetName val="등록현황"/>
      <sheetName val="공통가설"/>
      <sheetName val=" 견적서"/>
      <sheetName val="95WBS"/>
      <sheetName val="본사인상전"/>
      <sheetName val="실적"/>
      <sheetName val="분당임차변경"/>
      <sheetName val="서식시트"/>
      <sheetName val="단가"/>
      <sheetName val="동양1월"/>
      <sheetName val="재공품"/>
      <sheetName val="건축집계"/>
      <sheetName val="Sheet2 (2)"/>
      <sheetName val="품의서취합"/>
      <sheetName val="자금소요 및 수입"/>
      <sheetName val="토공사"/>
      <sheetName val="부대공Ⅱ"/>
      <sheetName val="교수설계"/>
      <sheetName val="대손영업소(완)"/>
      <sheetName val="SIL98"/>
      <sheetName val="주소"/>
      <sheetName val="Price tracker"/>
      <sheetName val="대구파크쿨링타워"/>
      <sheetName val="월별관리"/>
      <sheetName val="단면치수"/>
      <sheetName val="은행"/>
      <sheetName val="장할생활 (2)"/>
      <sheetName val="수정시산표"/>
      <sheetName val="수불부"/>
      <sheetName val="조견표"/>
      <sheetName val="월별손익"/>
      <sheetName val="본사"/>
      <sheetName val="공장"/>
      <sheetName val="VXXXXXX"/>
      <sheetName val="월할경비"/>
      <sheetName val="부도어음관리현황1"/>
      <sheetName val="퇴직급여충당금명세서"/>
      <sheetName val="건설중인자산(기타)"/>
      <sheetName val="Dpet"/>
      <sheetName val="HC Net%"/>
      <sheetName val="B2B Net%"/>
      <sheetName val="eMARKET Net%"/>
      <sheetName val="1"/>
      <sheetName val="2"/>
      <sheetName val="3"/>
      <sheetName val="신공항A-9(원가수정)"/>
      <sheetName val="여과지동"/>
      <sheetName val="간접"/>
      <sheetName val="집계표"/>
      <sheetName val="6-3(2)호_1"/>
      <sheetName val="매출액월별가중치"/>
      <sheetName val="중국_매출액월별가중치"/>
      <sheetName val="설계내역서"/>
      <sheetName val="계획"/>
      <sheetName val="전년"/>
      <sheetName val="0_1keyAssumption1"/>
      <sheetName val="0_0ControlSheet1"/>
      <sheetName val="Income_Statement(AR)1"/>
      <sheetName val="1_외주공사"/>
      <sheetName val="2_직영공사"/>
      <sheetName val="완성차_미수금"/>
      <sheetName val="QUALITY_COST"/>
      <sheetName val="_HIT-&gt;HMC_견적(3900)1"/>
      <sheetName val="03_12월1"/>
      <sheetName val="계수원본(99_2_28)1"/>
      <sheetName val="CF_RE_type"/>
      <sheetName val="par-bs(2)"/>
      <sheetName val="par-pl(2)"/>
      <sheetName val="입력"/>
      <sheetName val="원가계산(2)"/>
      <sheetName val="10.예산 및 원가 계획(02년)"/>
      <sheetName val="9-1차이내역"/>
      <sheetName val="BJJIN"/>
      <sheetName val="2001Act-Y"/>
      <sheetName val="6호첨부_(2)"/>
      <sheetName val="별제권_정리담보권1"/>
      <sheetName val="경영계획"/>
      <sheetName val="금액집계(리포트)"/>
      <sheetName val="현금예금명세서"/>
      <sheetName val="设备部房屋"/>
      <sheetName val="Cash_Flow"/>
      <sheetName val="장할생활_(2)"/>
      <sheetName val="이자율별_차입금_적수"/>
      <sheetName val="1_지급어음"/>
    </sheetNames>
    <sheetDataSet>
      <sheetData sheetId="0" refreshError="1">
        <row r="6">
          <cell r="C6" t="str">
            <v>시대종합건설㈜</v>
          </cell>
        </row>
        <row r="7">
          <cell r="C7" t="str">
            <v>장하림.이종선</v>
          </cell>
        </row>
        <row r="8">
          <cell r="C8" t="str">
            <v>114-81-33298</v>
          </cell>
        </row>
        <row r="9">
          <cell r="C9" t="str">
            <v>110111-0369870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Sheet3"/>
      <sheetName val="그래프"/>
      <sheetName val="데이터"/>
      <sheetName val="Sheet2"/>
      <sheetName val="Sheet1"/>
    </sheetNames>
    <sheetDataSet>
      <sheetData sheetId="0"/>
      <sheetData sheetId="1"/>
      <sheetData sheetId="2"/>
      <sheetData sheetId="3">
        <row r="10">
          <cell r="C10" t="str">
            <v>구분</v>
          </cell>
          <cell r="D10" t="str">
            <v>니트셔츠</v>
          </cell>
          <cell r="E10" t="str">
            <v>우븐셔츠</v>
          </cell>
          <cell r="F10" t="str">
            <v>스웨터</v>
          </cell>
          <cell r="G10" t="str">
            <v>바지</v>
          </cell>
          <cell r="H10" t="str">
            <v>점퍼/토퍼</v>
          </cell>
          <cell r="I10" t="str">
            <v>자켓</v>
          </cell>
          <cell r="J10" t="str">
            <v>코트</v>
          </cell>
          <cell r="K10" t="str">
            <v>변형 자켓</v>
          </cell>
          <cell r="L10" t="str">
            <v>계</v>
          </cell>
        </row>
        <row r="11">
          <cell r="C11" t="str">
            <v>겨울 판매</v>
          </cell>
          <cell r="E11">
            <v>1463</v>
          </cell>
          <cell r="F11">
            <v>2414</v>
          </cell>
          <cell r="G11">
            <v>1176</v>
          </cell>
          <cell r="H11">
            <v>264</v>
          </cell>
          <cell r="I11">
            <v>2046</v>
          </cell>
          <cell r="J11">
            <v>336</v>
          </cell>
          <cell r="K11">
            <v>195</v>
          </cell>
          <cell r="L11">
            <v>7894</v>
          </cell>
        </row>
        <row r="12">
          <cell r="C12" t="str">
            <v>가을 판매</v>
          </cell>
          <cell r="D12">
            <v>2850</v>
          </cell>
          <cell r="E12">
            <v>1488</v>
          </cell>
          <cell r="F12">
            <v>2965</v>
          </cell>
          <cell r="G12">
            <v>4647</v>
          </cell>
          <cell r="H12">
            <v>663</v>
          </cell>
          <cell r="I12">
            <v>2185</v>
          </cell>
          <cell r="J12">
            <v>258</v>
          </cell>
          <cell r="K12">
            <v>731</v>
          </cell>
          <cell r="L12">
            <v>15787</v>
          </cell>
        </row>
        <row r="13">
          <cell r="C13" t="str">
            <v>판매 계</v>
          </cell>
          <cell r="D13">
            <v>2850</v>
          </cell>
          <cell r="E13">
            <v>2951</v>
          </cell>
          <cell r="F13">
            <v>5379</v>
          </cell>
          <cell r="G13">
            <v>5823</v>
          </cell>
          <cell r="H13">
            <v>927</v>
          </cell>
          <cell r="I13">
            <v>4231</v>
          </cell>
          <cell r="J13">
            <v>594</v>
          </cell>
          <cell r="K13">
            <v>926</v>
          </cell>
          <cell r="L13">
            <v>23681</v>
          </cell>
        </row>
        <row r="14">
          <cell r="C14" t="str">
            <v>겨울 생산</v>
          </cell>
          <cell r="D14">
            <v>0</v>
          </cell>
          <cell r="E14">
            <v>6378</v>
          </cell>
          <cell r="F14">
            <v>26047</v>
          </cell>
          <cell r="G14">
            <v>26579</v>
          </cell>
          <cell r="H14">
            <v>9149</v>
          </cell>
          <cell r="I14">
            <v>6826</v>
          </cell>
          <cell r="J14">
            <v>9728</v>
          </cell>
          <cell r="K14">
            <v>7791</v>
          </cell>
          <cell r="L14">
            <v>92498</v>
          </cell>
        </row>
        <row r="15">
          <cell r="C15" t="str">
            <v>가을 생산</v>
          </cell>
          <cell r="D15">
            <v>12528</v>
          </cell>
          <cell r="E15">
            <v>10952</v>
          </cell>
          <cell r="F15">
            <v>27563</v>
          </cell>
          <cell r="G15">
            <v>25857</v>
          </cell>
          <cell r="H15">
            <v>3340</v>
          </cell>
          <cell r="I15">
            <v>8611</v>
          </cell>
          <cell r="J15">
            <v>841</v>
          </cell>
          <cell r="K15">
            <v>2698</v>
          </cell>
          <cell r="L15">
            <v>92390</v>
          </cell>
        </row>
        <row r="16">
          <cell r="C16" t="str">
            <v>생산 계</v>
          </cell>
          <cell r="D16">
            <v>12528</v>
          </cell>
          <cell r="E16">
            <v>17330</v>
          </cell>
          <cell r="F16">
            <v>53610</v>
          </cell>
          <cell r="G16">
            <v>52436</v>
          </cell>
          <cell r="H16">
            <v>12489</v>
          </cell>
          <cell r="I16">
            <v>15437</v>
          </cell>
          <cell r="J16">
            <v>10569</v>
          </cell>
          <cell r="K16">
            <v>10489</v>
          </cell>
          <cell r="L16">
            <v>184888</v>
          </cell>
        </row>
        <row r="17">
          <cell r="C17" t="str">
            <v>구분</v>
          </cell>
          <cell r="D17" t="str">
            <v>니트셔츠</v>
          </cell>
          <cell r="E17" t="str">
            <v>우븐셔츠</v>
          </cell>
          <cell r="F17" t="str">
            <v>스웨터</v>
          </cell>
          <cell r="G17" t="str">
            <v>바지</v>
          </cell>
          <cell r="H17" t="str">
            <v>점퍼/토퍼</v>
          </cell>
          <cell r="I17" t="str">
            <v>자켓</v>
          </cell>
          <cell r="J17" t="str">
            <v>코트</v>
          </cell>
          <cell r="K17" t="str">
            <v>변형 자켓</v>
          </cell>
          <cell r="L17" t="str">
            <v>계</v>
          </cell>
        </row>
        <row r="18">
          <cell r="C18" t="str">
            <v>겨울 판매</v>
          </cell>
          <cell r="E18">
            <v>973</v>
          </cell>
          <cell r="F18">
            <v>4942</v>
          </cell>
          <cell r="G18">
            <v>4014</v>
          </cell>
          <cell r="H18">
            <v>1038</v>
          </cell>
          <cell r="I18">
            <v>1418</v>
          </cell>
          <cell r="J18">
            <v>2164</v>
          </cell>
          <cell r="K18">
            <v>1280</v>
          </cell>
          <cell r="L18">
            <v>15829</v>
          </cell>
        </row>
        <row r="19">
          <cell r="C19" t="str">
            <v>가을 판매</v>
          </cell>
          <cell r="D19">
            <v>995</v>
          </cell>
          <cell r="E19">
            <v>553</v>
          </cell>
          <cell r="F19">
            <v>2702</v>
          </cell>
          <cell r="G19">
            <v>1735</v>
          </cell>
          <cell r="H19">
            <v>120</v>
          </cell>
          <cell r="I19">
            <v>826</v>
          </cell>
          <cell r="J19">
            <v>78</v>
          </cell>
          <cell r="K19">
            <v>133</v>
          </cell>
          <cell r="L19">
            <v>7142</v>
          </cell>
        </row>
        <row r="20">
          <cell r="C20" t="str">
            <v>판매 계</v>
          </cell>
          <cell r="D20">
            <v>995</v>
          </cell>
          <cell r="E20">
            <v>1526</v>
          </cell>
          <cell r="F20">
            <v>7644</v>
          </cell>
          <cell r="G20">
            <v>5749</v>
          </cell>
          <cell r="H20">
            <v>1158</v>
          </cell>
          <cell r="I20">
            <v>2244</v>
          </cell>
          <cell r="J20">
            <v>2242</v>
          </cell>
          <cell r="K20">
            <v>1413</v>
          </cell>
          <cell r="L20">
            <v>22971</v>
          </cell>
        </row>
        <row r="21">
          <cell r="C21" t="str">
            <v>겨울 생산</v>
          </cell>
          <cell r="D21">
            <v>0</v>
          </cell>
          <cell r="E21">
            <v>6378</v>
          </cell>
          <cell r="F21">
            <v>26047</v>
          </cell>
          <cell r="G21">
            <v>26579</v>
          </cell>
          <cell r="H21">
            <v>9149</v>
          </cell>
          <cell r="I21">
            <v>6826</v>
          </cell>
          <cell r="J21">
            <v>9728</v>
          </cell>
          <cell r="K21">
            <v>7791</v>
          </cell>
          <cell r="L21">
            <v>92498</v>
          </cell>
        </row>
        <row r="22">
          <cell r="C22" t="str">
            <v>가을 생산</v>
          </cell>
          <cell r="D22">
            <v>12528</v>
          </cell>
          <cell r="E22">
            <v>10952</v>
          </cell>
          <cell r="F22">
            <v>27563</v>
          </cell>
          <cell r="G22">
            <v>25857</v>
          </cell>
          <cell r="H22">
            <v>3340</v>
          </cell>
          <cell r="I22">
            <v>8611</v>
          </cell>
          <cell r="J22">
            <v>841</v>
          </cell>
          <cell r="K22">
            <v>2698</v>
          </cell>
          <cell r="L22">
            <v>92390</v>
          </cell>
        </row>
        <row r="23">
          <cell r="C23" t="str">
            <v>생산 계</v>
          </cell>
          <cell r="D23">
            <v>12528</v>
          </cell>
          <cell r="E23">
            <v>17330</v>
          </cell>
          <cell r="F23">
            <v>53610</v>
          </cell>
          <cell r="G23">
            <v>52436</v>
          </cell>
          <cell r="H23">
            <v>12489</v>
          </cell>
          <cell r="I23">
            <v>15437</v>
          </cell>
          <cell r="J23">
            <v>10569</v>
          </cell>
          <cell r="K23">
            <v>10489</v>
          </cell>
          <cell r="L23">
            <v>184888</v>
          </cell>
        </row>
        <row r="24">
          <cell r="C24" t="str">
            <v>구분</v>
          </cell>
          <cell r="D24" t="str">
            <v>니트셔츠</v>
          </cell>
          <cell r="E24" t="str">
            <v>우븐셔츠</v>
          </cell>
          <cell r="F24" t="str">
            <v>스웨터</v>
          </cell>
          <cell r="G24" t="str">
            <v>바지</v>
          </cell>
          <cell r="H24" t="str">
            <v>점퍼/토퍼</v>
          </cell>
          <cell r="I24" t="str">
            <v>자켓</v>
          </cell>
          <cell r="J24" t="str">
            <v>코트</v>
          </cell>
          <cell r="K24" t="str">
            <v>변형 자켓</v>
          </cell>
          <cell r="L24" t="str">
            <v>계</v>
          </cell>
        </row>
        <row r="25">
          <cell r="C25" t="str">
            <v>겨울 판매</v>
          </cell>
          <cell r="E25">
            <v>533</v>
          </cell>
          <cell r="F25">
            <v>5452</v>
          </cell>
          <cell r="G25">
            <v>4867</v>
          </cell>
          <cell r="H25">
            <v>2039</v>
          </cell>
          <cell r="I25">
            <v>628</v>
          </cell>
          <cell r="J25">
            <v>2459</v>
          </cell>
          <cell r="K25">
            <v>1124</v>
          </cell>
          <cell r="L25">
            <v>17102</v>
          </cell>
        </row>
        <row r="26">
          <cell r="C26" t="str">
            <v>가을 판매</v>
          </cell>
          <cell r="D26">
            <v>497</v>
          </cell>
          <cell r="E26">
            <v>372</v>
          </cell>
          <cell r="F26">
            <v>2161</v>
          </cell>
          <cell r="G26">
            <v>733</v>
          </cell>
          <cell r="H26">
            <v>34</v>
          </cell>
          <cell r="I26">
            <v>87</v>
          </cell>
          <cell r="J26">
            <v>9</v>
          </cell>
          <cell r="K26">
            <v>2</v>
          </cell>
          <cell r="L26">
            <v>3895</v>
          </cell>
        </row>
        <row r="27">
          <cell r="C27" t="str">
            <v>판매 계</v>
          </cell>
          <cell r="D27">
            <v>497</v>
          </cell>
          <cell r="E27">
            <v>905</v>
          </cell>
          <cell r="F27">
            <v>7613</v>
          </cell>
          <cell r="G27">
            <v>5600</v>
          </cell>
          <cell r="H27">
            <v>2073</v>
          </cell>
          <cell r="I27">
            <v>715</v>
          </cell>
          <cell r="J27">
            <v>2468</v>
          </cell>
          <cell r="K27">
            <v>1126</v>
          </cell>
          <cell r="L27">
            <v>20997</v>
          </cell>
        </row>
        <row r="28">
          <cell r="C28" t="str">
            <v>겨울 생산</v>
          </cell>
          <cell r="D28">
            <v>0</v>
          </cell>
          <cell r="E28">
            <v>6378</v>
          </cell>
          <cell r="F28">
            <v>26047</v>
          </cell>
          <cell r="G28">
            <v>26579</v>
          </cell>
          <cell r="H28">
            <v>9149</v>
          </cell>
          <cell r="I28">
            <v>6826</v>
          </cell>
          <cell r="J28">
            <v>9728</v>
          </cell>
          <cell r="K28">
            <v>7791</v>
          </cell>
          <cell r="L28">
            <v>92498</v>
          </cell>
        </row>
        <row r="29">
          <cell r="C29" t="str">
            <v>가을 생산</v>
          </cell>
          <cell r="D29">
            <v>12528</v>
          </cell>
          <cell r="E29">
            <v>10952</v>
          </cell>
          <cell r="F29">
            <v>27563</v>
          </cell>
          <cell r="G29">
            <v>25857</v>
          </cell>
          <cell r="H29">
            <v>3340</v>
          </cell>
          <cell r="I29">
            <v>8611</v>
          </cell>
          <cell r="J29">
            <v>841</v>
          </cell>
          <cell r="K29">
            <v>2698</v>
          </cell>
          <cell r="L29">
            <v>92390</v>
          </cell>
        </row>
        <row r="30">
          <cell r="C30" t="str">
            <v>생산 계</v>
          </cell>
          <cell r="D30">
            <v>12528</v>
          </cell>
          <cell r="E30">
            <v>17330</v>
          </cell>
          <cell r="F30">
            <v>53610</v>
          </cell>
          <cell r="G30">
            <v>52436</v>
          </cell>
          <cell r="H30">
            <v>12489</v>
          </cell>
          <cell r="I30">
            <v>15437</v>
          </cell>
          <cell r="J30">
            <v>10569</v>
          </cell>
          <cell r="K30">
            <v>10489</v>
          </cell>
          <cell r="L30">
            <v>184888</v>
          </cell>
        </row>
        <row r="31">
          <cell r="C31" t="str">
            <v>구분</v>
          </cell>
          <cell r="D31" t="str">
            <v>니트셔츠</v>
          </cell>
          <cell r="E31" t="str">
            <v>우븐셔츠</v>
          </cell>
          <cell r="F31" t="str">
            <v>스웨터</v>
          </cell>
          <cell r="G31" t="str">
            <v>바지</v>
          </cell>
          <cell r="H31" t="str">
            <v>점퍼/토퍼</v>
          </cell>
          <cell r="I31" t="str">
            <v>자켓</v>
          </cell>
          <cell r="J31" t="str">
            <v>코트</v>
          </cell>
          <cell r="K31" t="str">
            <v>변형 자켓</v>
          </cell>
          <cell r="L31" t="str">
            <v>계</v>
          </cell>
        </row>
        <row r="32">
          <cell r="C32" t="str">
            <v>겨울 판매</v>
          </cell>
          <cell r="E32">
            <v>300</v>
          </cell>
          <cell r="F32">
            <v>3200</v>
          </cell>
          <cell r="G32">
            <v>2529</v>
          </cell>
          <cell r="H32">
            <v>1165</v>
          </cell>
          <cell r="I32">
            <v>514</v>
          </cell>
          <cell r="J32">
            <v>1353</v>
          </cell>
          <cell r="K32">
            <v>910</v>
          </cell>
          <cell r="L32">
            <v>9971</v>
          </cell>
        </row>
        <row r="33">
          <cell r="C33" t="str">
            <v>가을 판매</v>
          </cell>
          <cell r="D33">
            <v>319</v>
          </cell>
          <cell r="E33">
            <v>221</v>
          </cell>
          <cell r="F33">
            <v>1478</v>
          </cell>
          <cell r="G33">
            <v>605</v>
          </cell>
          <cell r="H33">
            <v>21</v>
          </cell>
          <cell r="I33">
            <v>111</v>
          </cell>
          <cell r="J33">
            <v>3</v>
          </cell>
          <cell r="K33">
            <v>21</v>
          </cell>
          <cell r="L33">
            <v>2779</v>
          </cell>
        </row>
        <row r="34">
          <cell r="C34" t="str">
            <v>판매 계</v>
          </cell>
          <cell r="D34">
            <v>319</v>
          </cell>
          <cell r="E34">
            <v>521</v>
          </cell>
          <cell r="F34">
            <v>4678</v>
          </cell>
          <cell r="G34">
            <v>3134</v>
          </cell>
          <cell r="H34">
            <v>1186</v>
          </cell>
          <cell r="I34">
            <v>625</v>
          </cell>
          <cell r="J34">
            <v>1356</v>
          </cell>
          <cell r="K34">
            <v>931</v>
          </cell>
          <cell r="L34">
            <v>12750</v>
          </cell>
        </row>
        <row r="35">
          <cell r="C35" t="str">
            <v>겨울 생산</v>
          </cell>
          <cell r="D35">
            <v>0</v>
          </cell>
          <cell r="E35">
            <v>6378</v>
          </cell>
          <cell r="F35">
            <v>26047</v>
          </cell>
          <cell r="G35">
            <v>26579</v>
          </cell>
          <cell r="H35">
            <v>9149</v>
          </cell>
          <cell r="I35">
            <v>6826</v>
          </cell>
          <cell r="J35">
            <v>9728</v>
          </cell>
          <cell r="K35">
            <v>7791</v>
          </cell>
          <cell r="L35">
            <v>92498</v>
          </cell>
        </row>
        <row r="36">
          <cell r="C36" t="str">
            <v>가을 생산</v>
          </cell>
          <cell r="D36">
            <v>12528</v>
          </cell>
          <cell r="E36">
            <v>10952</v>
          </cell>
          <cell r="F36">
            <v>27563</v>
          </cell>
          <cell r="G36">
            <v>25857</v>
          </cell>
          <cell r="H36">
            <v>3340</v>
          </cell>
          <cell r="I36">
            <v>8611</v>
          </cell>
          <cell r="J36">
            <v>841</v>
          </cell>
          <cell r="K36">
            <v>2698</v>
          </cell>
          <cell r="L36">
            <v>92390</v>
          </cell>
        </row>
        <row r="37">
          <cell r="C37" t="str">
            <v>생산 계</v>
          </cell>
          <cell r="D37">
            <v>12528</v>
          </cell>
          <cell r="E37">
            <v>17330</v>
          </cell>
          <cell r="F37">
            <v>53610</v>
          </cell>
          <cell r="G37">
            <v>52436</v>
          </cell>
          <cell r="H37">
            <v>12489</v>
          </cell>
          <cell r="I37">
            <v>15437</v>
          </cell>
          <cell r="J37">
            <v>10569</v>
          </cell>
          <cell r="K37">
            <v>10489</v>
          </cell>
          <cell r="L37">
            <v>184888</v>
          </cell>
        </row>
        <row r="38">
          <cell r="C38" t="str">
            <v>구분</v>
          </cell>
          <cell r="D38" t="str">
            <v>니트셔츠</v>
          </cell>
          <cell r="E38" t="str">
            <v>우븐셔츠</v>
          </cell>
          <cell r="F38" t="str">
            <v>스웨터</v>
          </cell>
          <cell r="G38" t="str">
            <v>바지</v>
          </cell>
          <cell r="H38" t="str">
            <v>점퍼/토퍼</v>
          </cell>
          <cell r="I38" t="str">
            <v>자켓</v>
          </cell>
          <cell r="J38" t="str">
            <v>코트</v>
          </cell>
          <cell r="K38" t="str">
            <v>변형 자켓</v>
          </cell>
          <cell r="L38" t="str">
            <v>계</v>
          </cell>
        </row>
        <row r="39">
          <cell r="C39" t="str">
            <v>겨울 판매</v>
          </cell>
          <cell r="E39">
            <v>195</v>
          </cell>
          <cell r="F39">
            <v>2167</v>
          </cell>
          <cell r="G39">
            <v>1117</v>
          </cell>
          <cell r="H39">
            <v>460</v>
          </cell>
          <cell r="I39">
            <v>323</v>
          </cell>
          <cell r="J39">
            <v>900</v>
          </cell>
          <cell r="K39">
            <v>800</v>
          </cell>
          <cell r="L39">
            <v>5962</v>
          </cell>
        </row>
        <row r="40">
          <cell r="C40" t="str">
            <v>가을 판매</v>
          </cell>
          <cell r="D40">
            <v>250</v>
          </cell>
          <cell r="E40">
            <v>200</v>
          </cell>
          <cell r="F40">
            <v>1400</v>
          </cell>
          <cell r="G40">
            <v>800</v>
          </cell>
          <cell r="H40">
            <v>50</v>
          </cell>
          <cell r="I40">
            <v>200</v>
          </cell>
          <cell r="J40">
            <v>105</v>
          </cell>
          <cell r="K40">
            <v>140</v>
          </cell>
          <cell r="L40">
            <v>3145</v>
          </cell>
        </row>
        <row r="41">
          <cell r="C41" t="str">
            <v>판매 계</v>
          </cell>
          <cell r="D41">
            <v>250</v>
          </cell>
          <cell r="E41">
            <v>395</v>
          </cell>
          <cell r="F41">
            <v>3567</v>
          </cell>
          <cell r="G41">
            <v>1917</v>
          </cell>
          <cell r="H41">
            <v>510</v>
          </cell>
          <cell r="I41">
            <v>523</v>
          </cell>
          <cell r="J41">
            <v>1005</v>
          </cell>
          <cell r="K41">
            <v>940</v>
          </cell>
          <cell r="L41">
            <v>9107</v>
          </cell>
        </row>
        <row r="42">
          <cell r="C42" t="str">
            <v>겨울 생산</v>
          </cell>
          <cell r="E42">
            <v>6378</v>
          </cell>
          <cell r="F42">
            <v>26047</v>
          </cell>
          <cell r="G42">
            <v>26579</v>
          </cell>
          <cell r="H42">
            <v>9149</v>
          </cell>
          <cell r="I42">
            <v>6826</v>
          </cell>
          <cell r="J42">
            <v>9728</v>
          </cell>
          <cell r="K42">
            <v>7791</v>
          </cell>
          <cell r="L42">
            <v>92498</v>
          </cell>
        </row>
        <row r="43">
          <cell r="C43" t="str">
            <v>가을 생산</v>
          </cell>
          <cell r="D43">
            <v>12528</v>
          </cell>
          <cell r="E43">
            <v>10952</v>
          </cell>
          <cell r="F43">
            <v>27563</v>
          </cell>
          <cell r="G43">
            <v>25857</v>
          </cell>
          <cell r="H43">
            <v>3340</v>
          </cell>
          <cell r="I43">
            <v>8611</v>
          </cell>
          <cell r="J43">
            <v>841</v>
          </cell>
          <cell r="K43">
            <v>2698</v>
          </cell>
          <cell r="L43">
            <v>92390</v>
          </cell>
        </row>
        <row r="44">
          <cell r="C44" t="str">
            <v>생산 계</v>
          </cell>
          <cell r="D44">
            <v>12528</v>
          </cell>
          <cell r="E44">
            <v>17330</v>
          </cell>
          <cell r="F44">
            <v>53610</v>
          </cell>
          <cell r="G44">
            <v>52436</v>
          </cell>
          <cell r="H44">
            <v>12489</v>
          </cell>
          <cell r="I44">
            <v>15437</v>
          </cell>
          <cell r="J44">
            <v>10569</v>
          </cell>
          <cell r="K44">
            <v>10489</v>
          </cell>
          <cell r="L44">
            <v>184888</v>
          </cell>
        </row>
        <row r="45">
          <cell r="C45" t="str">
            <v>구분</v>
          </cell>
          <cell r="D45" t="str">
            <v>니트셔츠</v>
          </cell>
          <cell r="E45" t="str">
            <v>우븐셔츠</v>
          </cell>
          <cell r="F45" t="str">
            <v>스웨터</v>
          </cell>
          <cell r="G45" t="str">
            <v>바지</v>
          </cell>
          <cell r="H45" t="str">
            <v>점퍼</v>
          </cell>
          <cell r="I45" t="str">
            <v>자켓</v>
          </cell>
          <cell r="K45" t="str">
            <v>아웃베스트</v>
          </cell>
          <cell r="L45" t="str">
            <v>계</v>
          </cell>
        </row>
        <row r="46">
          <cell r="C46" t="str">
            <v>여름 판매</v>
          </cell>
          <cell r="D46">
            <v>416</v>
          </cell>
          <cell r="E46">
            <v>145</v>
          </cell>
          <cell r="F46">
            <v>0</v>
          </cell>
          <cell r="G46">
            <v>95</v>
          </cell>
          <cell r="H46">
            <v>200</v>
          </cell>
          <cell r="I46">
            <v>3</v>
          </cell>
          <cell r="K46">
            <v>54</v>
          </cell>
          <cell r="L46">
            <v>913</v>
          </cell>
        </row>
        <row r="47">
          <cell r="C47" t="str">
            <v>봄 판매</v>
          </cell>
          <cell r="D47">
            <v>3470</v>
          </cell>
          <cell r="E47">
            <v>235</v>
          </cell>
          <cell r="F47">
            <v>18</v>
          </cell>
          <cell r="G47">
            <v>1083</v>
          </cell>
          <cell r="H47">
            <v>1758</v>
          </cell>
          <cell r="I47">
            <v>215</v>
          </cell>
          <cell r="K47">
            <v>404</v>
          </cell>
          <cell r="L47">
            <v>7183</v>
          </cell>
        </row>
        <row r="48">
          <cell r="C48" t="str">
            <v>판매 계</v>
          </cell>
          <cell r="D48">
            <v>3886</v>
          </cell>
          <cell r="E48">
            <v>380</v>
          </cell>
          <cell r="F48">
            <v>18</v>
          </cell>
          <cell r="G48">
            <v>1178</v>
          </cell>
          <cell r="H48">
            <v>1958</v>
          </cell>
          <cell r="I48">
            <v>218</v>
          </cell>
          <cell r="K48">
            <v>458</v>
          </cell>
          <cell r="L48">
            <v>8096</v>
          </cell>
        </row>
        <row r="49">
          <cell r="C49" t="str">
            <v>여름 생산</v>
          </cell>
          <cell r="D49">
            <v>60738</v>
          </cell>
          <cell r="E49">
            <v>2540</v>
          </cell>
          <cell r="F49">
            <v>0</v>
          </cell>
          <cell r="G49">
            <v>21705</v>
          </cell>
          <cell r="H49">
            <v>6515</v>
          </cell>
          <cell r="I49">
            <v>235</v>
          </cell>
          <cell r="K49">
            <v>3595</v>
          </cell>
          <cell r="L49">
            <v>95328</v>
          </cell>
        </row>
        <row r="50">
          <cell r="C50" t="str">
            <v>봄 생산</v>
          </cell>
          <cell r="D50">
            <v>12471</v>
          </cell>
          <cell r="E50">
            <v>880</v>
          </cell>
          <cell r="F50">
            <v>350</v>
          </cell>
          <cell r="G50">
            <v>8186</v>
          </cell>
          <cell r="H50">
            <v>6693</v>
          </cell>
          <cell r="I50">
            <v>924</v>
          </cell>
          <cell r="K50">
            <v>2088</v>
          </cell>
          <cell r="L50">
            <v>31592</v>
          </cell>
        </row>
        <row r="51">
          <cell r="C51" t="str">
            <v>생산 계</v>
          </cell>
          <cell r="D51">
            <v>73209</v>
          </cell>
          <cell r="E51">
            <v>3420</v>
          </cell>
          <cell r="F51">
            <v>350</v>
          </cell>
          <cell r="G51">
            <v>29891</v>
          </cell>
          <cell r="H51">
            <v>13208</v>
          </cell>
          <cell r="I51">
            <v>1159</v>
          </cell>
          <cell r="K51">
            <v>5683</v>
          </cell>
          <cell r="L51">
            <v>126920</v>
          </cell>
        </row>
        <row r="52">
          <cell r="C52" t="str">
            <v>구분</v>
          </cell>
          <cell r="D52" t="str">
            <v>니트셔츠</v>
          </cell>
          <cell r="E52" t="str">
            <v>우븐셔츠</v>
          </cell>
          <cell r="F52" t="str">
            <v>스웨터</v>
          </cell>
          <cell r="G52" t="str">
            <v>바지</v>
          </cell>
          <cell r="H52" t="str">
            <v>점퍼</v>
          </cell>
          <cell r="I52" t="str">
            <v>자켓</v>
          </cell>
          <cell r="K52" t="str">
            <v>아웃베스트</v>
          </cell>
          <cell r="L52" t="str">
            <v>계</v>
          </cell>
        </row>
        <row r="53">
          <cell r="C53" t="str">
            <v>여름 판매</v>
          </cell>
          <cell r="D53">
            <v>2661</v>
          </cell>
          <cell r="E53">
            <v>548</v>
          </cell>
          <cell r="F53">
            <v>0</v>
          </cell>
          <cell r="G53">
            <v>991</v>
          </cell>
          <cell r="H53">
            <v>1103</v>
          </cell>
          <cell r="I53">
            <v>8</v>
          </cell>
          <cell r="K53">
            <v>300</v>
          </cell>
          <cell r="L53">
            <v>5611</v>
          </cell>
        </row>
        <row r="54">
          <cell r="C54" t="str">
            <v>봄 판매</v>
          </cell>
          <cell r="D54">
            <v>1859</v>
          </cell>
          <cell r="E54">
            <v>191</v>
          </cell>
          <cell r="F54">
            <v>11</v>
          </cell>
          <cell r="G54">
            <v>891</v>
          </cell>
          <cell r="H54">
            <v>1033</v>
          </cell>
          <cell r="I54">
            <v>257</v>
          </cell>
          <cell r="K54">
            <v>332</v>
          </cell>
          <cell r="L54">
            <v>4574</v>
          </cell>
        </row>
        <row r="55">
          <cell r="C55" t="str">
            <v>판매 계</v>
          </cell>
          <cell r="D55">
            <v>4520</v>
          </cell>
          <cell r="E55">
            <v>739</v>
          </cell>
          <cell r="F55">
            <v>11</v>
          </cell>
          <cell r="G55">
            <v>1882</v>
          </cell>
          <cell r="H55">
            <v>2136</v>
          </cell>
          <cell r="I55">
            <v>265</v>
          </cell>
          <cell r="K55">
            <v>632</v>
          </cell>
          <cell r="L55">
            <v>10185</v>
          </cell>
        </row>
        <row r="56">
          <cell r="C56" t="str">
            <v>여름 생산</v>
          </cell>
          <cell r="D56">
            <v>60738</v>
          </cell>
          <cell r="E56">
            <v>2540</v>
          </cell>
          <cell r="F56">
            <v>0</v>
          </cell>
          <cell r="G56">
            <v>21705</v>
          </cell>
          <cell r="H56">
            <v>6515</v>
          </cell>
          <cell r="I56">
            <v>235</v>
          </cell>
          <cell r="K56">
            <v>3595</v>
          </cell>
          <cell r="L56">
            <v>95328</v>
          </cell>
        </row>
        <row r="57">
          <cell r="C57" t="str">
            <v>봄 생산</v>
          </cell>
          <cell r="D57">
            <v>12471</v>
          </cell>
          <cell r="E57">
            <v>880</v>
          </cell>
          <cell r="F57">
            <v>350</v>
          </cell>
          <cell r="G57">
            <v>8186</v>
          </cell>
          <cell r="H57">
            <v>6693</v>
          </cell>
          <cell r="I57">
            <v>924</v>
          </cell>
          <cell r="K57">
            <v>2088</v>
          </cell>
          <cell r="L57">
            <v>31592</v>
          </cell>
        </row>
        <row r="58">
          <cell r="C58" t="str">
            <v>생산 계</v>
          </cell>
          <cell r="D58">
            <v>73209</v>
          </cell>
          <cell r="E58">
            <v>3420</v>
          </cell>
          <cell r="F58">
            <v>350</v>
          </cell>
          <cell r="G58">
            <v>29891</v>
          </cell>
          <cell r="H58">
            <v>13208</v>
          </cell>
          <cell r="I58">
            <v>1159</v>
          </cell>
          <cell r="K58">
            <v>5683</v>
          </cell>
          <cell r="L58">
            <v>126920</v>
          </cell>
        </row>
        <row r="59">
          <cell r="C59" t="str">
            <v>구분</v>
          </cell>
          <cell r="D59" t="str">
            <v>니트셔츠</v>
          </cell>
          <cell r="E59" t="str">
            <v>우븐셔츠</v>
          </cell>
          <cell r="F59" t="str">
            <v>스웨터</v>
          </cell>
          <cell r="G59" t="str">
            <v>바지</v>
          </cell>
          <cell r="H59" t="str">
            <v>점퍼</v>
          </cell>
          <cell r="I59" t="str">
            <v>자켓</v>
          </cell>
          <cell r="K59" t="str">
            <v>아웃베스트</v>
          </cell>
          <cell r="L59" t="str">
            <v>계</v>
          </cell>
        </row>
        <row r="60">
          <cell r="C60" t="str">
            <v>여름 판매</v>
          </cell>
          <cell r="D60">
            <v>6537</v>
          </cell>
          <cell r="E60">
            <v>553</v>
          </cell>
          <cell r="F60">
            <v>0</v>
          </cell>
          <cell r="G60">
            <v>2333</v>
          </cell>
          <cell r="H60">
            <v>1323</v>
          </cell>
          <cell r="I60">
            <v>19</v>
          </cell>
          <cell r="K60">
            <v>608</v>
          </cell>
          <cell r="L60">
            <v>11373</v>
          </cell>
        </row>
        <row r="61">
          <cell r="C61" t="str">
            <v>봄 판매</v>
          </cell>
          <cell r="D61">
            <v>386</v>
          </cell>
          <cell r="E61">
            <v>145</v>
          </cell>
          <cell r="F61">
            <v>13</v>
          </cell>
          <cell r="G61">
            <v>508</v>
          </cell>
          <cell r="H61">
            <v>413</v>
          </cell>
          <cell r="I61">
            <v>137</v>
          </cell>
          <cell r="K61">
            <v>89</v>
          </cell>
          <cell r="L61">
            <v>1691</v>
          </cell>
        </row>
        <row r="62">
          <cell r="C62" t="str">
            <v>판매 계</v>
          </cell>
          <cell r="D62">
            <v>6923</v>
          </cell>
          <cell r="E62">
            <v>698</v>
          </cell>
          <cell r="F62">
            <v>13</v>
          </cell>
          <cell r="G62">
            <v>2841</v>
          </cell>
          <cell r="H62">
            <v>1736</v>
          </cell>
          <cell r="I62">
            <v>156</v>
          </cell>
          <cell r="K62">
            <v>697</v>
          </cell>
          <cell r="L62">
            <v>13064</v>
          </cell>
        </row>
        <row r="63">
          <cell r="C63" t="str">
            <v>여름 생산</v>
          </cell>
          <cell r="D63">
            <v>60738</v>
          </cell>
          <cell r="E63">
            <v>2540</v>
          </cell>
          <cell r="F63">
            <v>0</v>
          </cell>
          <cell r="G63">
            <v>21705</v>
          </cell>
          <cell r="H63">
            <v>6515</v>
          </cell>
          <cell r="I63">
            <v>235</v>
          </cell>
          <cell r="K63">
            <v>3595</v>
          </cell>
          <cell r="L63">
            <v>95328</v>
          </cell>
        </row>
        <row r="64">
          <cell r="C64" t="str">
            <v>봄 생산</v>
          </cell>
          <cell r="D64">
            <v>12471</v>
          </cell>
          <cell r="E64">
            <v>880</v>
          </cell>
          <cell r="F64">
            <v>350</v>
          </cell>
          <cell r="G64">
            <v>8186</v>
          </cell>
          <cell r="H64">
            <v>6693</v>
          </cell>
          <cell r="I64">
            <v>924</v>
          </cell>
          <cell r="K64">
            <v>2088</v>
          </cell>
          <cell r="L64">
            <v>31592</v>
          </cell>
        </row>
        <row r="65">
          <cell r="C65" t="str">
            <v>생산 계</v>
          </cell>
          <cell r="D65">
            <v>73209</v>
          </cell>
          <cell r="E65">
            <v>3420</v>
          </cell>
          <cell r="F65">
            <v>350</v>
          </cell>
          <cell r="G65">
            <v>29891</v>
          </cell>
          <cell r="H65">
            <v>13208</v>
          </cell>
          <cell r="I65">
            <v>1159</v>
          </cell>
          <cell r="K65">
            <v>5683</v>
          </cell>
          <cell r="L65">
            <v>126920</v>
          </cell>
        </row>
        <row r="66">
          <cell r="C66" t="str">
            <v>구분</v>
          </cell>
          <cell r="D66" t="str">
            <v>니트셔츠</v>
          </cell>
          <cell r="E66" t="str">
            <v>우븐셔츠</v>
          </cell>
          <cell r="F66" t="str">
            <v>스웨터</v>
          </cell>
          <cell r="G66" t="str">
            <v>바지</v>
          </cell>
          <cell r="H66" t="str">
            <v>점퍼</v>
          </cell>
          <cell r="I66" t="str">
            <v>자켓</v>
          </cell>
          <cell r="K66" t="str">
            <v>아웃베스트</v>
          </cell>
          <cell r="L66" t="str">
            <v>계</v>
          </cell>
        </row>
        <row r="67">
          <cell r="C67" t="str">
            <v>여름 판매</v>
          </cell>
          <cell r="D67">
            <v>4777</v>
          </cell>
          <cell r="E67">
            <v>312</v>
          </cell>
          <cell r="F67">
            <v>0</v>
          </cell>
          <cell r="G67">
            <v>2393</v>
          </cell>
          <cell r="H67">
            <v>443</v>
          </cell>
          <cell r="I67">
            <v>21</v>
          </cell>
          <cell r="K67">
            <v>497</v>
          </cell>
          <cell r="L67">
            <v>8443</v>
          </cell>
        </row>
        <row r="68">
          <cell r="C68" t="str">
            <v>봄 판매</v>
          </cell>
          <cell r="D68">
            <v>71</v>
          </cell>
          <cell r="E68">
            <v>40</v>
          </cell>
          <cell r="F68">
            <v>6</v>
          </cell>
          <cell r="G68">
            <v>250</v>
          </cell>
          <cell r="H68">
            <v>72</v>
          </cell>
          <cell r="I68">
            <v>9</v>
          </cell>
          <cell r="K68">
            <v>37</v>
          </cell>
          <cell r="L68">
            <v>485</v>
          </cell>
        </row>
        <row r="69">
          <cell r="C69" t="str">
            <v>판매 계</v>
          </cell>
          <cell r="D69">
            <v>4848</v>
          </cell>
          <cell r="E69">
            <v>352</v>
          </cell>
          <cell r="F69">
            <v>6</v>
          </cell>
          <cell r="G69">
            <v>2643</v>
          </cell>
          <cell r="H69">
            <v>515</v>
          </cell>
          <cell r="I69">
            <v>30</v>
          </cell>
          <cell r="K69">
            <v>534</v>
          </cell>
          <cell r="L69">
            <v>8928</v>
          </cell>
        </row>
        <row r="70">
          <cell r="C70" t="str">
            <v>여름 생산</v>
          </cell>
          <cell r="D70">
            <v>60738</v>
          </cell>
          <cell r="E70">
            <v>2540</v>
          </cell>
          <cell r="F70">
            <v>0</v>
          </cell>
          <cell r="G70">
            <v>21705</v>
          </cell>
          <cell r="H70">
            <v>6515</v>
          </cell>
          <cell r="I70">
            <v>235</v>
          </cell>
          <cell r="K70">
            <v>3595</v>
          </cell>
          <cell r="L70">
            <v>95328</v>
          </cell>
        </row>
        <row r="71">
          <cell r="C71" t="str">
            <v>봄 생산</v>
          </cell>
          <cell r="D71">
            <v>12471</v>
          </cell>
          <cell r="E71">
            <v>880</v>
          </cell>
          <cell r="F71">
            <v>350</v>
          </cell>
          <cell r="G71">
            <v>8186</v>
          </cell>
          <cell r="H71">
            <v>6693</v>
          </cell>
          <cell r="I71">
            <v>924</v>
          </cell>
          <cell r="K71">
            <v>2088</v>
          </cell>
          <cell r="L71">
            <v>31592</v>
          </cell>
        </row>
        <row r="72">
          <cell r="C72" t="str">
            <v>생산 계</v>
          </cell>
          <cell r="D72">
            <v>73209</v>
          </cell>
          <cell r="E72">
            <v>3420</v>
          </cell>
          <cell r="F72">
            <v>350</v>
          </cell>
          <cell r="G72">
            <v>29891</v>
          </cell>
          <cell r="H72">
            <v>13208</v>
          </cell>
          <cell r="I72">
            <v>1159</v>
          </cell>
          <cell r="K72">
            <v>5683</v>
          </cell>
          <cell r="L72">
            <v>126920</v>
          </cell>
        </row>
        <row r="73">
          <cell r="C73" t="str">
            <v>구분</v>
          </cell>
          <cell r="D73" t="str">
            <v>니트셔츠</v>
          </cell>
          <cell r="E73" t="str">
            <v>우븐셔츠</v>
          </cell>
          <cell r="F73" t="str">
            <v>스웨터</v>
          </cell>
          <cell r="G73" t="str">
            <v>바지</v>
          </cell>
          <cell r="H73" t="str">
            <v>점퍼</v>
          </cell>
          <cell r="I73" t="str">
            <v>자켓</v>
          </cell>
          <cell r="K73" t="str">
            <v>아웃베스트</v>
          </cell>
          <cell r="L73" t="str">
            <v>계</v>
          </cell>
        </row>
        <row r="74">
          <cell r="C74" t="str">
            <v>여름 판매</v>
          </cell>
          <cell r="D74">
            <v>4243</v>
          </cell>
          <cell r="E74">
            <v>156</v>
          </cell>
          <cell r="F74">
            <v>0</v>
          </cell>
          <cell r="G74">
            <v>2696</v>
          </cell>
          <cell r="H74">
            <v>73</v>
          </cell>
          <cell r="I74">
            <v>9</v>
          </cell>
          <cell r="K74">
            <v>231</v>
          </cell>
          <cell r="L74">
            <v>7408</v>
          </cell>
        </row>
        <row r="75">
          <cell r="C75" t="str">
            <v>봄 판매</v>
          </cell>
          <cell r="D75">
            <v>72</v>
          </cell>
          <cell r="E75">
            <v>27</v>
          </cell>
          <cell r="F75">
            <v>4</v>
          </cell>
          <cell r="G75">
            <v>166</v>
          </cell>
          <cell r="H75">
            <v>34</v>
          </cell>
          <cell r="I75">
            <v>3</v>
          </cell>
          <cell r="K75">
            <v>7</v>
          </cell>
          <cell r="L75">
            <v>313</v>
          </cell>
        </row>
        <row r="76">
          <cell r="C76" t="str">
            <v>판매 계</v>
          </cell>
          <cell r="D76">
            <v>4315</v>
          </cell>
          <cell r="E76">
            <v>183</v>
          </cell>
          <cell r="F76">
            <v>4</v>
          </cell>
          <cell r="G76">
            <v>2862</v>
          </cell>
          <cell r="H76">
            <v>107</v>
          </cell>
          <cell r="I76">
            <v>12</v>
          </cell>
          <cell r="K76">
            <v>238</v>
          </cell>
          <cell r="L76">
            <v>7721</v>
          </cell>
        </row>
        <row r="77">
          <cell r="C77" t="str">
            <v>여름 생산</v>
          </cell>
          <cell r="D77">
            <v>60738</v>
          </cell>
          <cell r="E77">
            <v>2540</v>
          </cell>
          <cell r="F77">
            <v>0</v>
          </cell>
          <cell r="G77">
            <v>21705</v>
          </cell>
          <cell r="H77">
            <v>6515</v>
          </cell>
          <cell r="I77">
            <v>235</v>
          </cell>
          <cell r="K77">
            <v>3595</v>
          </cell>
          <cell r="L77">
            <v>95328</v>
          </cell>
        </row>
        <row r="78">
          <cell r="C78" t="str">
            <v>봄 생산</v>
          </cell>
          <cell r="D78">
            <v>12471</v>
          </cell>
          <cell r="E78">
            <v>880</v>
          </cell>
          <cell r="F78">
            <v>350</v>
          </cell>
          <cell r="G78">
            <v>8186</v>
          </cell>
          <cell r="H78">
            <v>6693</v>
          </cell>
          <cell r="I78">
            <v>924</v>
          </cell>
          <cell r="K78">
            <v>2088</v>
          </cell>
          <cell r="L78">
            <v>31592</v>
          </cell>
        </row>
        <row r="79">
          <cell r="C79" t="str">
            <v>생산 계</v>
          </cell>
          <cell r="D79">
            <v>73209</v>
          </cell>
          <cell r="E79">
            <v>3420</v>
          </cell>
          <cell r="F79">
            <v>350</v>
          </cell>
          <cell r="G79">
            <v>29891</v>
          </cell>
          <cell r="H79">
            <v>13208</v>
          </cell>
          <cell r="I79">
            <v>1159</v>
          </cell>
          <cell r="K79">
            <v>5683</v>
          </cell>
          <cell r="L79">
            <v>126920</v>
          </cell>
        </row>
        <row r="80">
          <cell r="C80" t="str">
            <v>구분</v>
          </cell>
          <cell r="D80" t="str">
            <v>니트셔츠</v>
          </cell>
          <cell r="E80" t="str">
            <v>우븐셔츠</v>
          </cell>
          <cell r="F80" t="str">
            <v>스웨터</v>
          </cell>
          <cell r="G80" t="str">
            <v>바지</v>
          </cell>
          <cell r="H80" t="str">
            <v>점퍼</v>
          </cell>
          <cell r="I80" t="str">
            <v>자켓</v>
          </cell>
          <cell r="K80" t="str">
            <v>아웃베스트</v>
          </cell>
          <cell r="L80" t="str">
            <v>계</v>
          </cell>
        </row>
        <row r="81">
          <cell r="C81" t="str">
            <v>여름 판매</v>
          </cell>
          <cell r="D81">
            <v>2762</v>
          </cell>
          <cell r="E81">
            <v>72</v>
          </cell>
          <cell r="F81">
            <v>0</v>
          </cell>
          <cell r="G81">
            <v>1391</v>
          </cell>
          <cell r="H81">
            <v>86</v>
          </cell>
          <cell r="I81">
            <v>5</v>
          </cell>
          <cell r="K81">
            <v>84</v>
          </cell>
          <cell r="L81">
            <v>4400</v>
          </cell>
        </row>
        <row r="82">
          <cell r="C82" t="str">
            <v>봄 판매</v>
          </cell>
          <cell r="D82">
            <v>175</v>
          </cell>
          <cell r="E82">
            <v>10</v>
          </cell>
          <cell r="F82">
            <v>0</v>
          </cell>
          <cell r="G82">
            <v>185</v>
          </cell>
          <cell r="H82">
            <v>75</v>
          </cell>
          <cell r="I82">
            <v>7</v>
          </cell>
          <cell r="K82">
            <v>43</v>
          </cell>
          <cell r="L82">
            <v>495</v>
          </cell>
        </row>
        <row r="83">
          <cell r="C83" t="str">
            <v>판매 계</v>
          </cell>
          <cell r="D83">
            <v>2937</v>
          </cell>
          <cell r="E83">
            <v>82</v>
          </cell>
          <cell r="F83">
            <v>0</v>
          </cell>
          <cell r="G83">
            <v>1576</v>
          </cell>
          <cell r="H83">
            <v>161</v>
          </cell>
          <cell r="I83">
            <v>12</v>
          </cell>
          <cell r="K83">
            <v>127</v>
          </cell>
          <cell r="L83">
            <v>4895</v>
          </cell>
        </row>
        <row r="84">
          <cell r="C84" t="str">
            <v>여름 생산</v>
          </cell>
          <cell r="D84">
            <v>60738</v>
          </cell>
          <cell r="E84">
            <v>2540</v>
          </cell>
          <cell r="F84">
            <v>0</v>
          </cell>
          <cell r="G84">
            <v>21705</v>
          </cell>
          <cell r="H84">
            <v>6515</v>
          </cell>
          <cell r="I84">
            <v>235</v>
          </cell>
          <cell r="K84">
            <v>3595</v>
          </cell>
          <cell r="L84">
            <v>95328</v>
          </cell>
        </row>
        <row r="85">
          <cell r="C85" t="str">
            <v>봄 생산</v>
          </cell>
          <cell r="D85">
            <v>12471</v>
          </cell>
          <cell r="E85">
            <v>880</v>
          </cell>
          <cell r="F85">
            <v>350</v>
          </cell>
          <cell r="G85">
            <v>8186</v>
          </cell>
          <cell r="H85">
            <v>6693</v>
          </cell>
          <cell r="I85">
            <v>924</v>
          </cell>
          <cell r="K85">
            <v>2088</v>
          </cell>
          <cell r="L85">
            <v>31592</v>
          </cell>
        </row>
        <row r="86">
          <cell r="C86" t="str">
            <v>생산 계</v>
          </cell>
          <cell r="D86">
            <v>73209</v>
          </cell>
          <cell r="E86">
            <v>3420</v>
          </cell>
          <cell r="F86">
            <v>350</v>
          </cell>
          <cell r="G86">
            <v>29891</v>
          </cell>
          <cell r="H86">
            <v>13208</v>
          </cell>
          <cell r="I86">
            <v>1159</v>
          </cell>
          <cell r="K86">
            <v>5683</v>
          </cell>
          <cell r="L86">
            <v>126920</v>
          </cell>
        </row>
        <row r="87">
          <cell r="C87" t="str">
            <v>구분</v>
          </cell>
          <cell r="D87" t="str">
            <v>니트셔츠</v>
          </cell>
          <cell r="E87" t="str">
            <v>우븐셔츠</v>
          </cell>
          <cell r="F87" t="str">
            <v>스웨터</v>
          </cell>
          <cell r="G87" t="str">
            <v>바지</v>
          </cell>
          <cell r="H87" t="str">
            <v>점퍼</v>
          </cell>
          <cell r="I87" t="str">
            <v>자켓</v>
          </cell>
          <cell r="K87" t="str">
            <v>아웃베스트</v>
          </cell>
          <cell r="L87" t="str">
            <v>계</v>
          </cell>
        </row>
        <row r="88">
          <cell r="C88" t="str">
            <v>여름 판매</v>
          </cell>
          <cell r="D88">
            <v>416</v>
          </cell>
          <cell r="E88">
            <v>685</v>
          </cell>
          <cell r="F88">
            <v>356</v>
          </cell>
          <cell r="G88">
            <v>206</v>
          </cell>
          <cell r="H88">
            <v>225</v>
          </cell>
          <cell r="I88">
            <v>40</v>
          </cell>
          <cell r="K88">
            <v>76</v>
          </cell>
          <cell r="L88">
            <v>2004</v>
          </cell>
        </row>
        <row r="89">
          <cell r="C89" t="str">
            <v>봄 판매</v>
          </cell>
          <cell r="D89">
            <v>5974</v>
          </cell>
          <cell r="E89">
            <v>2165</v>
          </cell>
          <cell r="F89">
            <v>2086</v>
          </cell>
          <cell r="G89">
            <v>3872</v>
          </cell>
          <cell r="H89">
            <v>2158</v>
          </cell>
          <cell r="I89">
            <v>1767</v>
          </cell>
          <cell r="K89">
            <v>823</v>
          </cell>
          <cell r="L89">
            <v>18845</v>
          </cell>
        </row>
        <row r="90">
          <cell r="C90" t="str">
            <v>판매 계</v>
          </cell>
          <cell r="D90">
            <v>6390</v>
          </cell>
          <cell r="E90">
            <v>2850</v>
          </cell>
          <cell r="F90">
            <v>2442</v>
          </cell>
          <cell r="G90">
            <v>4078</v>
          </cell>
          <cell r="H90">
            <v>2383</v>
          </cell>
          <cell r="I90">
            <v>1807</v>
          </cell>
          <cell r="K90">
            <v>899</v>
          </cell>
          <cell r="L90">
            <v>20849</v>
          </cell>
        </row>
        <row r="91">
          <cell r="C91" t="str">
            <v>여름 생산</v>
          </cell>
          <cell r="D91">
            <v>60738</v>
          </cell>
          <cell r="E91">
            <v>8918</v>
          </cell>
          <cell r="F91">
            <v>26047</v>
          </cell>
          <cell r="G91">
            <v>48284</v>
          </cell>
          <cell r="H91">
            <v>15664</v>
          </cell>
          <cell r="I91">
            <v>7061</v>
          </cell>
          <cell r="K91">
            <v>11386</v>
          </cell>
          <cell r="L91">
            <v>178098</v>
          </cell>
        </row>
        <row r="92">
          <cell r="C92" t="str">
            <v>봄 생산</v>
          </cell>
          <cell r="D92">
            <v>24999</v>
          </cell>
          <cell r="E92">
            <v>11832</v>
          </cell>
          <cell r="F92">
            <v>27913</v>
          </cell>
          <cell r="G92">
            <v>34043</v>
          </cell>
          <cell r="H92">
            <v>10033</v>
          </cell>
          <cell r="I92">
            <v>9535</v>
          </cell>
          <cell r="K92">
            <v>4786</v>
          </cell>
          <cell r="L92">
            <v>123141</v>
          </cell>
        </row>
        <row r="93">
          <cell r="C93" t="str">
            <v>생산 계</v>
          </cell>
          <cell r="D93">
            <v>85737</v>
          </cell>
          <cell r="E93">
            <v>20750</v>
          </cell>
          <cell r="F93">
            <v>53960</v>
          </cell>
          <cell r="G93">
            <v>82327</v>
          </cell>
          <cell r="H93">
            <v>25697</v>
          </cell>
          <cell r="I93">
            <v>16596</v>
          </cell>
          <cell r="K93">
            <v>16172</v>
          </cell>
          <cell r="L93">
            <v>301239</v>
          </cell>
        </row>
        <row r="94">
          <cell r="C94" t="str">
            <v>구분</v>
          </cell>
          <cell r="D94" t="str">
            <v>니트셔츠</v>
          </cell>
          <cell r="E94" t="str">
            <v>우븐셔츠</v>
          </cell>
          <cell r="F94" t="str">
            <v>스웨터</v>
          </cell>
          <cell r="G94" t="str">
            <v>바지</v>
          </cell>
          <cell r="H94" t="str">
            <v>점퍼</v>
          </cell>
          <cell r="I94" t="str">
            <v>자켓</v>
          </cell>
          <cell r="K94" t="str">
            <v>아웃베스트</v>
          </cell>
          <cell r="L94" t="str">
            <v>계</v>
          </cell>
        </row>
        <row r="95">
          <cell r="C95" t="str">
            <v>여름 판매</v>
          </cell>
          <cell r="D95">
            <v>2661</v>
          </cell>
          <cell r="E95">
            <v>2011</v>
          </cell>
          <cell r="F95">
            <v>2414</v>
          </cell>
          <cell r="G95">
            <v>2167</v>
          </cell>
          <cell r="H95">
            <v>1367</v>
          </cell>
          <cell r="I95">
            <v>2054</v>
          </cell>
          <cell r="K95">
            <v>495</v>
          </cell>
          <cell r="L95">
            <v>13169</v>
          </cell>
        </row>
        <row r="96">
          <cell r="C96" t="str">
            <v>봄 판매</v>
          </cell>
          <cell r="D96">
            <v>4709</v>
          </cell>
          <cell r="E96">
            <v>1679</v>
          </cell>
          <cell r="F96">
            <v>2976</v>
          </cell>
          <cell r="G96">
            <v>5538</v>
          </cell>
          <cell r="H96">
            <v>1696</v>
          </cell>
          <cell r="I96">
            <v>2442</v>
          </cell>
          <cell r="K96">
            <v>1063</v>
          </cell>
          <cell r="L96">
            <v>20103</v>
          </cell>
        </row>
        <row r="97">
          <cell r="C97" t="str">
            <v>판매 계</v>
          </cell>
          <cell r="D97">
            <v>7370</v>
          </cell>
          <cell r="E97">
            <v>3690</v>
          </cell>
          <cell r="F97">
            <v>5390</v>
          </cell>
          <cell r="G97">
            <v>7705</v>
          </cell>
          <cell r="H97">
            <v>3063</v>
          </cell>
          <cell r="I97">
            <v>4496</v>
          </cell>
          <cell r="K97">
            <v>1558</v>
          </cell>
          <cell r="L97">
            <v>33272</v>
          </cell>
        </row>
        <row r="98">
          <cell r="C98" t="str">
            <v>여름 생산</v>
          </cell>
          <cell r="D98">
            <v>60738</v>
          </cell>
          <cell r="E98">
            <v>8918</v>
          </cell>
          <cell r="F98">
            <v>26047</v>
          </cell>
          <cell r="G98">
            <v>48284</v>
          </cell>
          <cell r="H98">
            <v>15664</v>
          </cell>
          <cell r="I98">
            <v>7061</v>
          </cell>
          <cell r="K98">
            <v>11386</v>
          </cell>
          <cell r="L98">
            <v>178098</v>
          </cell>
        </row>
        <row r="99">
          <cell r="C99" t="str">
            <v>봄 생산</v>
          </cell>
          <cell r="D99">
            <v>24999</v>
          </cell>
          <cell r="E99">
            <v>11832</v>
          </cell>
          <cell r="F99">
            <v>27913</v>
          </cell>
          <cell r="G99">
            <v>34043</v>
          </cell>
          <cell r="H99">
            <v>10033</v>
          </cell>
          <cell r="I99">
            <v>9535</v>
          </cell>
          <cell r="K99">
            <v>4786</v>
          </cell>
          <cell r="L99">
            <v>123141</v>
          </cell>
        </row>
        <row r="100">
          <cell r="C100" t="str">
            <v>생산 계</v>
          </cell>
          <cell r="D100">
            <v>85737</v>
          </cell>
          <cell r="E100">
            <v>20750</v>
          </cell>
          <cell r="F100">
            <v>53960</v>
          </cell>
          <cell r="G100">
            <v>82327</v>
          </cell>
          <cell r="H100">
            <v>25697</v>
          </cell>
          <cell r="I100">
            <v>16596</v>
          </cell>
          <cell r="K100">
            <v>16172</v>
          </cell>
          <cell r="L100">
            <v>301239</v>
          </cell>
        </row>
        <row r="101">
          <cell r="C101" t="str">
            <v>구분</v>
          </cell>
          <cell r="D101" t="str">
            <v>니트셔츠</v>
          </cell>
          <cell r="E101" t="str">
            <v>우븐셔츠</v>
          </cell>
          <cell r="F101" t="str">
            <v>스웨터</v>
          </cell>
          <cell r="G101" t="str">
            <v>바지</v>
          </cell>
          <cell r="H101" t="str">
            <v>점퍼</v>
          </cell>
          <cell r="I101" t="str">
            <v>자켓</v>
          </cell>
          <cell r="K101" t="str">
            <v>아웃베스트</v>
          </cell>
          <cell r="L101" t="str">
            <v>계</v>
          </cell>
        </row>
        <row r="102">
          <cell r="C102" t="str">
            <v>여름 판매</v>
          </cell>
          <cell r="D102">
            <v>6537</v>
          </cell>
          <cell r="E102">
            <v>1526</v>
          </cell>
          <cell r="F102">
            <v>4942</v>
          </cell>
          <cell r="G102">
            <v>6347</v>
          </cell>
          <cell r="H102">
            <v>2361</v>
          </cell>
          <cell r="I102">
            <v>1437</v>
          </cell>
          <cell r="K102">
            <v>1888</v>
          </cell>
          <cell r="L102">
            <v>25038</v>
          </cell>
        </row>
        <row r="103">
          <cell r="C103" t="str">
            <v>봄 판매</v>
          </cell>
          <cell r="D103">
            <v>1381</v>
          </cell>
          <cell r="E103">
            <v>698</v>
          </cell>
          <cell r="F103">
            <v>2715</v>
          </cell>
          <cell r="G103">
            <v>2243</v>
          </cell>
          <cell r="H103">
            <v>533</v>
          </cell>
          <cell r="I103">
            <v>963</v>
          </cell>
          <cell r="K103">
            <v>222</v>
          </cell>
          <cell r="L103">
            <v>8755</v>
          </cell>
        </row>
        <row r="104">
          <cell r="C104" t="str">
            <v>판매 계</v>
          </cell>
          <cell r="D104">
            <v>7918</v>
          </cell>
          <cell r="E104">
            <v>2224</v>
          </cell>
          <cell r="F104">
            <v>7657</v>
          </cell>
          <cell r="G104">
            <v>8590</v>
          </cell>
          <cell r="H104">
            <v>2894</v>
          </cell>
          <cell r="I104">
            <v>2400</v>
          </cell>
          <cell r="K104">
            <v>2110</v>
          </cell>
          <cell r="L104">
            <v>33793</v>
          </cell>
        </row>
        <row r="105">
          <cell r="C105" t="str">
            <v>여름 생산</v>
          </cell>
          <cell r="D105">
            <v>60738</v>
          </cell>
          <cell r="E105">
            <v>8918</v>
          </cell>
          <cell r="F105">
            <v>26047</v>
          </cell>
          <cell r="G105">
            <v>48284</v>
          </cell>
          <cell r="H105">
            <v>15664</v>
          </cell>
          <cell r="I105">
            <v>7061</v>
          </cell>
          <cell r="K105">
            <v>11386</v>
          </cell>
          <cell r="L105">
            <v>178098</v>
          </cell>
        </row>
        <row r="106">
          <cell r="C106" t="str">
            <v>봄 생산</v>
          </cell>
          <cell r="D106">
            <v>24999</v>
          </cell>
          <cell r="E106">
            <v>11832</v>
          </cell>
          <cell r="F106">
            <v>27913</v>
          </cell>
          <cell r="G106">
            <v>34043</v>
          </cell>
          <cell r="H106">
            <v>10033</v>
          </cell>
          <cell r="I106">
            <v>9535</v>
          </cell>
          <cell r="K106">
            <v>4786</v>
          </cell>
          <cell r="L106">
            <v>123141</v>
          </cell>
        </row>
        <row r="107">
          <cell r="C107" t="str">
            <v>생산 계</v>
          </cell>
          <cell r="D107">
            <v>85737</v>
          </cell>
          <cell r="E107">
            <v>20750</v>
          </cell>
          <cell r="F107">
            <v>53960</v>
          </cell>
          <cell r="G107">
            <v>82327</v>
          </cell>
          <cell r="H107">
            <v>25697</v>
          </cell>
          <cell r="I107">
            <v>16596</v>
          </cell>
          <cell r="K107">
            <v>16172</v>
          </cell>
          <cell r="L107">
            <v>301239</v>
          </cell>
        </row>
        <row r="108">
          <cell r="C108" t="str">
            <v>구분</v>
          </cell>
          <cell r="D108" t="str">
            <v>니트셔츠</v>
          </cell>
          <cell r="E108" t="str">
            <v>우븐셔츠</v>
          </cell>
          <cell r="F108" t="str">
            <v>스웨터</v>
          </cell>
          <cell r="G108" t="str">
            <v>바지</v>
          </cell>
          <cell r="H108" t="str">
            <v>점퍼</v>
          </cell>
          <cell r="I108" t="str">
            <v>자켓</v>
          </cell>
          <cell r="K108" t="str">
            <v>아웃베스트</v>
          </cell>
          <cell r="L108" t="str">
            <v>계</v>
          </cell>
        </row>
        <row r="109">
          <cell r="C109" t="str">
            <v>여름 판매</v>
          </cell>
          <cell r="D109">
            <v>4777</v>
          </cell>
          <cell r="E109">
            <v>845</v>
          </cell>
          <cell r="F109">
            <v>5452</v>
          </cell>
          <cell r="G109">
            <v>7260</v>
          </cell>
          <cell r="H109">
            <v>2482</v>
          </cell>
          <cell r="I109">
            <v>649</v>
          </cell>
          <cell r="K109">
            <v>1621</v>
          </cell>
          <cell r="L109">
            <v>23086</v>
          </cell>
        </row>
        <row r="110">
          <cell r="C110" t="str">
            <v>봄 판매</v>
          </cell>
          <cell r="D110">
            <v>568</v>
          </cell>
          <cell r="E110">
            <v>412</v>
          </cell>
          <cell r="F110">
            <v>2167</v>
          </cell>
          <cell r="G110">
            <v>983</v>
          </cell>
          <cell r="H110">
            <v>106</v>
          </cell>
          <cell r="I110">
            <v>96</v>
          </cell>
          <cell r="K110">
            <v>39</v>
          </cell>
          <cell r="L110">
            <v>4371</v>
          </cell>
        </row>
        <row r="111">
          <cell r="C111" t="str">
            <v>판매 계</v>
          </cell>
          <cell r="D111">
            <v>5345</v>
          </cell>
          <cell r="E111">
            <v>1257</v>
          </cell>
          <cell r="F111">
            <v>7619</v>
          </cell>
          <cell r="G111">
            <v>8243</v>
          </cell>
          <cell r="H111">
            <v>2588</v>
          </cell>
          <cell r="I111">
            <v>745</v>
          </cell>
          <cell r="K111">
            <v>1660</v>
          </cell>
          <cell r="L111">
            <v>27457</v>
          </cell>
        </row>
        <row r="112">
          <cell r="C112" t="str">
            <v>여름 생산</v>
          </cell>
          <cell r="D112">
            <v>60738</v>
          </cell>
          <cell r="E112">
            <v>8918</v>
          </cell>
          <cell r="F112">
            <v>26047</v>
          </cell>
          <cell r="G112">
            <v>48284</v>
          </cell>
          <cell r="H112">
            <v>15664</v>
          </cell>
          <cell r="I112">
            <v>7061</v>
          </cell>
          <cell r="K112">
            <v>11386</v>
          </cell>
          <cell r="L112">
            <v>178098</v>
          </cell>
        </row>
        <row r="113">
          <cell r="C113" t="str">
            <v>봄 생산</v>
          </cell>
          <cell r="D113">
            <v>24999</v>
          </cell>
          <cell r="E113">
            <v>11832</v>
          </cell>
          <cell r="F113">
            <v>27913</v>
          </cell>
          <cell r="G113">
            <v>34043</v>
          </cell>
          <cell r="H113">
            <v>10033</v>
          </cell>
          <cell r="I113">
            <v>9535</v>
          </cell>
          <cell r="K113">
            <v>4786</v>
          </cell>
          <cell r="L113">
            <v>123141</v>
          </cell>
        </row>
        <row r="114">
          <cell r="C114" t="str">
            <v>생산 계</v>
          </cell>
          <cell r="D114">
            <v>85737</v>
          </cell>
          <cell r="E114">
            <v>20750</v>
          </cell>
          <cell r="F114">
            <v>53960</v>
          </cell>
          <cell r="G114">
            <v>82327</v>
          </cell>
          <cell r="H114">
            <v>25697</v>
          </cell>
          <cell r="I114">
            <v>16596</v>
          </cell>
          <cell r="K114">
            <v>16172</v>
          </cell>
          <cell r="L114">
            <v>301239</v>
          </cell>
        </row>
        <row r="115">
          <cell r="C115" t="str">
            <v>구분</v>
          </cell>
          <cell r="D115" t="str">
            <v>니트셔츠</v>
          </cell>
          <cell r="E115" t="str">
            <v>우븐셔츠</v>
          </cell>
          <cell r="F115" t="str">
            <v>스웨터</v>
          </cell>
          <cell r="G115" t="str">
            <v>바지</v>
          </cell>
          <cell r="H115" t="str">
            <v>점퍼</v>
          </cell>
          <cell r="I115" t="str">
            <v>자켓</v>
          </cell>
          <cell r="K115" t="str">
            <v>아웃베스트</v>
          </cell>
          <cell r="L115" t="str">
            <v>계</v>
          </cell>
        </row>
        <row r="116">
          <cell r="C116" t="str">
            <v>여름 판매</v>
          </cell>
          <cell r="D116">
            <v>4243</v>
          </cell>
          <cell r="E116">
            <v>456</v>
          </cell>
          <cell r="F116">
            <v>3200</v>
          </cell>
          <cell r="G116">
            <v>5225</v>
          </cell>
          <cell r="H116">
            <v>1238</v>
          </cell>
          <cell r="I116">
            <v>523</v>
          </cell>
          <cell r="K116">
            <v>1141</v>
          </cell>
          <cell r="L116">
            <v>16026</v>
          </cell>
        </row>
        <row r="117">
          <cell r="C117" t="str">
            <v>봄 판매</v>
          </cell>
          <cell r="D117">
            <v>391</v>
          </cell>
          <cell r="E117">
            <v>248</v>
          </cell>
          <cell r="F117">
            <v>1482</v>
          </cell>
          <cell r="G117">
            <v>771</v>
          </cell>
          <cell r="H117">
            <v>55</v>
          </cell>
          <cell r="I117">
            <v>114</v>
          </cell>
          <cell r="K117">
            <v>28</v>
          </cell>
          <cell r="L117">
            <v>3089</v>
          </cell>
        </row>
        <row r="118">
          <cell r="C118" t="str">
            <v>판매 계</v>
          </cell>
          <cell r="D118">
            <v>4634</v>
          </cell>
          <cell r="E118">
            <v>704</v>
          </cell>
          <cell r="F118">
            <v>4682</v>
          </cell>
          <cell r="G118">
            <v>5996</v>
          </cell>
          <cell r="H118">
            <v>1293</v>
          </cell>
          <cell r="I118">
            <v>637</v>
          </cell>
          <cell r="K118">
            <v>1169</v>
          </cell>
          <cell r="L118">
            <v>19115</v>
          </cell>
        </row>
        <row r="119">
          <cell r="C119" t="str">
            <v>여름 생산</v>
          </cell>
          <cell r="D119">
            <v>60738</v>
          </cell>
          <cell r="E119">
            <v>8918</v>
          </cell>
          <cell r="F119">
            <v>26047</v>
          </cell>
          <cell r="G119">
            <v>48284</v>
          </cell>
          <cell r="H119">
            <v>15664</v>
          </cell>
          <cell r="I119">
            <v>7061</v>
          </cell>
          <cell r="K119">
            <v>11386</v>
          </cell>
          <cell r="L119">
            <v>178098</v>
          </cell>
        </row>
        <row r="120">
          <cell r="C120" t="str">
            <v>봄 생산</v>
          </cell>
          <cell r="D120">
            <v>24999</v>
          </cell>
          <cell r="E120">
            <v>11832</v>
          </cell>
          <cell r="F120">
            <v>27913</v>
          </cell>
          <cell r="G120">
            <v>34043</v>
          </cell>
          <cell r="H120">
            <v>10033</v>
          </cell>
          <cell r="I120">
            <v>9535</v>
          </cell>
          <cell r="K120">
            <v>4786</v>
          </cell>
          <cell r="L120">
            <v>123141</v>
          </cell>
        </row>
        <row r="121">
          <cell r="C121" t="str">
            <v>생산 계</v>
          </cell>
          <cell r="D121">
            <v>85737</v>
          </cell>
          <cell r="E121">
            <v>20750</v>
          </cell>
          <cell r="F121">
            <v>53960</v>
          </cell>
          <cell r="G121">
            <v>82327</v>
          </cell>
          <cell r="H121">
            <v>25697</v>
          </cell>
          <cell r="I121">
            <v>16596</v>
          </cell>
          <cell r="K121">
            <v>16172</v>
          </cell>
          <cell r="L121">
            <v>301239</v>
          </cell>
        </row>
        <row r="122">
          <cell r="C122" t="str">
            <v>구분</v>
          </cell>
          <cell r="D122" t="str">
            <v>니트셔츠</v>
          </cell>
          <cell r="E122" t="str">
            <v>우븐셔츠</v>
          </cell>
          <cell r="F122" t="str">
            <v>스웨터</v>
          </cell>
          <cell r="G122" t="str">
            <v>바지</v>
          </cell>
          <cell r="H122" t="str">
            <v>점퍼</v>
          </cell>
          <cell r="I122" t="str">
            <v>자켓</v>
          </cell>
          <cell r="K122" t="str">
            <v>아웃베스트</v>
          </cell>
          <cell r="L122" t="str">
            <v>계</v>
          </cell>
        </row>
        <row r="123">
          <cell r="C123" t="str">
            <v>여름 판매</v>
          </cell>
          <cell r="D123">
            <v>2762</v>
          </cell>
          <cell r="E123">
            <v>267</v>
          </cell>
          <cell r="F123">
            <v>2167</v>
          </cell>
          <cell r="G123">
            <v>2508</v>
          </cell>
          <cell r="H123">
            <v>546</v>
          </cell>
          <cell r="I123">
            <v>328</v>
          </cell>
          <cell r="K123">
            <v>884</v>
          </cell>
          <cell r="L123">
            <v>9462</v>
          </cell>
        </row>
        <row r="124">
          <cell r="C124" t="str">
            <v>봄 판매</v>
          </cell>
          <cell r="D124">
            <v>425</v>
          </cell>
          <cell r="E124">
            <v>210</v>
          </cell>
          <cell r="F124">
            <v>1400</v>
          </cell>
          <cell r="G124">
            <v>985</v>
          </cell>
          <cell r="H124">
            <v>125</v>
          </cell>
          <cell r="I124">
            <v>207</v>
          </cell>
          <cell r="K124">
            <v>183</v>
          </cell>
          <cell r="L124">
            <v>3535</v>
          </cell>
        </row>
        <row r="125">
          <cell r="C125" t="str">
            <v>판매 계</v>
          </cell>
          <cell r="D125">
            <v>3187</v>
          </cell>
          <cell r="E125">
            <v>477</v>
          </cell>
          <cell r="F125">
            <v>3567</v>
          </cell>
          <cell r="G125">
            <v>3493</v>
          </cell>
          <cell r="H125">
            <v>671</v>
          </cell>
          <cell r="I125">
            <v>535</v>
          </cell>
          <cell r="K125">
            <v>1067</v>
          </cell>
          <cell r="L125">
            <v>12997</v>
          </cell>
        </row>
        <row r="126">
          <cell r="C126" t="str">
            <v>여름 생산</v>
          </cell>
          <cell r="D126">
            <v>60738</v>
          </cell>
          <cell r="E126">
            <v>8918</v>
          </cell>
          <cell r="F126">
            <v>26047</v>
          </cell>
          <cell r="G126">
            <v>48284</v>
          </cell>
          <cell r="H126">
            <v>15664</v>
          </cell>
          <cell r="I126">
            <v>7061</v>
          </cell>
          <cell r="K126">
            <v>11386</v>
          </cell>
          <cell r="L126">
            <v>178098</v>
          </cell>
        </row>
        <row r="127">
          <cell r="C127" t="str">
            <v>봄 생산</v>
          </cell>
          <cell r="D127">
            <v>24999</v>
          </cell>
          <cell r="E127">
            <v>11832</v>
          </cell>
          <cell r="F127">
            <v>27913</v>
          </cell>
          <cell r="G127">
            <v>34043</v>
          </cell>
          <cell r="H127">
            <v>10033</v>
          </cell>
          <cell r="I127">
            <v>9535</v>
          </cell>
          <cell r="K127">
            <v>4786</v>
          </cell>
          <cell r="L127">
            <v>123141</v>
          </cell>
        </row>
        <row r="128">
          <cell r="C128" t="str">
            <v>생산 계</v>
          </cell>
          <cell r="D128">
            <v>85737</v>
          </cell>
          <cell r="E128">
            <v>20750</v>
          </cell>
          <cell r="F128">
            <v>53960</v>
          </cell>
          <cell r="G128">
            <v>82327</v>
          </cell>
          <cell r="H128">
            <v>25697</v>
          </cell>
          <cell r="I128">
            <v>16596</v>
          </cell>
          <cell r="K128">
            <v>16172</v>
          </cell>
          <cell r="L128">
            <v>301239</v>
          </cell>
        </row>
      </sheetData>
      <sheetData sheetId="4"/>
      <sheetData sheetId="5">
        <row r="3">
          <cell r="A3" t="str">
            <v>I</v>
          </cell>
          <cell r="D3" t="str">
            <v>3월</v>
          </cell>
        </row>
        <row r="4">
          <cell r="D4" t="str">
            <v>3월</v>
          </cell>
        </row>
        <row r="5">
          <cell r="D5" t="str">
            <v>3월</v>
          </cell>
        </row>
        <row r="6">
          <cell r="D6" t="str">
            <v>3월</v>
          </cell>
        </row>
        <row r="7">
          <cell r="D7" t="str">
            <v>3월</v>
          </cell>
        </row>
        <row r="8">
          <cell r="D8" t="str">
            <v>3월</v>
          </cell>
        </row>
        <row r="9">
          <cell r="D9" t="str">
            <v>3월</v>
          </cell>
        </row>
        <row r="10">
          <cell r="D10" t="str">
            <v>3월</v>
          </cell>
        </row>
        <row r="11">
          <cell r="D11" t="str">
            <v>3월</v>
          </cell>
        </row>
        <row r="12">
          <cell r="D12" t="str">
            <v>3월</v>
          </cell>
        </row>
        <row r="13">
          <cell r="D13" t="str">
            <v>3월</v>
          </cell>
        </row>
        <row r="14">
          <cell r="D14" t="str">
            <v>3월</v>
          </cell>
        </row>
        <row r="15">
          <cell r="D15" t="str">
            <v>3월</v>
          </cell>
        </row>
        <row r="16">
          <cell r="D16" t="str">
            <v>3월</v>
          </cell>
        </row>
        <row r="17">
          <cell r="D17" t="str">
            <v>3월</v>
          </cell>
        </row>
        <row r="18">
          <cell r="D18" t="str">
            <v>3월</v>
          </cell>
        </row>
        <row r="19">
          <cell r="D19" t="str">
            <v>3월</v>
          </cell>
        </row>
        <row r="20">
          <cell r="D20" t="str">
            <v>3월</v>
          </cell>
        </row>
        <row r="21">
          <cell r="D21" t="str">
            <v>3월</v>
          </cell>
        </row>
        <row r="22">
          <cell r="D22" t="str">
            <v>3월</v>
          </cell>
        </row>
        <row r="23">
          <cell r="D23" t="str">
            <v>3월</v>
          </cell>
        </row>
        <row r="24">
          <cell r="D24" t="str">
            <v>3월</v>
          </cell>
        </row>
        <row r="25">
          <cell r="D25" t="str">
            <v>3월</v>
          </cell>
        </row>
        <row r="26">
          <cell r="D26" t="str">
            <v>3월</v>
          </cell>
        </row>
        <row r="27">
          <cell r="D27" t="str">
            <v>3월</v>
          </cell>
        </row>
        <row r="28">
          <cell r="D28" t="str">
            <v>3월</v>
          </cell>
        </row>
        <row r="29">
          <cell r="D29" t="str">
            <v>3월</v>
          </cell>
        </row>
        <row r="30">
          <cell r="D30" t="str">
            <v>3월</v>
          </cell>
        </row>
        <row r="31">
          <cell r="D31" t="str">
            <v>3월</v>
          </cell>
        </row>
        <row r="32">
          <cell r="D32" t="str">
            <v>3월</v>
          </cell>
        </row>
        <row r="33">
          <cell r="D33" t="str">
            <v>3월</v>
          </cell>
        </row>
        <row r="34">
          <cell r="D34" t="str">
            <v>3월</v>
          </cell>
        </row>
        <row r="35">
          <cell r="D35" t="str">
            <v>3월</v>
          </cell>
        </row>
        <row r="36">
          <cell r="D36" t="str">
            <v>3월</v>
          </cell>
        </row>
        <row r="37">
          <cell r="D37" t="str">
            <v>3월</v>
          </cell>
        </row>
        <row r="38">
          <cell r="D38" t="str">
            <v>3월</v>
          </cell>
        </row>
        <row r="39">
          <cell r="D39" t="str">
            <v>3월</v>
          </cell>
        </row>
        <row r="40">
          <cell r="D40" t="str">
            <v>3월</v>
          </cell>
        </row>
        <row r="41">
          <cell r="D41" t="str">
            <v>3월</v>
          </cell>
        </row>
        <row r="42">
          <cell r="D42" t="str">
            <v>3월</v>
          </cell>
        </row>
        <row r="43">
          <cell r="D43" t="str">
            <v>3월</v>
          </cell>
        </row>
        <row r="44">
          <cell r="D44" t="str">
            <v>3월</v>
          </cell>
        </row>
        <row r="45">
          <cell r="D45" t="str">
            <v>3월</v>
          </cell>
        </row>
        <row r="46">
          <cell r="D46" t="str">
            <v>3월</v>
          </cell>
        </row>
        <row r="47">
          <cell r="D47" t="str">
            <v>3월</v>
          </cell>
        </row>
        <row r="48">
          <cell r="D48" t="str">
            <v>3월</v>
          </cell>
        </row>
        <row r="49">
          <cell r="D49" t="str">
            <v>3월</v>
          </cell>
        </row>
        <row r="50">
          <cell r="D50" t="str">
            <v>3월</v>
          </cell>
        </row>
        <row r="51">
          <cell r="D51" t="str">
            <v>3월</v>
          </cell>
        </row>
        <row r="52">
          <cell r="D52" t="str">
            <v>3월</v>
          </cell>
        </row>
        <row r="53">
          <cell r="D53" t="str">
            <v>3월</v>
          </cell>
        </row>
        <row r="54">
          <cell r="D54" t="str">
            <v>3월</v>
          </cell>
        </row>
        <row r="55">
          <cell r="D55" t="str">
            <v>3월</v>
          </cell>
        </row>
        <row r="56">
          <cell r="D56" t="str">
            <v>3월</v>
          </cell>
        </row>
        <row r="57">
          <cell r="D57" t="str">
            <v>3월</v>
          </cell>
        </row>
        <row r="58">
          <cell r="D58" t="str">
            <v>3월</v>
          </cell>
        </row>
        <row r="59">
          <cell r="D59" t="str">
            <v>3월</v>
          </cell>
        </row>
        <row r="60">
          <cell r="D60" t="str">
            <v>3월</v>
          </cell>
        </row>
        <row r="61">
          <cell r="D61" t="str">
            <v>3월</v>
          </cell>
        </row>
        <row r="62">
          <cell r="D62" t="str">
            <v>3월</v>
          </cell>
        </row>
        <row r="63">
          <cell r="D63" t="str">
            <v>3월</v>
          </cell>
        </row>
        <row r="64">
          <cell r="D64" t="str">
            <v>3월</v>
          </cell>
        </row>
        <row r="65">
          <cell r="D65" t="str">
            <v>3월</v>
          </cell>
        </row>
        <row r="66">
          <cell r="D66" t="str">
            <v>3월</v>
          </cell>
        </row>
        <row r="67">
          <cell r="D67" t="str">
            <v>3월</v>
          </cell>
        </row>
        <row r="68">
          <cell r="D68" t="str">
            <v>3월</v>
          </cell>
        </row>
        <row r="69">
          <cell r="D69" t="str">
            <v>3월</v>
          </cell>
        </row>
        <row r="70">
          <cell r="D70" t="str">
            <v>3월</v>
          </cell>
        </row>
        <row r="71">
          <cell r="D71" t="str">
            <v>3월</v>
          </cell>
        </row>
        <row r="72">
          <cell r="D72" t="str">
            <v>3월</v>
          </cell>
        </row>
        <row r="73">
          <cell r="D73" t="str">
            <v>3월</v>
          </cell>
        </row>
        <row r="74">
          <cell r="D74" t="str">
            <v>3월</v>
          </cell>
        </row>
        <row r="75">
          <cell r="D75" t="str">
            <v>3월</v>
          </cell>
        </row>
        <row r="76">
          <cell r="D76" t="str">
            <v>3월</v>
          </cell>
        </row>
        <row r="77">
          <cell r="D77" t="str">
            <v>3월</v>
          </cell>
        </row>
        <row r="78">
          <cell r="D78" t="str">
            <v>3월</v>
          </cell>
        </row>
        <row r="79">
          <cell r="D79" t="str">
            <v>3월</v>
          </cell>
        </row>
        <row r="80">
          <cell r="D80" t="str">
            <v>3월</v>
          </cell>
        </row>
        <row r="81">
          <cell r="D81" t="str">
            <v>3월</v>
          </cell>
        </row>
        <row r="82">
          <cell r="D82" t="str">
            <v>3월</v>
          </cell>
        </row>
        <row r="83">
          <cell r="D83" t="str">
            <v>3월</v>
          </cell>
        </row>
        <row r="84">
          <cell r="D84" t="str">
            <v>3월</v>
          </cell>
        </row>
        <row r="85">
          <cell r="D85" t="str">
            <v>3월</v>
          </cell>
        </row>
        <row r="86">
          <cell r="D86" t="str">
            <v>3월</v>
          </cell>
        </row>
        <row r="87">
          <cell r="D87" t="str">
            <v>3월</v>
          </cell>
        </row>
        <row r="88">
          <cell r="D88" t="str">
            <v>3월</v>
          </cell>
        </row>
        <row r="89">
          <cell r="D89" t="str">
            <v>3월</v>
          </cell>
        </row>
        <row r="90">
          <cell r="D90" t="str">
            <v>3월</v>
          </cell>
        </row>
        <row r="91">
          <cell r="D91" t="str">
            <v>3월</v>
          </cell>
        </row>
        <row r="92">
          <cell r="D92" t="str">
            <v>3월</v>
          </cell>
        </row>
        <row r="93">
          <cell r="D93" t="str">
            <v>3월</v>
          </cell>
        </row>
        <row r="94">
          <cell r="D94" t="str">
            <v>3월</v>
          </cell>
        </row>
        <row r="95">
          <cell r="D95" t="str">
            <v>3월</v>
          </cell>
        </row>
        <row r="96">
          <cell r="D96" t="str">
            <v>3월</v>
          </cell>
        </row>
        <row r="97">
          <cell r="D97" t="str">
            <v>3월</v>
          </cell>
        </row>
        <row r="98">
          <cell r="D98" t="str">
            <v>3월</v>
          </cell>
        </row>
        <row r="99">
          <cell r="D99" t="str">
            <v>3월</v>
          </cell>
        </row>
        <row r="100">
          <cell r="D100" t="str">
            <v>3월</v>
          </cell>
        </row>
        <row r="101">
          <cell r="D101" t="str">
            <v>3월</v>
          </cell>
        </row>
        <row r="102">
          <cell r="D102" t="str">
            <v>3월</v>
          </cell>
        </row>
        <row r="103">
          <cell r="D103" t="str">
            <v>3월</v>
          </cell>
        </row>
        <row r="104">
          <cell r="D104" t="str">
            <v>3월</v>
          </cell>
        </row>
        <row r="105">
          <cell r="D105" t="str">
            <v>3월</v>
          </cell>
        </row>
        <row r="106">
          <cell r="D106" t="str">
            <v>3월</v>
          </cell>
        </row>
        <row r="107">
          <cell r="D107" t="str">
            <v>3월</v>
          </cell>
        </row>
        <row r="108">
          <cell r="D108" t="str">
            <v>3월</v>
          </cell>
        </row>
        <row r="109">
          <cell r="D109" t="str">
            <v>3월</v>
          </cell>
        </row>
        <row r="110">
          <cell r="D110" t="str">
            <v>3월</v>
          </cell>
        </row>
        <row r="111">
          <cell r="D111" t="str">
            <v>3월</v>
          </cell>
        </row>
        <row r="112">
          <cell r="D112" t="str">
            <v>3월</v>
          </cell>
        </row>
        <row r="113">
          <cell r="D113" t="str">
            <v>3월</v>
          </cell>
        </row>
        <row r="114">
          <cell r="D114" t="str">
            <v>3월</v>
          </cell>
        </row>
        <row r="115">
          <cell r="D115" t="str">
            <v>3월</v>
          </cell>
        </row>
        <row r="116">
          <cell r="D116" t="str">
            <v>3월</v>
          </cell>
        </row>
        <row r="117">
          <cell r="D117" t="str">
            <v>3월</v>
          </cell>
        </row>
        <row r="118">
          <cell r="D118" t="str">
            <v>3월</v>
          </cell>
        </row>
        <row r="119">
          <cell r="D119" t="str">
            <v>3월</v>
          </cell>
        </row>
        <row r="120">
          <cell r="D120" t="str">
            <v>3월</v>
          </cell>
        </row>
        <row r="121">
          <cell r="D121" t="str">
            <v>3월</v>
          </cell>
        </row>
        <row r="122">
          <cell r="D122" t="str">
            <v>3월</v>
          </cell>
        </row>
        <row r="123">
          <cell r="D123" t="str">
            <v>3월</v>
          </cell>
        </row>
        <row r="124">
          <cell r="D124" t="str">
            <v>3월</v>
          </cell>
        </row>
        <row r="125">
          <cell r="D125" t="str">
            <v>3월</v>
          </cell>
        </row>
        <row r="126">
          <cell r="D126" t="str">
            <v>3월</v>
          </cell>
        </row>
        <row r="127">
          <cell r="D127" t="str">
            <v>3월</v>
          </cell>
        </row>
        <row r="128">
          <cell r="D128" t="str">
            <v>3월</v>
          </cell>
        </row>
        <row r="129">
          <cell r="D129" t="str">
            <v>3월</v>
          </cell>
        </row>
        <row r="130">
          <cell r="D130" t="str">
            <v>3월</v>
          </cell>
        </row>
        <row r="131">
          <cell r="D131" t="str">
            <v>3월</v>
          </cell>
        </row>
        <row r="132">
          <cell r="D132" t="str">
            <v>3월</v>
          </cell>
        </row>
        <row r="133">
          <cell r="D133" t="str">
            <v>3월</v>
          </cell>
        </row>
        <row r="134">
          <cell r="D134" t="str">
            <v>3월</v>
          </cell>
        </row>
        <row r="135">
          <cell r="D135" t="str">
            <v>3월</v>
          </cell>
        </row>
        <row r="136">
          <cell r="D136" t="str">
            <v>3월</v>
          </cell>
        </row>
        <row r="137">
          <cell r="D137" t="str">
            <v>3월</v>
          </cell>
        </row>
        <row r="138">
          <cell r="D138" t="str">
            <v>3월</v>
          </cell>
        </row>
        <row r="139">
          <cell r="D139" t="str">
            <v>3월</v>
          </cell>
        </row>
        <row r="140">
          <cell r="D140" t="str">
            <v>3월</v>
          </cell>
        </row>
        <row r="141">
          <cell r="D141" t="str">
            <v>3월</v>
          </cell>
        </row>
        <row r="142">
          <cell r="D142" t="str">
            <v>3월</v>
          </cell>
        </row>
        <row r="143">
          <cell r="D143" t="str">
            <v>3월</v>
          </cell>
        </row>
        <row r="144">
          <cell r="D144" t="str">
            <v>3월</v>
          </cell>
        </row>
        <row r="145">
          <cell r="D145" t="str">
            <v>3월</v>
          </cell>
        </row>
        <row r="146">
          <cell r="D146" t="str">
            <v>3월</v>
          </cell>
        </row>
        <row r="147">
          <cell r="D147" t="str">
            <v>3월</v>
          </cell>
        </row>
        <row r="148">
          <cell r="D148" t="str">
            <v>3월</v>
          </cell>
        </row>
        <row r="149">
          <cell r="D149" t="str">
            <v>3월</v>
          </cell>
        </row>
        <row r="150">
          <cell r="D150" t="str">
            <v>3월</v>
          </cell>
        </row>
        <row r="151">
          <cell r="D151" t="str">
            <v>3월</v>
          </cell>
        </row>
        <row r="152">
          <cell r="D152" t="str">
            <v>3월</v>
          </cell>
        </row>
        <row r="153">
          <cell r="D153" t="str">
            <v>3월</v>
          </cell>
        </row>
        <row r="154">
          <cell r="D154" t="str">
            <v>3월</v>
          </cell>
        </row>
        <row r="155">
          <cell r="D155" t="str">
            <v>3월</v>
          </cell>
        </row>
        <row r="156">
          <cell r="D156" t="str">
            <v>3월</v>
          </cell>
        </row>
        <row r="157">
          <cell r="D157" t="str">
            <v>3월</v>
          </cell>
        </row>
        <row r="158">
          <cell r="D158" t="str">
            <v>3월</v>
          </cell>
        </row>
        <row r="159">
          <cell r="D159" t="str">
            <v>3월</v>
          </cell>
        </row>
        <row r="160">
          <cell r="D160" t="str">
            <v>3월</v>
          </cell>
        </row>
        <row r="161">
          <cell r="D161" t="str">
            <v>3월</v>
          </cell>
        </row>
        <row r="162">
          <cell r="D162" t="str">
            <v>3월</v>
          </cell>
        </row>
        <row r="163">
          <cell r="D163" t="str">
            <v>3월</v>
          </cell>
        </row>
        <row r="164">
          <cell r="D164" t="str">
            <v>3월</v>
          </cell>
        </row>
        <row r="165">
          <cell r="D165" t="str">
            <v>3월</v>
          </cell>
        </row>
        <row r="166">
          <cell r="D166" t="str">
            <v>3월</v>
          </cell>
        </row>
        <row r="167">
          <cell r="D167" t="str">
            <v>3월</v>
          </cell>
        </row>
        <row r="168">
          <cell r="D168" t="str">
            <v>3월</v>
          </cell>
        </row>
        <row r="169">
          <cell r="D169" t="str">
            <v>3월</v>
          </cell>
        </row>
        <row r="170">
          <cell r="D170" t="str">
            <v>3월</v>
          </cell>
        </row>
        <row r="171">
          <cell r="D171" t="str">
            <v>3월</v>
          </cell>
        </row>
        <row r="172">
          <cell r="D172" t="str">
            <v>3월</v>
          </cell>
        </row>
        <row r="173">
          <cell r="D173" t="str">
            <v>3월</v>
          </cell>
        </row>
        <row r="174">
          <cell r="D174" t="str">
            <v>3월</v>
          </cell>
        </row>
        <row r="175">
          <cell r="D175" t="str">
            <v>3월</v>
          </cell>
        </row>
        <row r="176">
          <cell r="D176" t="str">
            <v>3월</v>
          </cell>
        </row>
        <row r="177">
          <cell r="D177" t="str">
            <v>3월</v>
          </cell>
        </row>
        <row r="178">
          <cell r="D178" t="str">
            <v>3월</v>
          </cell>
        </row>
        <row r="179">
          <cell r="D179" t="str">
            <v>3월</v>
          </cell>
        </row>
        <row r="180">
          <cell r="D180" t="str">
            <v>3월</v>
          </cell>
        </row>
        <row r="181">
          <cell r="D181" t="str">
            <v>3월</v>
          </cell>
        </row>
        <row r="182">
          <cell r="D182" t="str">
            <v>3월</v>
          </cell>
        </row>
        <row r="183">
          <cell r="D183" t="str">
            <v>3월</v>
          </cell>
        </row>
        <row r="184">
          <cell r="D184" t="str">
            <v>3월</v>
          </cell>
        </row>
        <row r="185">
          <cell r="D185" t="str">
            <v>3월</v>
          </cell>
        </row>
        <row r="186">
          <cell r="D186" t="str">
            <v>3월</v>
          </cell>
        </row>
        <row r="187">
          <cell r="D187" t="str">
            <v>4월</v>
          </cell>
        </row>
        <row r="188">
          <cell r="D188" t="str">
            <v>4월</v>
          </cell>
        </row>
        <row r="189">
          <cell r="D189" t="str">
            <v>4월</v>
          </cell>
        </row>
        <row r="190">
          <cell r="D190" t="str">
            <v>4월</v>
          </cell>
        </row>
        <row r="191">
          <cell r="D191" t="str">
            <v>4월</v>
          </cell>
        </row>
        <row r="192">
          <cell r="D192" t="str">
            <v>4월</v>
          </cell>
        </row>
        <row r="193">
          <cell r="D193" t="str">
            <v>4월</v>
          </cell>
        </row>
        <row r="194">
          <cell r="D194" t="str">
            <v>4월</v>
          </cell>
        </row>
        <row r="195">
          <cell r="D195" t="str">
            <v>4월</v>
          </cell>
        </row>
        <row r="196">
          <cell r="D196" t="str">
            <v>4월</v>
          </cell>
        </row>
        <row r="197">
          <cell r="D197" t="str">
            <v>4월</v>
          </cell>
        </row>
        <row r="198">
          <cell r="D198" t="str">
            <v>4월</v>
          </cell>
        </row>
        <row r="199">
          <cell r="D199" t="str">
            <v>4월</v>
          </cell>
        </row>
        <row r="200">
          <cell r="D200" t="str">
            <v>4월</v>
          </cell>
        </row>
        <row r="201">
          <cell r="D201" t="str">
            <v>4월</v>
          </cell>
        </row>
        <row r="202">
          <cell r="D202" t="str">
            <v>4월</v>
          </cell>
        </row>
        <row r="203">
          <cell r="D203" t="str">
            <v>4월</v>
          </cell>
        </row>
        <row r="204">
          <cell r="D204" t="str">
            <v>4월</v>
          </cell>
        </row>
        <row r="205">
          <cell r="D205" t="str">
            <v>4월</v>
          </cell>
        </row>
        <row r="206">
          <cell r="D206" t="str">
            <v>4월</v>
          </cell>
        </row>
        <row r="207">
          <cell r="D207" t="str">
            <v>4월</v>
          </cell>
        </row>
        <row r="208">
          <cell r="D208" t="str">
            <v>4월</v>
          </cell>
        </row>
        <row r="209">
          <cell r="D209" t="str">
            <v>4월</v>
          </cell>
        </row>
        <row r="210">
          <cell r="D210" t="str">
            <v>4월</v>
          </cell>
        </row>
        <row r="211">
          <cell r="D211" t="str">
            <v>4월</v>
          </cell>
        </row>
        <row r="212">
          <cell r="D212" t="str">
            <v>4월</v>
          </cell>
        </row>
        <row r="213">
          <cell r="D213" t="str">
            <v>4월</v>
          </cell>
        </row>
        <row r="214">
          <cell r="D214" t="str">
            <v>4월</v>
          </cell>
        </row>
        <row r="215">
          <cell r="D215" t="str">
            <v>4월</v>
          </cell>
        </row>
        <row r="216">
          <cell r="D216" t="str">
            <v>4월</v>
          </cell>
        </row>
        <row r="217">
          <cell r="D217" t="str">
            <v>4월</v>
          </cell>
        </row>
        <row r="218">
          <cell r="D218" t="str">
            <v>4월</v>
          </cell>
        </row>
        <row r="219">
          <cell r="D219" t="str">
            <v>4월</v>
          </cell>
        </row>
        <row r="220">
          <cell r="D220" t="str">
            <v>4월</v>
          </cell>
        </row>
        <row r="221">
          <cell r="D221" t="str">
            <v>4월</v>
          </cell>
        </row>
        <row r="222">
          <cell r="D222" t="str">
            <v>4월</v>
          </cell>
        </row>
        <row r="223">
          <cell r="D223" t="str">
            <v>4월</v>
          </cell>
        </row>
        <row r="224">
          <cell r="D224" t="str">
            <v>4월</v>
          </cell>
        </row>
        <row r="225">
          <cell r="D225" t="str">
            <v>4월</v>
          </cell>
        </row>
        <row r="226">
          <cell r="D226" t="str">
            <v>4월</v>
          </cell>
        </row>
        <row r="227">
          <cell r="D227" t="str">
            <v>4월</v>
          </cell>
        </row>
        <row r="228">
          <cell r="D228" t="str">
            <v>4월</v>
          </cell>
        </row>
        <row r="229">
          <cell r="D229" t="str">
            <v>4월</v>
          </cell>
        </row>
        <row r="230">
          <cell r="D230" t="str">
            <v>4월</v>
          </cell>
        </row>
        <row r="231">
          <cell r="D231" t="str">
            <v>4월</v>
          </cell>
        </row>
        <row r="232">
          <cell r="D232" t="str">
            <v>4월</v>
          </cell>
        </row>
        <row r="233">
          <cell r="D233" t="str">
            <v>4월</v>
          </cell>
        </row>
        <row r="234">
          <cell r="D234" t="str">
            <v>4월</v>
          </cell>
        </row>
        <row r="235">
          <cell r="D235" t="str">
            <v>4월</v>
          </cell>
        </row>
        <row r="236">
          <cell r="D236" t="str">
            <v>4월</v>
          </cell>
        </row>
        <row r="237">
          <cell r="D237" t="str">
            <v>4월</v>
          </cell>
        </row>
        <row r="238">
          <cell r="D238" t="str">
            <v>4월</v>
          </cell>
        </row>
        <row r="239">
          <cell r="D239" t="str">
            <v>4월</v>
          </cell>
        </row>
        <row r="240">
          <cell r="D240" t="str">
            <v>4월</v>
          </cell>
        </row>
        <row r="241">
          <cell r="D241" t="str">
            <v>4월</v>
          </cell>
        </row>
        <row r="242">
          <cell r="D242" t="str">
            <v>4월</v>
          </cell>
        </row>
        <row r="243">
          <cell r="D243" t="str">
            <v>4월</v>
          </cell>
        </row>
        <row r="244">
          <cell r="D244" t="str">
            <v>4월</v>
          </cell>
        </row>
        <row r="245">
          <cell r="D245" t="str">
            <v>4월</v>
          </cell>
        </row>
        <row r="246">
          <cell r="D246" t="str">
            <v>4월</v>
          </cell>
        </row>
        <row r="247">
          <cell r="D247" t="str">
            <v>4월</v>
          </cell>
        </row>
        <row r="248">
          <cell r="D248" t="str">
            <v>4월</v>
          </cell>
        </row>
        <row r="249">
          <cell r="D249" t="str">
            <v>4월</v>
          </cell>
        </row>
        <row r="250">
          <cell r="D250" t="str">
            <v>4월</v>
          </cell>
        </row>
        <row r="251">
          <cell r="D251" t="str">
            <v>4월</v>
          </cell>
        </row>
        <row r="252">
          <cell r="D252" t="str">
            <v>4월</v>
          </cell>
        </row>
        <row r="253">
          <cell r="D253" t="str">
            <v>4월</v>
          </cell>
        </row>
        <row r="254">
          <cell r="D254" t="str">
            <v>4월</v>
          </cell>
        </row>
        <row r="255">
          <cell r="D255" t="str">
            <v>4월</v>
          </cell>
        </row>
        <row r="256">
          <cell r="D256" t="str">
            <v>4월</v>
          </cell>
        </row>
        <row r="257">
          <cell r="D257" t="str">
            <v>4월</v>
          </cell>
        </row>
        <row r="258">
          <cell r="D258" t="str">
            <v>4월</v>
          </cell>
        </row>
        <row r="259">
          <cell r="D259" t="str">
            <v>4월</v>
          </cell>
        </row>
        <row r="260">
          <cell r="D260" t="str">
            <v>4월</v>
          </cell>
        </row>
        <row r="261">
          <cell r="D261" t="str">
            <v>4월</v>
          </cell>
        </row>
        <row r="262">
          <cell r="D262" t="str">
            <v>4월</v>
          </cell>
        </row>
        <row r="263">
          <cell r="D263" t="str">
            <v>4월</v>
          </cell>
        </row>
        <row r="264">
          <cell r="D264" t="str">
            <v>4월</v>
          </cell>
        </row>
        <row r="265">
          <cell r="D265" t="str">
            <v>4월</v>
          </cell>
        </row>
        <row r="266">
          <cell r="D266" t="str">
            <v>4월</v>
          </cell>
        </row>
        <row r="267">
          <cell r="D267" t="str">
            <v>4월</v>
          </cell>
        </row>
        <row r="268">
          <cell r="D268" t="str">
            <v>4월</v>
          </cell>
        </row>
        <row r="269">
          <cell r="D269" t="str">
            <v>4월</v>
          </cell>
        </row>
        <row r="270">
          <cell r="D270" t="str">
            <v>4월</v>
          </cell>
        </row>
        <row r="271">
          <cell r="D271" t="str">
            <v>4월</v>
          </cell>
        </row>
        <row r="272">
          <cell r="D272" t="str">
            <v>4월</v>
          </cell>
        </row>
        <row r="273">
          <cell r="D273" t="str">
            <v>4월</v>
          </cell>
        </row>
        <row r="274">
          <cell r="D274" t="str">
            <v>4월</v>
          </cell>
        </row>
        <row r="275">
          <cell r="D275" t="str">
            <v>4월</v>
          </cell>
        </row>
        <row r="276">
          <cell r="D276" t="str">
            <v>4월</v>
          </cell>
        </row>
        <row r="277">
          <cell r="D277" t="str">
            <v>4월</v>
          </cell>
        </row>
        <row r="278">
          <cell r="D278" t="str">
            <v>4월</v>
          </cell>
        </row>
        <row r="279">
          <cell r="D279" t="str">
            <v>4월</v>
          </cell>
        </row>
        <row r="280">
          <cell r="D280" t="str">
            <v>4월</v>
          </cell>
        </row>
        <row r="281">
          <cell r="D281" t="str">
            <v>4월</v>
          </cell>
        </row>
        <row r="282">
          <cell r="D282" t="str">
            <v>4월</v>
          </cell>
        </row>
        <row r="283">
          <cell r="D283" t="str">
            <v>4월</v>
          </cell>
        </row>
        <row r="284">
          <cell r="D284" t="str">
            <v>4월</v>
          </cell>
        </row>
        <row r="285">
          <cell r="D285" t="str">
            <v>4월</v>
          </cell>
        </row>
        <row r="286">
          <cell r="D286" t="str">
            <v>4월</v>
          </cell>
        </row>
        <row r="287">
          <cell r="D287" t="str">
            <v>4월</v>
          </cell>
        </row>
        <row r="288">
          <cell r="D288" t="str">
            <v>4월</v>
          </cell>
        </row>
        <row r="289">
          <cell r="D289" t="str">
            <v>4월</v>
          </cell>
        </row>
        <row r="290">
          <cell r="D290" t="str">
            <v>4월</v>
          </cell>
        </row>
        <row r="291">
          <cell r="D291" t="str">
            <v>4월</v>
          </cell>
        </row>
        <row r="292">
          <cell r="D292" t="str">
            <v>4월</v>
          </cell>
        </row>
        <row r="293">
          <cell r="D293" t="str">
            <v>4월</v>
          </cell>
        </row>
        <row r="294">
          <cell r="D294" t="str">
            <v>4월</v>
          </cell>
        </row>
        <row r="295">
          <cell r="D295" t="str">
            <v>4월</v>
          </cell>
        </row>
        <row r="296">
          <cell r="D296" t="str">
            <v>4월</v>
          </cell>
        </row>
        <row r="297">
          <cell r="D297" t="str">
            <v>4월</v>
          </cell>
        </row>
        <row r="298">
          <cell r="D298" t="str">
            <v>4월</v>
          </cell>
        </row>
        <row r="299">
          <cell r="D299" t="str">
            <v>4월</v>
          </cell>
        </row>
        <row r="300">
          <cell r="D300" t="str">
            <v>4월</v>
          </cell>
        </row>
        <row r="301">
          <cell r="D301" t="str">
            <v>4월</v>
          </cell>
        </row>
        <row r="302">
          <cell r="D302" t="str">
            <v>4월</v>
          </cell>
        </row>
        <row r="303">
          <cell r="D303" t="str">
            <v>4월</v>
          </cell>
        </row>
        <row r="304">
          <cell r="D304" t="str">
            <v>4월</v>
          </cell>
        </row>
        <row r="305">
          <cell r="D305" t="str">
            <v>4월</v>
          </cell>
        </row>
        <row r="306">
          <cell r="D306" t="str">
            <v>4월</v>
          </cell>
        </row>
        <row r="307">
          <cell r="D307" t="str">
            <v>4월</v>
          </cell>
        </row>
        <row r="308">
          <cell r="D308" t="str">
            <v>4월</v>
          </cell>
        </row>
        <row r="309">
          <cell r="D309" t="str">
            <v>4월</v>
          </cell>
        </row>
        <row r="310">
          <cell r="D310" t="str">
            <v>4월</v>
          </cell>
        </row>
        <row r="311">
          <cell r="D311" t="str">
            <v>4월</v>
          </cell>
        </row>
        <row r="312">
          <cell r="D312" t="str">
            <v>4월</v>
          </cell>
        </row>
        <row r="313">
          <cell r="D313" t="str">
            <v>4월</v>
          </cell>
        </row>
        <row r="314">
          <cell r="D314" t="str">
            <v>4월</v>
          </cell>
        </row>
        <row r="315">
          <cell r="D315" t="str">
            <v>4월</v>
          </cell>
        </row>
        <row r="316">
          <cell r="D316" t="str">
            <v>4월</v>
          </cell>
        </row>
        <row r="317">
          <cell r="D317" t="str">
            <v>4월</v>
          </cell>
        </row>
        <row r="318">
          <cell r="D318" t="str">
            <v>4월</v>
          </cell>
        </row>
        <row r="319">
          <cell r="D319" t="str">
            <v>4월</v>
          </cell>
        </row>
        <row r="320">
          <cell r="D320" t="str">
            <v>4월</v>
          </cell>
        </row>
        <row r="321">
          <cell r="D321" t="str">
            <v>4월</v>
          </cell>
        </row>
        <row r="322">
          <cell r="D322" t="str">
            <v>4월</v>
          </cell>
        </row>
        <row r="323">
          <cell r="D323" t="str">
            <v>4월</v>
          </cell>
        </row>
        <row r="324">
          <cell r="D324" t="str">
            <v>4월</v>
          </cell>
        </row>
        <row r="325">
          <cell r="D325" t="str">
            <v>4월</v>
          </cell>
        </row>
        <row r="326">
          <cell r="D326" t="str">
            <v>4월</v>
          </cell>
        </row>
        <row r="327">
          <cell r="D327" t="str">
            <v>4월</v>
          </cell>
        </row>
        <row r="328">
          <cell r="D328" t="str">
            <v>4월</v>
          </cell>
        </row>
        <row r="329">
          <cell r="D329" t="str">
            <v>4월</v>
          </cell>
        </row>
        <row r="330">
          <cell r="D330" t="str">
            <v>4월</v>
          </cell>
        </row>
        <row r="331">
          <cell r="D331" t="str">
            <v>4월</v>
          </cell>
        </row>
        <row r="332">
          <cell r="D332" t="str">
            <v>4월</v>
          </cell>
        </row>
        <row r="333">
          <cell r="D333" t="str">
            <v>4월</v>
          </cell>
        </row>
        <row r="334">
          <cell r="D334" t="str">
            <v>4월</v>
          </cell>
        </row>
        <row r="335">
          <cell r="D335" t="str">
            <v>4월</v>
          </cell>
        </row>
        <row r="336">
          <cell r="D336" t="str">
            <v>4월</v>
          </cell>
        </row>
        <row r="337">
          <cell r="D337" t="str">
            <v>4월</v>
          </cell>
        </row>
        <row r="338">
          <cell r="D338" t="str">
            <v>4월</v>
          </cell>
        </row>
        <row r="339">
          <cell r="D339" t="str">
            <v>4월</v>
          </cell>
        </row>
        <row r="340">
          <cell r="D340" t="str">
            <v>4월</v>
          </cell>
        </row>
        <row r="341">
          <cell r="D341" t="str">
            <v>4월</v>
          </cell>
        </row>
        <row r="342">
          <cell r="D342" t="str">
            <v>4월</v>
          </cell>
        </row>
        <row r="343">
          <cell r="D343" t="str">
            <v>4월</v>
          </cell>
        </row>
        <row r="344">
          <cell r="D344" t="str">
            <v>4월</v>
          </cell>
        </row>
        <row r="345">
          <cell r="D345" t="str">
            <v>4월</v>
          </cell>
        </row>
        <row r="346">
          <cell r="D346" t="str">
            <v>4월</v>
          </cell>
        </row>
        <row r="347">
          <cell r="D347" t="str">
            <v>4월</v>
          </cell>
        </row>
        <row r="348">
          <cell r="D348" t="str">
            <v>4월</v>
          </cell>
        </row>
        <row r="349">
          <cell r="D349" t="str">
            <v>4월</v>
          </cell>
        </row>
        <row r="350">
          <cell r="D350" t="str">
            <v>4월</v>
          </cell>
        </row>
        <row r="351">
          <cell r="D351" t="str">
            <v>4월</v>
          </cell>
        </row>
        <row r="352">
          <cell r="D352" t="str">
            <v>4월</v>
          </cell>
        </row>
        <row r="353">
          <cell r="D353" t="str">
            <v>4월</v>
          </cell>
        </row>
        <row r="354">
          <cell r="D354" t="str">
            <v>4월</v>
          </cell>
        </row>
        <row r="355">
          <cell r="D355" t="str">
            <v>4월</v>
          </cell>
        </row>
        <row r="356">
          <cell r="D356" t="str">
            <v>4월</v>
          </cell>
        </row>
        <row r="357">
          <cell r="D357" t="str">
            <v>4월</v>
          </cell>
        </row>
        <row r="358">
          <cell r="D358" t="str">
            <v>4월</v>
          </cell>
        </row>
        <row r="359">
          <cell r="D359" t="str">
            <v>4월</v>
          </cell>
        </row>
        <row r="360">
          <cell r="D360" t="str">
            <v>4월</v>
          </cell>
        </row>
        <row r="361">
          <cell r="D361" t="str">
            <v>4월</v>
          </cell>
        </row>
        <row r="362">
          <cell r="D362" t="str">
            <v>4월</v>
          </cell>
        </row>
        <row r="363">
          <cell r="D363" t="str">
            <v>4월</v>
          </cell>
        </row>
        <row r="364">
          <cell r="D364" t="str">
            <v>4월</v>
          </cell>
        </row>
        <row r="365">
          <cell r="D365" t="str">
            <v>4월</v>
          </cell>
        </row>
        <row r="366">
          <cell r="D366" t="str">
            <v>4월</v>
          </cell>
        </row>
        <row r="367">
          <cell r="D367" t="str">
            <v>4월</v>
          </cell>
        </row>
        <row r="368">
          <cell r="D368" t="str">
            <v>4월</v>
          </cell>
        </row>
        <row r="369">
          <cell r="D369" t="str">
            <v>4월</v>
          </cell>
        </row>
        <row r="370">
          <cell r="D370" t="str">
            <v>4월</v>
          </cell>
        </row>
        <row r="371">
          <cell r="D371" t="str">
            <v>4월</v>
          </cell>
        </row>
        <row r="372">
          <cell r="D372" t="str">
            <v>4월</v>
          </cell>
        </row>
        <row r="373">
          <cell r="D373" t="str">
            <v>4월</v>
          </cell>
        </row>
        <row r="374">
          <cell r="D374" t="str">
            <v>4월</v>
          </cell>
        </row>
        <row r="375">
          <cell r="D375" t="str">
            <v>4월</v>
          </cell>
        </row>
        <row r="376">
          <cell r="D376" t="str">
            <v>4월</v>
          </cell>
        </row>
        <row r="377">
          <cell r="D377" t="str">
            <v>4월</v>
          </cell>
        </row>
        <row r="378">
          <cell r="D378" t="str">
            <v>4월</v>
          </cell>
        </row>
        <row r="379">
          <cell r="D379" t="str">
            <v>4월</v>
          </cell>
        </row>
        <row r="380">
          <cell r="D380" t="str">
            <v>4월</v>
          </cell>
        </row>
        <row r="381">
          <cell r="D381" t="str">
            <v>4월</v>
          </cell>
        </row>
        <row r="382">
          <cell r="D382" t="str">
            <v>4월</v>
          </cell>
        </row>
        <row r="383">
          <cell r="D383" t="str">
            <v>4월</v>
          </cell>
        </row>
        <row r="384">
          <cell r="D384" t="str">
            <v>4월</v>
          </cell>
        </row>
        <row r="385">
          <cell r="D385" t="str">
            <v>4월</v>
          </cell>
        </row>
        <row r="386">
          <cell r="D386" t="str">
            <v>4월</v>
          </cell>
        </row>
        <row r="387">
          <cell r="D387" t="str">
            <v>4월</v>
          </cell>
        </row>
        <row r="388">
          <cell r="D388" t="str">
            <v>4월</v>
          </cell>
        </row>
        <row r="389">
          <cell r="D389" t="str">
            <v>4월</v>
          </cell>
        </row>
        <row r="390">
          <cell r="D390" t="str">
            <v>4월</v>
          </cell>
        </row>
        <row r="391">
          <cell r="D391" t="str">
            <v>4월</v>
          </cell>
        </row>
        <row r="392">
          <cell r="D392" t="str">
            <v>4월</v>
          </cell>
        </row>
        <row r="393">
          <cell r="D393" t="str">
            <v>4월</v>
          </cell>
        </row>
        <row r="394">
          <cell r="D394" t="str">
            <v>4월</v>
          </cell>
        </row>
        <row r="395">
          <cell r="D395" t="str">
            <v>4월</v>
          </cell>
        </row>
        <row r="396">
          <cell r="D396" t="str">
            <v>4월</v>
          </cell>
        </row>
        <row r="397">
          <cell r="D397" t="str">
            <v>4월</v>
          </cell>
        </row>
        <row r="398">
          <cell r="D398" t="str">
            <v>4월</v>
          </cell>
        </row>
        <row r="399">
          <cell r="D399" t="str">
            <v>4월</v>
          </cell>
        </row>
        <row r="400">
          <cell r="D400" t="str">
            <v>4월</v>
          </cell>
        </row>
        <row r="401">
          <cell r="D401" t="str">
            <v>4월</v>
          </cell>
        </row>
        <row r="402">
          <cell r="D402" t="str">
            <v>4월</v>
          </cell>
        </row>
        <row r="403">
          <cell r="D403" t="str">
            <v>4월</v>
          </cell>
        </row>
        <row r="404">
          <cell r="D404" t="str">
            <v>4월</v>
          </cell>
        </row>
        <row r="405">
          <cell r="D405" t="str">
            <v>4월</v>
          </cell>
        </row>
        <row r="406">
          <cell r="D406" t="str">
            <v>4월</v>
          </cell>
        </row>
        <row r="407">
          <cell r="D407" t="str">
            <v>4월</v>
          </cell>
        </row>
        <row r="408">
          <cell r="D408" t="str">
            <v>4월</v>
          </cell>
        </row>
        <row r="409">
          <cell r="D409" t="str">
            <v>4월</v>
          </cell>
        </row>
        <row r="410">
          <cell r="D410" t="str">
            <v>4월</v>
          </cell>
        </row>
        <row r="411">
          <cell r="D411" t="str">
            <v>4월</v>
          </cell>
        </row>
        <row r="412">
          <cell r="D412" t="str">
            <v>4월</v>
          </cell>
        </row>
        <row r="413">
          <cell r="D413" t="str">
            <v>4월</v>
          </cell>
        </row>
        <row r="414">
          <cell r="D414" t="str">
            <v>4월</v>
          </cell>
        </row>
        <row r="415">
          <cell r="D415" t="str">
            <v>4월</v>
          </cell>
        </row>
        <row r="416">
          <cell r="D416" t="str">
            <v>4월</v>
          </cell>
        </row>
        <row r="417">
          <cell r="D417" t="str">
            <v>4월</v>
          </cell>
        </row>
        <row r="418">
          <cell r="D418" t="str">
            <v>4월</v>
          </cell>
        </row>
        <row r="419">
          <cell r="D419" t="str">
            <v>4월</v>
          </cell>
        </row>
        <row r="420">
          <cell r="D420" t="str">
            <v>4월</v>
          </cell>
        </row>
        <row r="421">
          <cell r="D421" t="str">
            <v>4월</v>
          </cell>
        </row>
        <row r="422">
          <cell r="D422" t="str">
            <v>4월</v>
          </cell>
        </row>
        <row r="423">
          <cell r="D423" t="str">
            <v>4월</v>
          </cell>
        </row>
        <row r="424">
          <cell r="D424" t="str">
            <v>4월</v>
          </cell>
        </row>
        <row r="425">
          <cell r="D425" t="str">
            <v>4월</v>
          </cell>
        </row>
        <row r="426">
          <cell r="D426" t="str">
            <v>4월</v>
          </cell>
        </row>
        <row r="427">
          <cell r="D427" t="str">
            <v>4월</v>
          </cell>
        </row>
        <row r="428">
          <cell r="D428" t="str">
            <v>4월</v>
          </cell>
        </row>
        <row r="429">
          <cell r="D429" t="str">
            <v>4월</v>
          </cell>
        </row>
        <row r="430">
          <cell r="D430" t="str">
            <v>4월</v>
          </cell>
        </row>
        <row r="431">
          <cell r="D431" t="str">
            <v>4월</v>
          </cell>
        </row>
        <row r="432">
          <cell r="D432" t="str">
            <v>4월</v>
          </cell>
        </row>
        <row r="433">
          <cell r="D433" t="str">
            <v>4월</v>
          </cell>
        </row>
        <row r="434">
          <cell r="D434" t="str">
            <v>4월</v>
          </cell>
        </row>
        <row r="435">
          <cell r="D435" t="str">
            <v>4월</v>
          </cell>
        </row>
        <row r="436">
          <cell r="D436" t="str">
            <v>4월</v>
          </cell>
        </row>
        <row r="437">
          <cell r="D437" t="str">
            <v>4월</v>
          </cell>
        </row>
        <row r="438">
          <cell r="D438" t="str">
            <v>4월</v>
          </cell>
        </row>
        <row r="439">
          <cell r="D439" t="str">
            <v>4월</v>
          </cell>
        </row>
        <row r="440">
          <cell r="D440" t="str">
            <v>4월</v>
          </cell>
        </row>
        <row r="441">
          <cell r="D441" t="str">
            <v>4월</v>
          </cell>
        </row>
        <row r="442">
          <cell r="D442" t="str">
            <v>4월</v>
          </cell>
        </row>
        <row r="443">
          <cell r="D443" t="str">
            <v>4월</v>
          </cell>
        </row>
        <row r="444">
          <cell r="D444" t="str">
            <v>4월</v>
          </cell>
        </row>
        <row r="445">
          <cell r="D445" t="str">
            <v>4월</v>
          </cell>
        </row>
        <row r="446">
          <cell r="D446" t="str">
            <v>4월</v>
          </cell>
        </row>
        <row r="447">
          <cell r="D447" t="str">
            <v>4월</v>
          </cell>
        </row>
        <row r="448">
          <cell r="D448" t="str">
            <v>4월</v>
          </cell>
        </row>
        <row r="449">
          <cell r="D449" t="str">
            <v>4월</v>
          </cell>
        </row>
        <row r="450">
          <cell r="D450" t="str">
            <v>4월</v>
          </cell>
        </row>
        <row r="451">
          <cell r="D451" t="str">
            <v>4월</v>
          </cell>
        </row>
        <row r="452">
          <cell r="D452" t="str">
            <v>4월</v>
          </cell>
        </row>
        <row r="453">
          <cell r="D453" t="str">
            <v>4월</v>
          </cell>
        </row>
        <row r="454">
          <cell r="D454" t="str">
            <v>4월</v>
          </cell>
        </row>
        <row r="455">
          <cell r="D455" t="str">
            <v>4월</v>
          </cell>
        </row>
        <row r="456">
          <cell r="D456" t="str">
            <v>4월</v>
          </cell>
        </row>
        <row r="457">
          <cell r="D457" t="str">
            <v>4월</v>
          </cell>
        </row>
        <row r="458">
          <cell r="D458" t="str">
            <v>4월</v>
          </cell>
        </row>
        <row r="459">
          <cell r="D459" t="str">
            <v>4월</v>
          </cell>
        </row>
        <row r="460">
          <cell r="D460" t="str">
            <v>5월</v>
          </cell>
        </row>
        <row r="461">
          <cell r="D461" t="str">
            <v>5월</v>
          </cell>
        </row>
        <row r="462">
          <cell r="D462" t="str">
            <v>5월</v>
          </cell>
        </row>
        <row r="463">
          <cell r="D463" t="str">
            <v>5월</v>
          </cell>
        </row>
        <row r="464">
          <cell r="D464" t="str">
            <v>5월</v>
          </cell>
        </row>
        <row r="465">
          <cell r="D465" t="str">
            <v>5월</v>
          </cell>
        </row>
        <row r="466">
          <cell r="D466" t="str">
            <v>5월</v>
          </cell>
        </row>
        <row r="467">
          <cell r="D467" t="str">
            <v>5월</v>
          </cell>
        </row>
        <row r="468">
          <cell r="D468" t="str">
            <v>5월</v>
          </cell>
        </row>
        <row r="469">
          <cell r="D469" t="str">
            <v>5월</v>
          </cell>
        </row>
        <row r="470">
          <cell r="D470" t="str">
            <v>5월</v>
          </cell>
        </row>
        <row r="471">
          <cell r="D471" t="str">
            <v>5월</v>
          </cell>
        </row>
        <row r="472">
          <cell r="D472" t="str">
            <v>5월</v>
          </cell>
        </row>
        <row r="473">
          <cell r="D473" t="str">
            <v>5월</v>
          </cell>
        </row>
        <row r="474">
          <cell r="D474" t="str">
            <v>5월</v>
          </cell>
        </row>
        <row r="475">
          <cell r="D475" t="str">
            <v>5월</v>
          </cell>
        </row>
        <row r="476">
          <cell r="D476" t="str">
            <v>5월</v>
          </cell>
        </row>
        <row r="477">
          <cell r="D477" t="str">
            <v>5월</v>
          </cell>
        </row>
        <row r="478">
          <cell r="D478" t="str">
            <v>5월</v>
          </cell>
        </row>
        <row r="479">
          <cell r="D479" t="str">
            <v>5월</v>
          </cell>
        </row>
        <row r="480">
          <cell r="D480" t="str">
            <v>5월</v>
          </cell>
        </row>
        <row r="481">
          <cell r="D481" t="str">
            <v>5월</v>
          </cell>
        </row>
        <row r="482">
          <cell r="D482" t="str">
            <v>5월</v>
          </cell>
        </row>
        <row r="483">
          <cell r="D483" t="str">
            <v>5월</v>
          </cell>
        </row>
        <row r="484">
          <cell r="D484" t="str">
            <v>5월</v>
          </cell>
        </row>
        <row r="485">
          <cell r="D485" t="str">
            <v>5월</v>
          </cell>
        </row>
        <row r="486">
          <cell r="D486" t="str">
            <v>5월</v>
          </cell>
        </row>
        <row r="487">
          <cell r="D487" t="str">
            <v>5월</v>
          </cell>
        </row>
        <row r="488">
          <cell r="D488" t="str">
            <v>5월</v>
          </cell>
        </row>
        <row r="489">
          <cell r="D489" t="str">
            <v>5월</v>
          </cell>
        </row>
        <row r="490">
          <cell r="D490" t="str">
            <v>5월</v>
          </cell>
        </row>
        <row r="491">
          <cell r="D491" t="str">
            <v>5월</v>
          </cell>
        </row>
        <row r="492">
          <cell r="D492" t="str">
            <v>5월</v>
          </cell>
        </row>
        <row r="493">
          <cell r="D493" t="str">
            <v>5월</v>
          </cell>
        </row>
        <row r="494">
          <cell r="D494" t="str">
            <v>5월</v>
          </cell>
        </row>
        <row r="495">
          <cell r="D495" t="str">
            <v>5월</v>
          </cell>
        </row>
        <row r="496">
          <cell r="D496" t="str">
            <v>5월</v>
          </cell>
        </row>
        <row r="497">
          <cell r="D497" t="str">
            <v>5월</v>
          </cell>
        </row>
        <row r="498">
          <cell r="D498" t="str">
            <v>5월</v>
          </cell>
        </row>
        <row r="499">
          <cell r="D499" t="str">
            <v>5월</v>
          </cell>
        </row>
        <row r="500">
          <cell r="D500" t="str">
            <v>5월</v>
          </cell>
        </row>
        <row r="501">
          <cell r="D501" t="str">
            <v>5월</v>
          </cell>
        </row>
        <row r="502">
          <cell r="D502" t="str">
            <v>5월</v>
          </cell>
        </row>
        <row r="503">
          <cell r="D503" t="str">
            <v>5월</v>
          </cell>
        </row>
        <row r="504">
          <cell r="D504" t="str">
            <v>5월</v>
          </cell>
        </row>
        <row r="505">
          <cell r="D505" t="str">
            <v>5월</v>
          </cell>
        </row>
        <row r="506">
          <cell r="D506" t="str">
            <v>5월</v>
          </cell>
        </row>
        <row r="507">
          <cell r="D507" t="str">
            <v>5월</v>
          </cell>
        </row>
        <row r="508">
          <cell r="D508" t="str">
            <v>5월</v>
          </cell>
        </row>
        <row r="509">
          <cell r="D509" t="str">
            <v>5월</v>
          </cell>
        </row>
        <row r="510">
          <cell r="D510" t="str">
            <v>5월</v>
          </cell>
        </row>
        <row r="511">
          <cell r="D511" t="str">
            <v>5월</v>
          </cell>
        </row>
        <row r="512">
          <cell r="D512" t="str">
            <v>5월</v>
          </cell>
        </row>
        <row r="513">
          <cell r="D513" t="str">
            <v>5월</v>
          </cell>
        </row>
        <row r="514">
          <cell r="D514" t="str">
            <v>5월</v>
          </cell>
        </row>
        <row r="515">
          <cell r="D515" t="str">
            <v>5월</v>
          </cell>
        </row>
        <row r="516">
          <cell r="D516" t="str">
            <v>5월</v>
          </cell>
        </row>
        <row r="517">
          <cell r="D517" t="str">
            <v>5월</v>
          </cell>
        </row>
        <row r="518">
          <cell r="D518" t="str">
            <v>5월</v>
          </cell>
        </row>
        <row r="519">
          <cell r="D519" t="str">
            <v>5월</v>
          </cell>
        </row>
        <row r="520">
          <cell r="D520" t="str">
            <v>5월</v>
          </cell>
        </row>
        <row r="521">
          <cell r="D521" t="str">
            <v>5월</v>
          </cell>
        </row>
        <row r="522">
          <cell r="D522" t="str">
            <v>5월</v>
          </cell>
        </row>
        <row r="523">
          <cell r="D523" t="str">
            <v>5월</v>
          </cell>
        </row>
        <row r="524">
          <cell r="D524" t="str">
            <v>5월</v>
          </cell>
        </row>
        <row r="525">
          <cell r="D525" t="str">
            <v>5월</v>
          </cell>
        </row>
        <row r="526">
          <cell r="D526" t="str">
            <v>5월</v>
          </cell>
        </row>
        <row r="527">
          <cell r="D527" t="str">
            <v>5월</v>
          </cell>
        </row>
        <row r="528">
          <cell r="D528" t="str">
            <v>5월</v>
          </cell>
        </row>
        <row r="529">
          <cell r="D529" t="str">
            <v>5월</v>
          </cell>
        </row>
        <row r="530">
          <cell r="D530" t="str">
            <v>5월</v>
          </cell>
        </row>
        <row r="531">
          <cell r="D531" t="str">
            <v>5월</v>
          </cell>
        </row>
        <row r="532">
          <cell r="D532" t="str">
            <v>5월</v>
          </cell>
        </row>
        <row r="533">
          <cell r="D533" t="str">
            <v>5월</v>
          </cell>
        </row>
        <row r="534">
          <cell r="D534" t="str">
            <v>5월</v>
          </cell>
        </row>
        <row r="535">
          <cell r="D535" t="str">
            <v>5월</v>
          </cell>
        </row>
        <row r="536">
          <cell r="D536" t="str">
            <v>5월</v>
          </cell>
        </row>
        <row r="537">
          <cell r="D537" t="str">
            <v>5월</v>
          </cell>
        </row>
        <row r="538">
          <cell r="D538" t="str">
            <v>5월</v>
          </cell>
        </row>
        <row r="539">
          <cell r="D539" t="str">
            <v>5월</v>
          </cell>
        </row>
        <row r="540">
          <cell r="D540" t="str">
            <v>5월</v>
          </cell>
        </row>
        <row r="541">
          <cell r="D541" t="str">
            <v>5월</v>
          </cell>
        </row>
        <row r="542">
          <cell r="D542" t="str">
            <v>5월</v>
          </cell>
        </row>
        <row r="543">
          <cell r="D543" t="str">
            <v>5월</v>
          </cell>
        </row>
        <row r="544">
          <cell r="D544" t="str">
            <v>5월</v>
          </cell>
        </row>
        <row r="545">
          <cell r="D545" t="str">
            <v>5월</v>
          </cell>
        </row>
        <row r="546">
          <cell r="D546" t="str">
            <v>5월</v>
          </cell>
        </row>
        <row r="547">
          <cell r="D547" t="str">
            <v>5월</v>
          </cell>
        </row>
        <row r="548">
          <cell r="D548" t="str">
            <v>5월</v>
          </cell>
        </row>
        <row r="549">
          <cell r="D549" t="str">
            <v>5월</v>
          </cell>
        </row>
        <row r="550">
          <cell r="D550" t="str">
            <v>5월</v>
          </cell>
        </row>
        <row r="551">
          <cell r="D551" t="str">
            <v>5월</v>
          </cell>
        </row>
        <row r="552">
          <cell r="D552" t="str">
            <v>5월</v>
          </cell>
        </row>
        <row r="553">
          <cell r="D553" t="str">
            <v>5월</v>
          </cell>
        </row>
        <row r="554">
          <cell r="D554" t="str">
            <v>5월</v>
          </cell>
        </row>
        <row r="555">
          <cell r="D555" t="str">
            <v>5월</v>
          </cell>
        </row>
        <row r="556">
          <cell r="D556" t="str">
            <v>5월</v>
          </cell>
        </row>
        <row r="557">
          <cell r="D557" t="str">
            <v>5월</v>
          </cell>
        </row>
        <row r="558">
          <cell r="D558" t="str">
            <v>5월</v>
          </cell>
        </row>
        <row r="559">
          <cell r="D559" t="str">
            <v>5월</v>
          </cell>
        </row>
        <row r="560">
          <cell r="D560" t="str">
            <v>5월</v>
          </cell>
        </row>
        <row r="561">
          <cell r="D561" t="str">
            <v>5월</v>
          </cell>
        </row>
        <row r="562">
          <cell r="D562" t="str">
            <v>5월</v>
          </cell>
        </row>
        <row r="563">
          <cell r="D563" t="str">
            <v>5월</v>
          </cell>
        </row>
        <row r="564">
          <cell r="D564" t="str">
            <v>5월</v>
          </cell>
        </row>
        <row r="565">
          <cell r="D565" t="str">
            <v>5월</v>
          </cell>
        </row>
        <row r="566">
          <cell r="D566" t="str">
            <v>5월</v>
          </cell>
        </row>
        <row r="567">
          <cell r="D567" t="str">
            <v>5월</v>
          </cell>
        </row>
        <row r="568">
          <cell r="D568" t="str">
            <v>5월</v>
          </cell>
        </row>
        <row r="569">
          <cell r="D569" t="str">
            <v>5월</v>
          </cell>
        </row>
        <row r="570">
          <cell r="D570" t="str">
            <v>5월</v>
          </cell>
        </row>
        <row r="571">
          <cell r="D571" t="str">
            <v>5월</v>
          </cell>
        </row>
        <row r="572">
          <cell r="D572" t="str">
            <v>5월</v>
          </cell>
        </row>
        <row r="573">
          <cell r="D573" t="str">
            <v>5월</v>
          </cell>
        </row>
        <row r="574">
          <cell r="D574" t="str">
            <v>5월</v>
          </cell>
        </row>
        <row r="575">
          <cell r="D575" t="str">
            <v>5월</v>
          </cell>
        </row>
        <row r="576">
          <cell r="D576" t="str">
            <v>5월</v>
          </cell>
        </row>
        <row r="577">
          <cell r="D577" t="str">
            <v>5월</v>
          </cell>
        </row>
        <row r="578">
          <cell r="D578" t="str">
            <v>5월</v>
          </cell>
        </row>
        <row r="579">
          <cell r="D579" t="str">
            <v>5월</v>
          </cell>
        </row>
        <row r="580">
          <cell r="D580" t="str">
            <v>5월</v>
          </cell>
        </row>
        <row r="581">
          <cell r="D581" t="str">
            <v>5월</v>
          </cell>
        </row>
        <row r="582">
          <cell r="D582" t="str">
            <v>5월</v>
          </cell>
        </row>
        <row r="583">
          <cell r="D583" t="str">
            <v>5월</v>
          </cell>
        </row>
        <row r="584">
          <cell r="D584" t="str">
            <v>5월</v>
          </cell>
        </row>
        <row r="585">
          <cell r="D585" t="str">
            <v>5월</v>
          </cell>
        </row>
        <row r="586">
          <cell r="D586" t="str">
            <v>5월</v>
          </cell>
        </row>
        <row r="587">
          <cell r="D587" t="str">
            <v>5월</v>
          </cell>
        </row>
        <row r="588">
          <cell r="D588" t="str">
            <v>5월</v>
          </cell>
        </row>
        <row r="589">
          <cell r="D589" t="str">
            <v>5월</v>
          </cell>
        </row>
        <row r="590">
          <cell r="D590" t="str">
            <v>5월</v>
          </cell>
        </row>
        <row r="591">
          <cell r="D591" t="str">
            <v>5월</v>
          </cell>
        </row>
        <row r="592">
          <cell r="D592" t="str">
            <v>5월</v>
          </cell>
        </row>
        <row r="593">
          <cell r="D593" t="str">
            <v>5월</v>
          </cell>
        </row>
        <row r="594">
          <cell r="D594" t="str">
            <v>5월</v>
          </cell>
        </row>
        <row r="595">
          <cell r="D595" t="str">
            <v>5월</v>
          </cell>
        </row>
        <row r="596">
          <cell r="D596" t="str">
            <v>5월</v>
          </cell>
        </row>
        <row r="597">
          <cell r="D597" t="str">
            <v>5월</v>
          </cell>
        </row>
        <row r="598">
          <cell r="D598" t="str">
            <v>5월</v>
          </cell>
        </row>
        <row r="599">
          <cell r="D599" t="str">
            <v>5월</v>
          </cell>
        </row>
        <row r="600">
          <cell r="D600" t="str">
            <v>5월</v>
          </cell>
        </row>
        <row r="601">
          <cell r="D601" t="str">
            <v>5월</v>
          </cell>
        </row>
        <row r="602">
          <cell r="D602" t="str">
            <v>5월</v>
          </cell>
        </row>
        <row r="603">
          <cell r="D603" t="str">
            <v>5월</v>
          </cell>
        </row>
        <row r="604">
          <cell r="D604" t="str">
            <v>5월</v>
          </cell>
        </row>
        <row r="605">
          <cell r="D605" t="str">
            <v>5월</v>
          </cell>
        </row>
        <row r="606">
          <cell r="D606" t="str">
            <v>5월</v>
          </cell>
        </row>
        <row r="607">
          <cell r="D607" t="str">
            <v>5월</v>
          </cell>
        </row>
        <row r="608">
          <cell r="D608" t="str">
            <v>5월</v>
          </cell>
        </row>
        <row r="609">
          <cell r="D609" t="str">
            <v>5월</v>
          </cell>
        </row>
        <row r="610">
          <cell r="D610" t="str">
            <v>5월</v>
          </cell>
        </row>
        <row r="611">
          <cell r="D611" t="str">
            <v>5월</v>
          </cell>
        </row>
        <row r="612">
          <cell r="D612" t="str">
            <v>5월</v>
          </cell>
        </row>
        <row r="613">
          <cell r="D613" t="str">
            <v>5월</v>
          </cell>
        </row>
        <row r="614">
          <cell r="D614" t="str">
            <v>5월</v>
          </cell>
        </row>
        <row r="615">
          <cell r="D615" t="str">
            <v>5월</v>
          </cell>
        </row>
        <row r="616">
          <cell r="D616" t="str">
            <v>5월</v>
          </cell>
        </row>
        <row r="617">
          <cell r="D617" t="str">
            <v>5월</v>
          </cell>
        </row>
        <row r="618">
          <cell r="D618" t="str">
            <v>5월</v>
          </cell>
        </row>
        <row r="619">
          <cell r="D619" t="str">
            <v>5월</v>
          </cell>
        </row>
        <row r="620">
          <cell r="D620" t="str">
            <v>5월</v>
          </cell>
        </row>
        <row r="621">
          <cell r="D621" t="str">
            <v>5월</v>
          </cell>
        </row>
        <row r="622">
          <cell r="D622" t="str">
            <v>5월</v>
          </cell>
        </row>
        <row r="623">
          <cell r="D623" t="str">
            <v>5월</v>
          </cell>
        </row>
        <row r="624">
          <cell r="D624" t="str">
            <v>5월</v>
          </cell>
        </row>
        <row r="625">
          <cell r="D625" t="str">
            <v>5월</v>
          </cell>
        </row>
        <row r="626">
          <cell r="D626" t="str">
            <v>5월</v>
          </cell>
        </row>
        <row r="627">
          <cell r="D627" t="str">
            <v>5월</v>
          </cell>
        </row>
        <row r="628">
          <cell r="D628" t="str">
            <v>5월</v>
          </cell>
        </row>
        <row r="629">
          <cell r="D629" t="str">
            <v>5월</v>
          </cell>
        </row>
        <row r="630">
          <cell r="D630" t="str">
            <v>5월</v>
          </cell>
        </row>
        <row r="631">
          <cell r="D631" t="str">
            <v>5월</v>
          </cell>
        </row>
        <row r="632">
          <cell r="D632" t="str">
            <v>5월</v>
          </cell>
        </row>
        <row r="633">
          <cell r="D633" t="str">
            <v>5월</v>
          </cell>
        </row>
        <row r="634">
          <cell r="D634" t="str">
            <v>5월</v>
          </cell>
        </row>
        <row r="635">
          <cell r="D635" t="str">
            <v>5월</v>
          </cell>
        </row>
        <row r="636">
          <cell r="D636" t="str">
            <v>5월</v>
          </cell>
        </row>
        <row r="637">
          <cell r="D637" t="str">
            <v>5월</v>
          </cell>
        </row>
        <row r="638">
          <cell r="D638" t="str">
            <v>5월</v>
          </cell>
        </row>
        <row r="639">
          <cell r="D639" t="str">
            <v>5월</v>
          </cell>
        </row>
        <row r="640">
          <cell r="D640" t="str">
            <v>5월</v>
          </cell>
        </row>
        <row r="641">
          <cell r="D641" t="str">
            <v>5월</v>
          </cell>
        </row>
        <row r="642">
          <cell r="D642" t="str">
            <v>5월</v>
          </cell>
        </row>
        <row r="643">
          <cell r="D643" t="str">
            <v>5월</v>
          </cell>
        </row>
        <row r="644">
          <cell r="D644" t="str">
            <v>5월</v>
          </cell>
        </row>
        <row r="645">
          <cell r="D645" t="str">
            <v>5월</v>
          </cell>
        </row>
        <row r="646">
          <cell r="D646" t="str">
            <v>5월</v>
          </cell>
        </row>
        <row r="647">
          <cell r="D647" t="str">
            <v>5월</v>
          </cell>
        </row>
        <row r="648">
          <cell r="D648" t="str">
            <v>5월</v>
          </cell>
        </row>
        <row r="649">
          <cell r="D649" t="str">
            <v>5월</v>
          </cell>
        </row>
        <row r="650">
          <cell r="D650" t="str">
            <v>5월</v>
          </cell>
        </row>
        <row r="651">
          <cell r="D651" t="str">
            <v>5월</v>
          </cell>
        </row>
        <row r="652">
          <cell r="D652" t="str">
            <v>5월</v>
          </cell>
        </row>
        <row r="653">
          <cell r="D653" t="str">
            <v>5월</v>
          </cell>
        </row>
        <row r="654">
          <cell r="D654" t="str">
            <v>5월</v>
          </cell>
        </row>
        <row r="655">
          <cell r="D655" t="str">
            <v>5월</v>
          </cell>
        </row>
        <row r="656">
          <cell r="D656" t="str">
            <v>5월</v>
          </cell>
        </row>
        <row r="657">
          <cell r="D657" t="str">
            <v>5월</v>
          </cell>
        </row>
        <row r="658">
          <cell r="D658" t="str">
            <v>5월</v>
          </cell>
        </row>
        <row r="659">
          <cell r="D659" t="str">
            <v>5월</v>
          </cell>
        </row>
        <row r="660">
          <cell r="D660" t="str">
            <v>5월</v>
          </cell>
        </row>
        <row r="661">
          <cell r="D661" t="str">
            <v>5월</v>
          </cell>
        </row>
        <row r="662">
          <cell r="D662" t="str">
            <v>5월</v>
          </cell>
        </row>
        <row r="663">
          <cell r="D663" t="str">
            <v>5월</v>
          </cell>
        </row>
        <row r="664">
          <cell r="D664" t="str">
            <v>5월</v>
          </cell>
        </row>
        <row r="665">
          <cell r="D665" t="str">
            <v>5월</v>
          </cell>
        </row>
        <row r="666">
          <cell r="D666" t="str">
            <v>5월</v>
          </cell>
        </row>
        <row r="667">
          <cell r="D667" t="str">
            <v>5월</v>
          </cell>
        </row>
        <row r="668">
          <cell r="D668" t="str">
            <v>5월</v>
          </cell>
        </row>
        <row r="669">
          <cell r="D669" t="str">
            <v>5월</v>
          </cell>
        </row>
        <row r="670">
          <cell r="D670" t="str">
            <v>5월</v>
          </cell>
        </row>
        <row r="671">
          <cell r="D671" t="str">
            <v>5월</v>
          </cell>
        </row>
        <row r="672">
          <cell r="D672" t="str">
            <v>5월</v>
          </cell>
        </row>
        <row r="673">
          <cell r="D673" t="str">
            <v>5월</v>
          </cell>
        </row>
        <row r="674">
          <cell r="D674" t="str">
            <v>5월</v>
          </cell>
        </row>
        <row r="675">
          <cell r="D675" t="str">
            <v>5월</v>
          </cell>
        </row>
        <row r="676">
          <cell r="D676" t="str">
            <v>5월</v>
          </cell>
        </row>
        <row r="677">
          <cell r="D677" t="str">
            <v>5월</v>
          </cell>
        </row>
        <row r="678">
          <cell r="D678" t="str">
            <v>5월</v>
          </cell>
        </row>
        <row r="679">
          <cell r="D679" t="str">
            <v>5월</v>
          </cell>
        </row>
        <row r="680">
          <cell r="D680" t="str">
            <v>5월</v>
          </cell>
        </row>
        <row r="681">
          <cell r="D681" t="str">
            <v>5월</v>
          </cell>
        </row>
        <row r="682">
          <cell r="D682" t="str">
            <v>5월</v>
          </cell>
        </row>
        <row r="683">
          <cell r="D683" t="str">
            <v>5월</v>
          </cell>
        </row>
        <row r="684">
          <cell r="D684" t="str">
            <v>5월</v>
          </cell>
        </row>
        <row r="685">
          <cell r="D685" t="str">
            <v>5월</v>
          </cell>
        </row>
        <row r="686">
          <cell r="D686" t="str">
            <v>5월</v>
          </cell>
        </row>
        <row r="687">
          <cell r="D687" t="str">
            <v>5월</v>
          </cell>
        </row>
        <row r="688">
          <cell r="D688" t="str">
            <v>5월</v>
          </cell>
        </row>
        <row r="689">
          <cell r="D689" t="str">
            <v>5월</v>
          </cell>
        </row>
        <row r="690">
          <cell r="D690" t="str">
            <v>5월</v>
          </cell>
        </row>
        <row r="691">
          <cell r="D691" t="str">
            <v>5월</v>
          </cell>
        </row>
        <row r="692">
          <cell r="D692" t="str">
            <v>5월</v>
          </cell>
        </row>
        <row r="693">
          <cell r="D693" t="str">
            <v>5월</v>
          </cell>
        </row>
        <row r="694">
          <cell r="D694" t="str">
            <v>5월</v>
          </cell>
        </row>
        <row r="695">
          <cell r="D695" t="str">
            <v>5월</v>
          </cell>
        </row>
        <row r="696">
          <cell r="D696" t="str">
            <v>5월</v>
          </cell>
        </row>
        <row r="697">
          <cell r="D697" t="str">
            <v>5월</v>
          </cell>
        </row>
        <row r="698">
          <cell r="D698" t="str">
            <v>5월</v>
          </cell>
        </row>
        <row r="699">
          <cell r="D699" t="str">
            <v>5월</v>
          </cell>
        </row>
        <row r="700">
          <cell r="D700" t="str">
            <v>5월</v>
          </cell>
        </row>
        <row r="701">
          <cell r="D701" t="str">
            <v>5월</v>
          </cell>
        </row>
        <row r="702">
          <cell r="D702" t="str">
            <v>5월</v>
          </cell>
        </row>
        <row r="703">
          <cell r="D703" t="str">
            <v>5월</v>
          </cell>
        </row>
        <row r="704">
          <cell r="D704" t="str">
            <v>5월</v>
          </cell>
        </row>
        <row r="705">
          <cell r="D705" t="str">
            <v>5월</v>
          </cell>
        </row>
        <row r="706">
          <cell r="D706" t="str">
            <v>5월</v>
          </cell>
        </row>
        <row r="707">
          <cell r="D707" t="str">
            <v>5월</v>
          </cell>
        </row>
        <row r="708">
          <cell r="D708" t="str">
            <v>5월</v>
          </cell>
        </row>
        <row r="709">
          <cell r="D709" t="str">
            <v>5월</v>
          </cell>
        </row>
        <row r="710">
          <cell r="D710" t="str">
            <v>5월</v>
          </cell>
        </row>
        <row r="711">
          <cell r="D711" t="str">
            <v>5월</v>
          </cell>
        </row>
        <row r="712">
          <cell r="D712" t="str">
            <v>5월</v>
          </cell>
        </row>
        <row r="713">
          <cell r="D713" t="str">
            <v>5월</v>
          </cell>
        </row>
        <row r="714">
          <cell r="D714" t="str">
            <v>5월</v>
          </cell>
        </row>
        <row r="715">
          <cell r="D715" t="str">
            <v>5월</v>
          </cell>
        </row>
        <row r="716">
          <cell r="D716" t="str">
            <v>5월</v>
          </cell>
        </row>
        <row r="717">
          <cell r="D717" t="str">
            <v>5월</v>
          </cell>
        </row>
        <row r="718">
          <cell r="D718" t="str">
            <v>5월</v>
          </cell>
        </row>
        <row r="719">
          <cell r="D719" t="str">
            <v>5월</v>
          </cell>
        </row>
        <row r="720">
          <cell r="D720" t="str">
            <v>5월</v>
          </cell>
        </row>
        <row r="721">
          <cell r="D721" t="str">
            <v>5월</v>
          </cell>
        </row>
        <row r="722">
          <cell r="D722" t="str">
            <v>5월</v>
          </cell>
        </row>
        <row r="723">
          <cell r="D723" t="str">
            <v>5월</v>
          </cell>
        </row>
        <row r="724">
          <cell r="D724" t="str">
            <v>5월</v>
          </cell>
        </row>
        <row r="725">
          <cell r="D725" t="str">
            <v>5월</v>
          </cell>
        </row>
        <row r="726">
          <cell r="D726" t="str">
            <v>5월</v>
          </cell>
        </row>
        <row r="727">
          <cell r="D727" t="str">
            <v>5월</v>
          </cell>
        </row>
        <row r="728">
          <cell r="D728" t="str">
            <v>5월</v>
          </cell>
        </row>
        <row r="729">
          <cell r="D729" t="str">
            <v>5월</v>
          </cell>
        </row>
        <row r="730">
          <cell r="D730" t="str">
            <v>5월</v>
          </cell>
        </row>
        <row r="731">
          <cell r="D731" t="str">
            <v>5월</v>
          </cell>
        </row>
        <row r="732">
          <cell r="D732" t="str">
            <v>5월</v>
          </cell>
        </row>
        <row r="733">
          <cell r="D733" t="str">
            <v>5월</v>
          </cell>
        </row>
        <row r="734">
          <cell r="D734" t="str">
            <v>5월</v>
          </cell>
        </row>
        <row r="735">
          <cell r="D735" t="str">
            <v>5월</v>
          </cell>
        </row>
        <row r="736">
          <cell r="D736" t="str">
            <v>5월</v>
          </cell>
        </row>
        <row r="737">
          <cell r="D737" t="str">
            <v>5월</v>
          </cell>
        </row>
        <row r="738">
          <cell r="D738" t="str">
            <v>5월</v>
          </cell>
        </row>
        <row r="739">
          <cell r="D739" t="str">
            <v>5월</v>
          </cell>
        </row>
        <row r="740">
          <cell r="D740" t="str">
            <v>5월</v>
          </cell>
        </row>
        <row r="741">
          <cell r="D741" t="str">
            <v>5월</v>
          </cell>
        </row>
        <row r="742">
          <cell r="D742" t="str">
            <v>5월</v>
          </cell>
        </row>
        <row r="743">
          <cell r="D743" t="str">
            <v>5월</v>
          </cell>
        </row>
        <row r="744">
          <cell r="D744" t="str">
            <v>5월</v>
          </cell>
        </row>
        <row r="745">
          <cell r="D745" t="str">
            <v>5월</v>
          </cell>
        </row>
        <row r="746">
          <cell r="D746" t="str">
            <v>5월</v>
          </cell>
        </row>
        <row r="747">
          <cell r="D747" t="str">
            <v>5월</v>
          </cell>
        </row>
        <row r="748">
          <cell r="D748" t="str">
            <v>5월</v>
          </cell>
        </row>
        <row r="749">
          <cell r="D749" t="str">
            <v>5월</v>
          </cell>
        </row>
        <row r="750">
          <cell r="D750" t="str">
            <v>5월</v>
          </cell>
        </row>
        <row r="751">
          <cell r="D751" t="str">
            <v>5월</v>
          </cell>
        </row>
        <row r="752">
          <cell r="D752" t="str">
            <v>5월</v>
          </cell>
        </row>
        <row r="753">
          <cell r="D753" t="str">
            <v>5월</v>
          </cell>
        </row>
        <row r="754">
          <cell r="D754" t="str">
            <v>5월</v>
          </cell>
        </row>
        <row r="755">
          <cell r="D755" t="str">
            <v>5월</v>
          </cell>
        </row>
        <row r="756">
          <cell r="D756" t="str">
            <v>5월</v>
          </cell>
        </row>
        <row r="757">
          <cell r="D757" t="str">
            <v>5월</v>
          </cell>
        </row>
        <row r="758">
          <cell r="D758" t="str">
            <v>5월</v>
          </cell>
        </row>
        <row r="759">
          <cell r="D759" t="str">
            <v>5월</v>
          </cell>
        </row>
        <row r="760">
          <cell r="D760" t="str">
            <v>6월</v>
          </cell>
        </row>
        <row r="761">
          <cell r="D761" t="str">
            <v>6월</v>
          </cell>
        </row>
        <row r="762">
          <cell r="D762" t="str">
            <v>6월</v>
          </cell>
        </row>
        <row r="763">
          <cell r="D763" t="str">
            <v>6월</v>
          </cell>
        </row>
        <row r="764">
          <cell r="D764" t="str">
            <v>6월</v>
          </cell>
        </row>
        <row r="765">
          <cell r="D765" t="str">
            <v>6월</v>
          </cell>
        </row>
        <row r="766">
          <cell r="D766" t="str">
            <v>6월</v>
          </cell>
        </row>
        <row r="767">
          <cell r="D767" t="str">
            <v>6월</v>
          </cell>
        </row>
        <row r="768">
          <cell r="D768" t="str">
            <v>6월</v>
          </cell>
        </row>
        <row r="769">
          <cell r="D769" t="str">
            <v>6월</v>
          </cell>
        </row>
        <row r="770">
          <cell r="D770" t="str">
            <v>6월</v>
          </cell>
        </row>
        <row r="771">
          <cell r="D771" t="str">
            <v>6월</v>
          </cell>
        </row>
        <row r="772">
          <cell r="D772" t="str">
            <v>6월</v>
          </cell>
        </row>
        <row r="773">
          <cell r="D773" t="str">
            <v>6월</v>
          </cell>
        </row>
        <row r="774">
          <cell r="D774" t="str">
            <v>6월</v>
          </cell>
        </row>
        <row r="775">
          <cell r="D775" t="str">
            <v>6월</v>
          </cell>
        </row>
        <row r="776">
          <cell r="D776" t="str">
            <v>6월</v>
          </cell>
        </row>
        <row r="777">
          <cell r="D777" t="str">
            <v>6월</v>
          </cell>
        </row>
        <row r="778">
          <cell r="D778" t="str">
            <v>6월</v>
          </cell>
        </row>
        <row r="779">
          <cell r="D779" t="str">
            <v>6월</v>
          </cell>
        </row>
        <row r="780">
          <cell r="D780" t="str">
            <v>6월</v>
          </cell>
        </row>
        <row r="781">
          <cell r="D781" t="str">
            <v>6월</v>
          </cell>
        </row>
        <row r="782">
          <cell r="D782" t="str">
            <v>6월</v>
          </cell>
        </row>
        <row r="783">
          <cell r="D783" t="str">
            <v>6월</v>
          </cell>
        </row>
        <row r="784">
          <cell r="D784" t="str">
            <v>6월</v>
          </cell>
        </row>
        <row r="785">
          <cell r="D785" t="str">
            <v>6월</v>
          </cell>
        </row>
        <row r="786">
          <cell r="D786" t="str">
            <v>6월</v>
          </cell>
        </row>
        <row r="787">
          <cell r="D787" t="str">
            <v>6월</v>
          </cell>
        </row>
        <row r="788">
          <cell r="D788" t="str">
            <v>6월</v>
          </cell>
        </row>
        <row r="789">
          <cell r="D789" t="str">
            <v>6월</v>
          </cell>
        </row>
        <row r="790">
          <cell r="D790" t="str">
            <v>6월</v>
          </cell>
        </row>
        <row r="791">
          <cell r="D791" t="str">
            <v>6월</v>
          </cell>
        </row>
        <row r="792">
          <cell r="D792" t="str">
            <v>6월</v>
          </cell>
        </row>
        <row r="793">
          <cell r="D793" t="str">
            <v>6월</v>
          </cell>
        </row>
        <row r="794">
          <cell r="D794" t="str">
            <v>6월</v>
          </cell>
        </row>
        <row r="795">
          <cell r="D795" t="str">
            <v>6월</v>
          </cell>
        </row>
        <row r="796">
          <cell r="D796" t="str">
            <v>6월</v>
          </cell>
        </row>
        <row r="797">
          <cell r="D797" t="str">
            <v>6월</v>
          </cell>
        </row>
        <row r="798">
          <cell r="D798" t="str">
            <v>6월</v>
          </cell>
        </row>
        <row r="799">
          <cell r="D799" t="str">
            <v>6월</v>
          </cell>
        </row>
        <row r="800">
          <cell r="D800" t="str">
            <v>6월</v>
          </cell>
        </row>
        <row r="801">
          <cell r="D801" t="str">
            <v>6월</v>
          </cell>
        </row>
        <row r="802">
          <cell r="D802" t="str">
            <v>6월</v>
          </cell>
        </row>
        <row r="803">
          <cell r="D803" t="str">
            <v>6월</v>
          </cell>
        </row>
        <row r="804">
          <cell r="D804" t="str">
            <v>6월</v>
          </cell>
        </row>
        <row r="805">
          <cell r="D805" t="str">
            <v>6월</v>
          </cell>
        </row>
        <row r="806">
          <cell r="D806" t="str">
            <v>6월</v>
          </cell>
        </row>
        <row r="807">
          <cell r="D807" t="str">
            <v>6월</v>
          </cell>
        </row>
        <row r="808">
          <cell r="D808" t="str">
            <v>6월</v>
          </cell>
        </row>
        <row r="809">
          <cell r="D809" t="str">
            <v>6월</v>
          </cell>
        </row>
        <row r="810">
          <cell r="D810" t="str">
            <v>6월</v>
          </cell>
        </row>
        <row r="811">
          <cell r="D811" t="str">
            <v>6월</v>
          </cell>
        </row>
        <row r="812">
          <cell r="D812" t="str">
            <v>6월</v>
          </cell>
        </row>
        <row r="813">
          <cell r="D813" t="str">
            <v>6월</v>
          </cell>
        </row>
        <row r="814">
          <cell r="D814" t="str">
            <v>6월</v>
          </cell>
        </row>
        <row r="815">
          <cell r="D815" t="str">
            <v>6월</v>
          </cell>
        </row>
        <row r="816">
          <cell r="D816" t="str">
            <v>6월</v>
          </cell>
        </row>
        <row r="817">
          <cell r="D817" t="str">
            <v>6월</v>
          </cell>
        </row>
        <row r="818">
          <cell r="D818" t="str">
            <v>6월</v>
          </cell>
        </row>
        <row r="819">
          <cell r="D819" t="str">
            <v>6월</v>
          </cell>
        </row>
        <row r="820">
          <cell r="D820" t="str">
            <v>6월</v>
          </cell>
        </row>
        <row r="821">
          <cell r="D821" t="str">
            <v>6월</v>
          </cell>
        </row>
        <row r="822">
          <cell r="D822" t="str">
            <v>6월</v>
          </cell>
        </row>
        <row r="823">
          <cell r="D823" t="str">
            <v>6월</v>
          </cell>
        </row>
        <row r="824">
          <cell r="D824" t="str">
            <v>6월</v>
          </cell>
        </row>
        <row r="825">
          <cell r="D825" t="str">
            <v>6월</v>
          </cell>
        </row>
        <row r="826">
          <cell r="D826" t="str">
            <v>6월</v>
          </cell>
        </row>
        <row r="827">
          <cell r="D827" t="str">
            <v>6월</v>
          </cell>
        </row>
        <row r="828">
          <cell r="D828" t="str">
            <v>6월</v>
          </cell>
        </row>
        <row r="829">
          <cell r="D829" t="str">
            <v>6월</v>
          </cell>
        </row>
        <row r="830">
          <cell r="D830" t="str">
            <v>6월</v>
          </cell>
        </row>
        <row r="831">
          <cell r="D831" t="str">
            <v>6월</v>
          </cell>
        </row>
        <row r="832">
          <cell r="D832" t="str">
            <v>6월</v>
          </cell>
        </row>
        <row r="833">
          <cell r="D833" t="str">
            <v>6월</v>
          </cell>
        </row>
        <row r="834">
          <cell r="D834" t="str">
            <v>6월</v>
          </cell>
        </row>
        <row r="835">
          <cell r="D835" t="str">
            <v>6월</v>
          </cell>
        </row>
        <row r="836">
          <cell r="D836" t="str">
            <v>6월</v>
          </cell>
        </row>
        <row r="837">
          <cell r="D837" t="str">
            <v>6월</v>
          </cell>
        </row>
        <row r="838">
          <cell r="D838" t="str">
            <v>6월</v>
          </cell>
        </row>
        <row r="839">
          <cell r="D839" t="str">
            <v>6월</v>
          </cell>
        </row>
        <row r="840">
          <cell r="D840" t="str">
            <v>6월</v>
          </cell>
        </row>
        <row r="841">
          <cell r="D841" t="str">
            <v>6월</v>
          </cell>
        </row>
        <row r="842">
          <cell r="D842" t="str">
            <v>6월</v>
          </cell>
        </row>
        <row r="843">
          <cell r="D843" t="str">
            <v>6월</v>
          </cell>
        </row>
        <row r="844">
          <cell r="D844" t="str">
            <v>6월</v>
          </cell>
        </row>
        <row r="845">
          <cell r="D845" t="str">
            <v>6월</v>
          </cell>
        </row>
        <row r="846">
          <cell r="D846" t="str">
            <v>6월</v>
          </cell>
        </row>
        <row r="847">
          <cell r="D847" t="str">
            <v>6월</v>
          </cell>
        </row>
        <row r="848">
          <cell r="D848" t="str">
            <v>6월</v>
          </cell>
        </row>
        <row r="849">
          <cell r="D849" t="str">
            <v>6월</v>
          </cell>
        </row>
        <row r="850">
          <cell r="D850" t="str">
            <v>6월</v>
          </cell>
        </row>
        <row r="851">
          <cell r="D851" t="str">
            <v>6월</v>
          </cell>
        </row>
        <row r="852">
          <cell r="D852" t="str">
            <v>6월</v>
          </cell>
        </row>
        <row r="853">
          <cell r="D853" t="str">
            <v>6월</v>
          </cell>
        </row>
        <row r="854">
          <cell r="D854" t="str">
            <v>6월</v>
          </cell>
        </row>
        <row r="855">
          <cell r="D855" t="str">
            <v>6월</v>
          </cell>
        </row>
        <row r="856">
          <cell r="D856" t="str">
            <v>6월</v>
          </cell>
        </row>
        <row r="857">
          <cell r="D857" t="str">
            <v>6월</v>
          </cell>
        </row>
        <row r="858">
          <cell r="D858" t="str">
            <v>6월</v>
          </cell>
        </row>
        <row r="859">
          <cell r="D859" t="str">
            <v>6월</v>
          </cell>
        </row>
        <row r="860">
          <cell r="D860" t="str">
            <v>6월</v>
          </cell>
        </row>
        <row r="861">
          <cell r="D861" t="str">
            <v>6월</v>
          </cell>
        </row>
        <row r="862">
          <cell r="D862" t="str">
            <v>6월</v>
          </cell>
        </row>
        <row r="863">
          <cell r="D863" t="str">
            <v>6월</v>
          </cell>
        </row>
        <row r="864">
          <cell r="D864" t="str">
            <v>6월</v>
          </cell>
        </row>
        <row r="865">
          <cell r="D865" t="str">
            <v>6월</v>
          </cell>
        </row>
        <row r="866">
          <cell r="D866" t="str">
            <v>6월</v>
          </cell>
        </row>
        <row r="867">
          <cell r="D867" t="str">
            <v>6월</v>
          </cell>
        </row>
        <row r="868">
          <cell r="D868" t="str">
            <v>6월</v>
          </cell>
        </row>
        <row r="869">
          <cell r="D869" t="str">
            <v>6월</v>
          </cell>
        </row>
        <row r="870">
          <cell r="D870" t="str">
            <v>6월</v>
          </cell>
        </row>
        <row r="871">
          <cell r="D871" t="str">
            <v>6월</v>
          </cell>
        </row>
        <row r="872">
          <cell r="D872" t="str">
            <v>6월</v>
          </cell>
        </row>
        <row r="873">
          <cell r="D873" t="str">
            <v>6월</v>
          </cell>
        </row>
        <row r="874">
          <cell r="D874" t="str">
            <v>6월</v>
          </cell>
        </row>
        <row r="875">
          <cell r="D875" t="str">
            <v>6월</v>
          </cell>
        </row>
        <row r="876">
          <cell r="D876" t="str">
            <v>6월</v>
          </cell>
        </row>
        <row r="877">
          <cell r="D877" t="str">
            <v>6월</v>
          </cell>
        </row>
        <row r="878">
          <cell r="D878" t="str">
            <v>6월</v>
          </cell>
        </row>
        <row r="879">
          <cell r="D879" t="str">
            <v>6월</v>
          </cell>
        </row>
        <row r="880">
          <cell r="D880" t="str">
            <v>6월</v>
          </cell>
        </row>
        <row r="881">
          <cell r="D881" t="str">
            <v>6월</v>
          </cell>
        </row>
        <row r="882">
          <cell r="D882" t="str">
            <v>6월</v>
          </cell>
        </row>
        <row r="883">
          <cell r="D883" t="str">
            <v>6월</v>
          </cell>
        </row>
        <row r="884">
          <cell r="D884" t="str">
            <v>6월</v>
          </cell>
        </row>
        <row r="885">
          <cell r="D885" t="str">
            <v>6월</v>
          </cell>
        </row>
        <row r="886">
          <cell r="D886" t="str">
            <v>6월</v>
          </cell>
        </row>
        <row r="887">
          <cell r="D887" t="str">
            <v>6월</v>
          </cell>
        </row>
        <row r="888">
          <cell r="D888" t="str">
            <v>6월</v>
          </cell>
        </row>
        <row r="889">
          <cell r="D889" t="str">
            <v>6월</v>
          </cell>
        </row>
        <row r="890">
          <cell r="D890" t="str">
            <v>6월</v>
          </cell>
        </row>
        <row r="891">
          <cell r="D891" t="str">
            <v>6월</v>
          </cell>
        </row>
        <row r="892">
          <cell r="D892" t="str">
            <v>6월</v>
          </cell>
        </row>
        <row r="893">
          <cell r="D893" t="str">
            <v>6월</v>
          </cell>
        </row>
        <row r="894">
          <cell r="D894" t="str">
            <v>6월</v>
          </cell>
        </row>
        <row r="895">
          <cell r="D895" t="str">
            <v>6월</v>
          </cell>
        </row>
        <row r="896">
          <cell r="D896" t="str">
            <v>6월</v>
          </cell>
        </row>
        <row r="897">
          <cell r="D897" t="str">
            <v>6월</v>
          </cell>
        </row>
        <row r="898">
          <cell r="D898" t="str">
            <v>6월</v>
          </cell>
        </row>
        <row r="899">
          <cell r="D899" t="str">
            <v>6월</v>
          </cell>
        </row>
        <row r="900">
          <cell r="D900" t="str">
            <v>6월</v>
          </cell>
        </row>
        <row r="901">
          <cell r="D901" t="str">
            <v>6월</v>
          </cell>
        </row>
        <row r="902">
          <cell r="D902" t="str">
            <v>6월</v>
          </cell>
        </row>
        <row r="903">
          <cell r="D903" t="str">
            <v>6월</v>
          </cell>
        </row>
        <row r="904">
          <cell r="D904" t="str">
            <v>6월</v>
          </cell>
        </row>
        <row r="905">
          <cell r="D905" t="str">
            <v>6월</v>
          </cell>
        </row>
        <row r="906">
          <cell r="D906" t="str">
            <v>6월</v>
          </cell>
        </row>
        <row r="907">
          <cell r="D907" t="str">
            <v>6월</v>
          </cell>
        </row>
        <row r="908">
          <cell r="D908" t="str">
            <v>6월</v>
          </cell>
        </row>
        <row r="909">
          <cell r="D909" t="str">
            <v>6월</v>
          </cell>
        </row>
        <row r="910">
          <cell r="D910" t="str">
            <v>6월</v>
          </cell>
        </row>
        <row r="911">
          <cell r="D911" t="str">
            <v>6월</v>
          </cell>
        </row>
        <row r="912">
          <cell r="D912" t="str">
            <v>6월</v>
          </cell>
        </row>
        <row r="913">
          <cell r="D913" t="str">
            <v>6월</v>
          </cell>
        </row>
        <row r="914">
          <cell r="D914" t="str">
            <v>6월</v>
          </cell>
        </row>
        <row r="915">
          <cell r="D915" t="str">
            <v>6월</v>
          </cell>
        </row>
        <row r="916">
          <cell r="D916" t="str">
            <v>6월</v>
          </cell>
        </row>
        <row r="917">
          <cell r="D917" t="str">
            <v>6월</v>
          </cell>
        </row>
        <row r="918">
          <cell r="D918" t="str">
            <v>6월</v>
          </cell>
        </row>
        <row r="919">
          <cell r="D919" t="str">
            <v>6월</v>
          </cell>
        </row>
        <row r="920">
          <cell r="D920" t="str">
            <v>6월</v>
          </cell>
        </row>
        <row r="921">
          <cell r="D921" t="str">
            <v>6월</v>
          </cell>
        </row>
        <row r="922">
          <cell r="D922" t="str">
            <v>6월</v>
          </cell>
        </row>
        <row r="923">
          <cell r="D923" t="str">
            <v>6월</v>
          </cell>
        </row>
        <row r="924">
          <cell r="D924" t="str">
            <v>6월</v>
          </cell>
        </row>
        <row r="925">
          <cell r="D925" t="str">
            <v>6월</v>
          </cell>
        </row>
        <row r="926">
          <cell r="D926" t="str">
            <v>6월</v>
          </cell>
        </row>
        <row r="927">
          <cell r="D927" t="str">
            <v>6월</v>
          </cell>
        </row>
        <row r="928">
          <cell r="D928" t="str">
            <v>6월</v>
          </cell>
        </row>
        <row r="929">
          <cell r="D929" t="str">
            <v>6월</v>
          </cell>
        </row>
        <row r="930">
          <cell r="D930" t="str">
            <v>6월</v>
          </cell>
        </row>
        <row r="931">
          <cell r="D931" t="str">
            <v>6월</v>
          </cell>
        </row>
        <row r="932">
          <cell r="D932" t="str">
            <v>6월</v>
          </cell>
        </row>
        <row r="933">
          <cell r="D933" t="str">
            <v>6월</v>
          </cell>
        </row>
        <row r="934">
          <cell r="D934" t="str">
            <v>6월</v>
          </cell>
        </row>
        <row r="935">
          <cell r="D935" t="str">
            <v>6월</v>
          </cell>
        </row>
        <row r="936">
          <cell r="D936" t="str">
            <v>6월</v>
          </cell>
        </row>
        <row r="937">
          <cell r="D937" t="str">
            <v>6월</v>
          </cell>
        </row>
        <row r="938">
          <cell r="D938" t="str">
            <v>6월</v>
          </cell>
        </row>
        <row r="939">
          <cell r="D939" t="str">
            <v>6월</v>
          </cell>
        </row>
        <row r="940">
          <cell r="D940" t="str">
            <v>6월</v>
          </cell>
        </row>
        <row r="941">
          <cell r="D941" t="str">
            <v>6월</v>
          </cell>
        </row>
        <row r="942">
          <cell r="D942" t="str">
            <v>6월</v>
          </cell>
        </row>
        <row r="943">
          <cell r="D943" t="str">
            <v>6월</v>
          </cell>
        </row>
        <row r="944">
          <cell r="D944" t="str">
            <v>6월</v>
          </cell>
        </row>
        <row r="945">
          <cell r="D945" t="str">
            <v>6월</v>
          </cell>
        </row>
        <row r="946">
          <cell r="D946" t="str">
            <v>6월</v>
          </cell>
        </row>
        <row r="947">
          <cell r="D947" t="str">
            <v>6월</v>
          </cell>
        </row>
        <row r="948">
          <cell r="D948" t="str">
            <v>6월</v>
          </cell>
        </row>
        <row r="949">
          <cell r="D949" t="str">
            <v>6월</v>
          </cell>
        </row>
        <row r="950">
          <cell r="D950" t="str">
            <v>6월</v>
          </cell>
        </row>
        <row r="951">
          <cell r="D951" t="str">
            <v>6월</v>
          </cell>
        </row>
        <row r="952">
          <cell r="D952" t="str">
            <v>6월</v>
          </cell>
        </row>
        <row r="953">
          <cell r="D953" t="str">
            <v>6월</v>
          </cell>
        </row>
        <row r="954">
          <cell r="D954" t="str">
            <v>6월</v>
          </cell>
        </row>
        <row r="955">
          <cell r="D955" t="str">
            <v>6월</v>
          </cell>
        </row>
        <row r="956">
          <cell r="D956" t="str">
            <v>6월</v>
          </cell>
        </row>
        <row r="957">
          <cell r="D957" t="str">
            <v>6월</v>
          </cell>
        </row>
        <row r="958">
          <cell r="D958" t="str">
            <v>6월</v>
          </cell>
        </row>
        <row r="959">
          <cell r="D959" t="str">
            <v>6월</v>
          </cell>
        </row>
        <row r="960">
          <cell r="D960" t="str">
            <v>6월</v>
          </cell>
        </row>
        <row r="961">
          <cell r="D961" t="str">
            <v>6월</v>
          </cell>
        </row>
        <row r="962">
          <cell r="D962" t="str">
            <v>6월</v>
          </cell>
        </row>
        <row r="963">
          <cell r="D963" t="str">
            <v>6월</v>
          </cell>
        </row>
        <row r="964">
          <cell r="D964" t="str">
            <v>6월</v>
          </cell>
        </row>
        <row r="965">
          <cell r="D965" t="str">
            <v>6월</v>
          </cell>
        </row>
        <row r="966">
          <cell r="D966" t="str">
            <v>6월</v>
          </cell>
        </row>
        <row r="967">
          <cell r="D967" t="str">
            <v>6월</v>
          </cell>
        </row>
        <row r="968">
          <cell r="D968" t="str">
            <v>6월</v>
          </cell>
        </row>
        <row r="969">
          <cell r="D969" t="str">
            <v>6월</v>
          </cell>
        </row>
        <row r="970">
          <cell r="D970" t="str">
            <v>6월</v>
          </cell>
        </row>
        <row r="971">
          <cell r="D971" t="str">
            <v>6월</v>
          </cell>
        </row>
        <row r="972">
          <cell r="D972" t="str">
            <v>6월</v>
          </cell>
        </row>
        <row r="973">
          <cell r="D973" t="str">
            <v>6월</v>
          </cell>
        </row>
        <row r="974">
          <cell r="D974" t="str">
            <v>6월</v>
          </cell>
        </row>
        <row r="975">
          <cell r="D975" t="str">
            <v>6월</v>
          </cell>
        </row>
        <row r="976">
          <cell r="D976" t="str">
            <v>6월</v>
          </cell>
        </row>
        <row r="977">
          <cell r="D977" t="str">
            <v>6월</v>
          </cell>
        </row>
        <row r="978">
          <cell r="D978" t="str">
            <v>6월</v>
          </cell>
        </row>
        <row r="979">
          <cell r="D979" t="str">
            <v>6월</v>
          </cell>
        </row>
        <row r="980">
          <cell r="D980" t="str">
            <v>6월</v>
          </cell>
        </row>
        <row r="981">
          <cell r="D981" t="str">
            <v>6월</v>
          </cell>
        </row>
        <row r="982">
          <cell r="D982" t="str">
            <v>6월</v>
          </cell>
        </row>
        <row r="983">
          <cell r="D983" t="str">
            <v>6월</v>
          </cell>
        </row>
        <row r="984">
          <cell r="D984" t="str">
            <v>6월</v>
          </cell>
        </row>
        <row r="985">
          <cell r="D985" t="str">
            <v>6월</v>
          </cell>
        </row>
        <row r="986">
          <cell r="D986" t="str">
            <v>6월</v>
          </cell>
        </row>
        <row r="987">
          <cell r="D987" t="str">
            <v>6월</v>
          </cell>
        </row>
        <row r="988">
          <cell r="D988" t="str">
            <v>6월</v>
          </cell>
        </row>
        <row r="989">
          <cell r="D989" t="str">
            <v>6월</v>
          </cell>
        </row>
        <row r="990">
          <cell r="D990" t="str">
            <v>6월</v>
          </cell>
        </row>
        <row r="991">
          <cell r="D991" t="str">
            <v>6월</v>
          </cell>
        </row>
        <row r="992">
          <cell r="D992" t="str">
            <v>6월</v>
          </cell>
        </row>
        <row r="993">
          <cell r="D993" t="str">
            <v>6월</v>
          </cell>
        </row>
        <row r="994">
          <cell r="D994" t="str">
            <v>6월</v>
          </cell>
        </row>
        <row r="995">
          <cell r="D995" t="str">
            <v>6월</v>
          </cell>
        </row>
        <row r="996">
          <cell r="D996" t="str">
            <v>6월</v>
          </cell>
        </row>
        <row r="997">
          <cell r="D997" t="str">
            <v>6월</v>
          </cell>
        </row>
        <row r="998">
          <cell r="D998" t="str">
            <v>6월</v>
          </cell>
        </row>
        <row r="999">
          <cell r="D999" t="str">
            <v>6월</v>
          </cell>
        </row>
        <row r="1000">
          <cell r="D1000" t="str">
            <v>6월</v>
          </cell>
        </row>
        <row r="1001">
          <cell r="D1001" t="str">
            <v>6월</v>
          </cell>
        </row>
        <row r="1002">
          <cell r="D1002" t="str">
            <v>6월</v>
          </cell>
        </row>
        <row r="1003">
          <cell r="D1003" t="str">
            <v>6월</v>
          </cell>
        </row>
        <row r="1004">
          <cell r="D1004" t="str">
            <v>6월</v>
          </cell>
        </row>
        <row r="1005">
          <cell r="D1005" t="str">
            <v>6월</v>
          </cell>
        </row>
        <row r="1006">
          <cell r="D1006" t="str">
            <v>6월</v>
          </cell>
        </row>
        <row r="1007">
          <cell r="D1007" t="str">
            <v>6월</v>
          </cell>
        </row>
        <row r="1008">
          <cell r="D1008" t="str">
            <v>6월</v>
          </cell>
        </row>
        <row r="1009">
          <cell r="D1009" t="str">
            <v>6월</v>
          </cell>
        </row>
        <row r="1010">
          <cell r="D1010" t="str">
            <v>6월</v>
          </cell>
        </row>
        <row r="1011">
          <cell r="D1011" t="str">
            <v>6월</v>
          </cell>
        </row>
        <row r="1012">
          <cell r="D1012" t="str">
            <v>6월</v>
          </cell>
        </row>
        <row r="1013">
          <cell r="D1013" t="str">
            <v>6월</v>
          </cell>
        </row>
        <row r="1014">
          <cell r="D1014" t="str">
            <v>6월</v>
          </cell>
        </row>
        <row r="1015">
          <cell r="D1015" t="str">
            <v>6월</v>
          </cell>
        </row>
        <row r="1016">
          <cell r="D1016" t="str">
            <v>6월</v>
          </cell>
        </row>
        <row r="1017">
          <cell r="D1017" t="str">
            <v>6월</v>
          </cell>
        </row>
        <row r="1018">
          <cell r="D1018" t="str">
            <v>6월</v>
          </cell>
        </row>
        <row r="1019">
          <cell r="D1019" t="str">
            <v>6월</v>
          </cell>
        </row>
        <row r="1020">
          <cell r="D1020" t="str">
            <v>6월</v>
          </cell>
        </row>
        <row r="1021">
          <cell r="D1021" t="str">
            <v>6월</v>
          </cell>
        </row>
        <row r="1022">
          <cell r="D1022" t="str">
            <v>6월</v>
          </cell>
        </row>
        <row r="1023">
          <cell r="D1023" t="str">
            <v>6월</v>
          </cell>
        </row>
        <row r="1024">
          <cell r="D1024" t="str">
            <v>6월</v>
          </cell>
        </row>
        <row r="1025">
          <cell r="D1025" t="str">
            <v>6월</v>
          </cell>
        </row>
        <row r="1026">
          <cell r="D1026" t="str">
            <v>6월</v>
          </cell>
        </row>
        <row r="1027">
          <cell r="D1027" t="str">
            <v>6월</v>
          </cell>
        </row>
        <row r="1028">
          <cell r="D1028" t="str">
            <v>6월</v>
          </cell>
        </row>
        <row r="1029">
          <cell r="D1029" t="str">
            <v>6월</v>
          </cell>
        </row>
        <row r="1030">
          <cell r="D1030" t="str">
            <v>6월</v>
          </cell>
        </row>
        <row r="1031">
          <cell r="D1031" t="str">
            <v>6월</v>
          </cell>
        </row>
        <row r="1032">
          <cell r="D1032" t="str">
            <v>6월</v>
          </cell>
        </row>
        <row r="1033">
          <cell r="D1033" t="str">
            <v>6월</v>
          </cell>
        </row>
        <row r="1034">
          <cell r="D1034" t="str">
            <v>6월</v>
          </cell>
        </row>
        <row r="1035">
          <cell r="D1035" t="str">
            <v>6월</v>
          </cell>
        </row>
        <row r="1036">
          <cell r="D1036" t="str">
            <v>6월</v>
          </cell>
        </row>
        <row r="1037">
          <cell r="D1037" t="str">
            <v>6월</v>
          </cell>
        </row>
        <row r="1038">
          <cell r="D1038" t="str">
            <v>6월</v>
          </cell>
        </row>
        <row r="1039">
          <cell r="D1039" t="str">
            <v>6월</v>
          </cell>
        </row>
        <row r="1040">
          <cell r="D1040" t="str">
            <v>6월</v>
          </cell>
        </row>
        <row r="1041">
          <cell r="D1041" t="str">
            <v>6월</v>
          </cell>
        </row>
        <row r="1042">
          <cell r="D1042" t="str">
            <v>6월</v>
          </cell>
        </row>
        <row r="1043">
          <cell r="D1043" t="str">
            <v>6월</v>
          </cell>
        </row>
        <row r="1044">
          <cell r="D1044" t="str">
            <v>6월</v>
          </cell>
        </row>
        <row r="1045">
          <cell r="D1045" t="str">
            <v>6월</v>
          </cell>
        </row>
        <row r="1046">
          <cell r="D1046" t="str">
            <v>6월</v>
          </cell>
        </row>
        <row r="1047">
          <cell r="D1047" t="str">
            <v>6월</v>
          </cell>
        </row>
        <row r="1048">
          <cell r="D1048" t="str">
            <v>6월</v>
          </cell>
        </row>
        <row r="1049">
          <cell r="D1049" t="str">
            <v>6월</v>
          </cell>
        </row>
        <row r="1050">
          <cell r="D1050" t="str">
            <v>6월</v>
          </cell>
        </row>
        <row r="1051">
          <cell r="D1051" t="str">
            <v>6월</v>
          </cell>
        </row>
        <row r="1052">
          <cell r="D1052" t="str">
            <v>6월</v>
          </cell>
        </row>
        <row r="1053">
          <cell r="D1053" t="str">
            <v>6월</v>
          </cell>
        </row>
        <row r="1054">
          <cell r="D1054" t="str">
            <v>6월</v>
          </cell>
        </row>
        <row r="1055">
          <cell r="D1055" t="str">
            <v>6월</v>
          </cell>
        </row>
        <row r="1056">
          <cell r="D1056" t="str">
            <v>6월</v>
          </cell>
        </row>
        <row r="1057">
          <cell r="D1057" t="str">
            <v>6월</v>
          </cell>
        </row>
        <row r="1058">
          <cell r="D1058" t="str">
            <v>6월</v>
          </cell>
        </row>
        <row r="1059">
          <cell r="D1059" t="str">
            <v>6월</v>
          </cell>
        </row>
        <row r="1060">
          <cell r="D1060" t="str">
            <v>7월</v>
          </cell>
        </row>
        <row r="1061">
          <cell r="D1061" t="str">
            <v>7월</v>
          </cell>
        </row>
        <row r="1062">
          <cell r="D1062" t="str">
            <v>7월</v>
          </cell>
        </row>
        <row r="1063">
          <cell r="D1063" t="str">
            <v>7월</v>
          </cell>
        </row>
        <row r="1064">
          <cell r="D1064" t="str">
            <v>7월</v>
          </cell>
        </row>
        <row r="1065">
          <cell r="D1065" t="str">
            <v>7월</v>
          </cell>
        </row>
        <row r="1066">
          <cell r="D1066" t="str">
            <v>7월</v>
          </cell>
        </row>
        <row r="1067">
          <cell r="D1067" t="str">
            <v>7월</v>
          </cell>
        </row>
        <row r="1068">
          <cell r="D1068" t="str">
            <v>7월</v>
          </cell>
        </row>
        <row r="1069">
          <cell r="D1069" t="str">
            <v>7월</v>
          </cell>
        </row>
        <row r="1070">
          <cell r="D1070" t="str">
            <v>7월</v>
          </cell>
        </row>
        <row r="1071">
          <cell r="D1071" t="str">
            <v>7월</v>
          </cell>
        </row>
        <row r="1072">
          <cell r="D1072" t="str">
            <v>7월</v>
          </cell>
        </row>
        <row r="1073">
          <cell r="D1073" t="str">
            <v>7월</v>
          </cell>
        </row>
        <row r="1074">
          <cell r="D1074" t="str">
            <v>7월</v>
          </cell>
        </row>
        <row r="1075">
          <cell r="D1075" t="str">
            <v>7월</v>
          </cell>
        </row>
        <row r="1076">
          <cell r="D1076" t="str">
            <v>7월</v>
          </cell>
        </row>
        <row r="1077">
          <cell r="D1077" t="str">
            <v>7월</v>
          </cell>
        </row>
        <row r="1078">
          <cell r="D1078" t="str">
            <v>7월</v>
          </cell>
        </row>
        <row r="1079">
          <cell r="D1079" t="str">
            <v>7월</v>
          </cell>
        </row>
        <row r="1080">
          <cell r="D1080" t="str">
            <v>7월</v>
          </cell>
        </row>
        <row r="1081">
          <cell r="D1081" t="str">
            <v>7월</v>
          </cell>
        </row>
        <row r="1082">
          <cell r="D1082" t="str">
            <v>7월</v>
          </cell>
        </row>
        <row r="1083">
          <cell r="D1083" t="str">
            <v>7월</v>
          </cell>
        </row>
        <row r="1084">
          <cell r="D1084" t="str">
            <v>7월</v>
          </cell>
        </row>
        <row r="1085">
          <cell r="D1085" t="str">
            <v>7월</v>
          </cell>
        </row>
        <row r="1086">
          <cell r="D1086" t="str">
            <v>7월</v>
          </cell>
        </row>
        <row r="1087">
          <cell r="D1087" t="str">
            <v>7월</v>
          </cell>
        </row>
        <row r="1088">
          <cell r="D1088" t="str">
            <v>7월</v>
          </cell>
        </row>
        <row r="1089">
          <cell r="D1089" t="str">
            <v>7월</v>
          </cell>
        </row>
        <row r="1090">
          <cell r="D1090" t="str">
            <v>7월</v>
          </cell>
        </row>
        <row r="1091">
          <cell r="D1091" t="str">
            <v>7월</v>
          </cell>
        </row>
        <row r="1092">
          <cell r="D1092" t="str">
            <v>7월</v>
          </cell>
        </row>
        <row r="1093">
          <cell r="D1093" t="str">
            <v>7월</v>
          </cell>
        </row>
        <row r="1094">
          <cell r="D1094" t="str">
            <v>7월</v>
          </cell>
        </row>
        <row r="1095">
          <cell r="D1095" t="str">
            <v>7월</v>
          </cell>
        </row>
        <row r="1096">
          <cell r="D1096" t="str">
            <v>7월</v>
          </cell>
        </row>
        <row r="1097">
          <cell r="D1097" t="str">
            <v>7월</v>
          </cell>
        </row>
        <row r="1098">
          <cell r="D1098" t="str">
            <v>7월</v>
          </cell>
        </row>
        <row r="1099">
          <cell r="D1099" t="str">
            <v>7월</v>
          </cell>
        </row>
        <row r="1100">
          <cell r="D1100" t="str">
            <v>7월</v>
          </cell>
        </row>
        <row r="1101">
          <cell r="D1101" t="str">
            <v>7월</v>
          </cell>
        </row>
        <row r="1102">
          <cell r="D1102" t="str">
            <v>7월</v>
          </cell>
        </row>
        <row r="1103">
          <cell r="D1103" t="str">
            <v>7월</v>
          </cell>
        </row>
        <row r="1104">
          <cell r="D1104" t="str">
            <v>7월</v>
          </cell>
        </row>
        <row r="1105">
          <cell r="D1105" t="str">
            <v>7월</v>
          </cell>
        </row>
        <row r="1106">
          <cell r="D1106" t="str">
            <v>7월</v>
          </cell>
        </row>
        <row r="1107">
          <cell r="D1107" t="str">
            <v>7월</v>
          </cell>
        </row>
        <row r="1108">
          <cell r="D1108" t="str">
            <v>7월</v>
          </cell>
        </row>
        <row r="1109">
          <cell r="D1109" t="str">
            <v>7월</v>
          </cell>
        </row>
        <row r="1110">
          <cell r="D1110" t="str">
            <v>7월</v>
          </cell>
        </row>
        <row r="1111">
          <cell r="D1111" t="str">
            <v>7월</v>
          </cell>
        </row>
        <row r="1112">
          <cell r="D1112" t="str">
            <v>7월</v>
          </cell>
        </row>
        <row r="1113">
          <cell r="D1113" t="str">
            <v>7월</v>
          </cell>
        </row>
        <row r="1114">
          <cell r="D1114" t="str">
            <v>7월</v>
          </cell>
        </row>
        <row r="1115">
          <cell r="D1115" t="str">
            <v>7월</v>
          </cell>
        </row>
        <row r="1116">
          <cell r="D1116" t="str">
            <v>7월</v>
          </cell>
        </row>
        <row r="1117">
          <cell r="D1117" t="str">
            <v>7월</v>
          </cell>
        </row>
        <row r="1118">
          <cell r="D1118" t="str">
            <v>7월</v>
          </cell>
        </row>
        <row r="1119">
          <cell r="D1119" t="str">
            <v>7월</v>
          </cell>
        </row>
        <row r="1120">
          <cell r="D1120" t="str">
            <v>7월</v>
          </cell>
        </row>
        <row r="1121">
          <cell r="D1121" t="str">
            <v>7월</v>
          </cell>
        </row>
        <row r="1122">
          <cell r="D1122" t="str">
            <v>7월</v>
          </cell>
        </row>
        <row r="1123">
          <cell r="D1123" t="str">
            <v>7월</v>
          </cell>
        </row>
        <row r="1124">
          <cell r="D1124" t="str">
            <v>7월</v>
          </cell>
        </row>
        <row r="1125">
          <cell r="D1125" t="str">
            <v>7월</v>
          </cell>
        </row>
        <row r="1126">
          <cell r="D1126" t="str">
            <v>7월</v>
          </cell>
        </row>
        <row r="1127">
          <cell r="D1127" t="str">
            <v>7월</v>
          </cell>
        </row>
        <row r="1128">
          <cell r="D1128" t="str">
            <v>7월</v>
          </cell>
        </row>
        <row r="1129">
          <cell r="D1129" t="str">
            <v>7월</v>
          </cell>
        </row>
        <row r="1130">
          <cell r="D1130" t="str">
            <v>7월</v>
          </cell>
        </row>
        <row r="1131">
          <cell r="D1131" t="str">
            <v>7월</v>
          </cell>
        </row>
        <row r="1132">
          <cell r="D1132" t="str">
            <v>7월</v>
          </cell>
        </row>
        <row r="1133">
          <cell r="D1133" t="str">
            <v>7월</v>
          </cell>
        </row>
        <row r="1134">
          <cell r="D1134" t="str">
            <v>7월</v>
          </cell>
        </row>
        <row r="1135">
          <cell r="D1135" t="str">
            <v>7월</v>
          </cell>
        </row>
        <row r="1136">
          <cell r="D1136" t="str">
            <v>7월</v>
          </cell>
        </row>
        <row r="1137">
          <cell r="D1137" t="str">
            <v>7월</v>
          </cell>
        </row>
        <row r="1138">
          <cell r="D1138" t="str">
            <v>7월</v>
          </cell>
        </row>
        <row r="1139">
          <cell r="D1139" t="str">
            <v>7월</v>
          </cell>
        </row>
        <row r="1140">
          <cell r="D1140" t="str">
            <v>7월</v>
          </cell>
        </row>
        <row r="1141">
          <cell r="D1141" t="str">
            <v>7월</v>
          </cell>
        </row>
        <row r="1142">
          <cell r="D1142" t="str">
            <v>7월</v>
          </cell>
        </row>
        <row r="1143">
          <cell r="D1143" t="str">
            <v>7월</v>
          </cell>
        </row>
        <row r="1144">
          <cell r="D1144" t="str">
            <v>7월</v>
          </cell>
        </row>
        <row r="1145">
          <cell r="D1145" t="str">
            <v>7월</v>
          </cell>
        </row>
        <row r="1146">
          <cell r="D1146" t="str">
            <v>7월</v>
          </cell>
        </row>
        <row r="1147">
          <cell r="D1147" t="str">
            <v>7월</v>
          </cell>
        </row>
        <row r="1148">
          <cell r="D1148" t="str">
            <v>7월</v>
          </cell>
        </row>
        <row r="1149">
          <cell r="D1149" t="str">
            <v>7월</v>
          </cell>
        </row>
        <row r="1150">
          <cell r="D1150" t="str">
            <v>7월</v>
          </cell>
        </row>
        <row r="1151">
          <cell r="D1151" t="str">
            <v>7월</v>
          </cell>
        </row>
        <row r="1152">
          <cell r="D1152" t="str">
            <v>7월</v>
          </cell>
        </row>
        <row r="1153">
          <cell r="D1153" t="str">
            <v>7월</v>
          </cell>
        </row>
        <row r="1154">
          <cell r="D1154" t="str">
            <v>7월</v>
          </cell>
        </row>
        <row r="1155">
          <cell r="D1155" t="str">
            <v>7월</v>
          </cell>
        </row>
        <row r="1156">
          <cell r="D1156" t="str">
            <v>7월</v>
          </cell>
        </row>
        <row r="1157">
          <cell r="D1157" t="str">
            <v>7월</v>
          </cell>
        </row>
        <row r="1158">
          <cell r="D1158" t="str">
            <v>7월</v>
          </cell>
        </row>
        <row r="1159">
          <cell r="D1159" t="str">
            <v>7월</v>
          </cell>
        </row>
        <row r="1160">
          <cell r="D1160" t="str">
            <v>7월</v>
          </cell>
        </row>
        <row r="1161">
          <cell r="D1161" t="str">
            <v>7월</v>
          </cell>
        </row>
        <row r="1162">
          <cell r="D1162" t="str">
            <v>7월</v>
          </cell>
        </row>
        <row r="1163">
          <cell r="D1163" t="str">
            <v>7월</v>
          </cell>
        </row>
        <row r="1164">
          <cell r="D1164" t="str">
            <v>7월</v>
          </cell>
        </row>
        <row r="1165">
          <cell r="D1165" t="str">
            <v>7월</v>
          </cell>
        </row>
        <row r="1166">
          <cell r="D1166" t="str">
            <v>7월</v>
          </cell>
        </row>
        <row r="1167">
          <cell r="D1167" t="str">
            <v>7월</v>
          </cell>
        </row>
        <row r="1168">
          <cell r="D1168" t="str">
            <v>7월</v>
          </cell>
        </row>
        <row r="1169">
          <cell r="D1169" t="str">
            <v>7월</v>
          </cell>
        </row>
        <row r="1170">
          <cell r="D1170" t="str">
            <v>7월</v>
          </cell>
        </row>
        <row r="1171">
          <cell r="D1171" t="str">
            <v>7월</v>
          </cell>
        </row>
        <row r="1172">
          <cell r="D1172" t="str">
            <v>7월</v>
          </cell>
        </row>
        <row r="1173">
          <cell r="D1173" t="str">
            <v>7월</v>
          </cell>
        </row>
        <row r="1174">
          <cell r="D1174" t="str">
            <v>7월</v>
          </cell>
        </row>
        <row r="1175">
          <cell r="D1175" t="str">
            <v>7월</v>
          </cell>
        </row>
        <row r="1176">
          <cell r="D1176" t="str">
            <v>7월</v>
          </cell>
        </row>
        <row r="1177">
          <cell r="D1177" t="str">
            <v>7월</v>
          </cell>
        </row>
        <row r="1178">
          <cell r="D1178" t="str">
            <v>7월</v>
          </cell>
        </row>
        <row r="1179">
          <cell r="D1179" t="str">
            <v>7월</v>
          </cell>
        </row>
        <row r="1180">
          <cell r="D1180" t="str">
            <v>7월</v>
          </cell>
        </row>
        <row r="1181">
          <cell r="D1181" t="str">
            <v>7월</v>
          </cell>
        </row>
        <row r="1182">
          <cell r="D1182" t="str">
            <v>7월</v>
          </cell>
        </row>
        <row r="1183">
          <cell r="D1183" t="str">
            <v>7월</v>
          </cell>
        </row>
        <row r="1184">
          <cell r="D1184" t="str">
            <v>7월</v>
          </cell>
        </row>
        <row r="1185">
          <cell r="D1185" t="str">
            <v>7월</v>
          </cell>
        </row>
        <row r="1186">
          <cell r="D1186" t="str">
            <v>7월</v>
          </cell>
        </row>
        <row r="1187">
          <cell r="D1187" t="str">
            <v>7월</v>
          </cell>
        </row>
        <row r="1188">
          <cell r="D1188" t="str">
            <v>7월</v>
          </cell>
        </row>
        <row r="1189">
          <cell r="D1189" t="str">
            <v>7월</v>
          </cell>
        </row>
        <row r="1190">
          <cell r="D1190" t="str">
            <v>7월</v>
          </cell>
        </row>
        <row r="1191">
          <cell r="D1191" t="str">
            <v>7월</v>
          </cell>
        </row>
        <row r="1192">
          <cell r="D1192" t="str">
            <v>7월</v>
          </cell>
        </row>
        <row r="1193">
          <cell r="D1193" t="str">
            <v>7월</v>
          </cell>
        </row>
        <row r="1194">
          <cell r="D1194" t="str">
            <v>7월</v>
          </cell>
        </row>
        <row r="1195">
          <cell r="D1195" t="str">
            <v>7월</v>
          </cell>
        </row>
        <row r="1196">
          <cell r="D1196" t="str">
            <v>7월</v>
          </cell>
        </row>
        <row r="1197">
          <cell r="D1197" t="str">
            <v>7월</v>
          </cell>
        </row>
        <row r="1198">
          <cell r="D1198" t="str">
            <v>7월</v>
          </cell>
        </row>
        <row r="1199">
          <cell r="D1199" t="str">
            <v>7월</v>
          </cell>
        </row>
        <row r="1200">
          <cell r="D1200" t="str">
            <v>7월</v>
          </cell>
        </row>
        <row r="1201">
          <cell r="D1201" t="str">
            <v>7월</v>
          </cell>
        </row>
        <row r="1202">
          <cell r="D1202" t="str">
            <v>7월</v>
          </cell>
        </row>
        <row r="1203">
          <cell r="D1203" t="str">
            <v>7월</v>
          </cell>
        </row>
        <row r="1204">
          <cell r="D1204" t="str">
            <v>7월</v>
          </cell>
        </row>
        <row r="1205">
          <cell r="D1205" t="str">
            <v>7월</v>
          </cell>
        </row>
        <row r="1206">
          <cell r="D1206" t="str">
            <v>7월</v>
          </cell>
        </row>
        <row r="1207">
          <cell r="D1207" t="str">
            <v>7월</v>
          </cell>
        </row>
        <row r="1208">
          <cell r="D1208" t="str">
            <v>7월</v>
          </cell>
        </row>
        <row r="1209">
          <cell r="D1209" t="str">
            <v>7월</v>
          </cell>
        </row>
        <row r="1210">
          <cell r="D1210" t="str">
            <v>7월</v>
          </cell>
        </row>
        <row r="1211">
          <cell r="D1211" t="str">
            <v>7월</v>
          </cell>
        </row>
        <row r="1212">
          <cell r="D1212" t="str">
            <v>7월</v>
          </cell>
        </row>
        <row r="1213">
          <cell r="D1213" t="str">
            <v>7월</v>
          </cell>
        </row>
        <row r="1214">
          <cell r="D1214" t="str">
            <v>7월</v>
          </cell>
        </row>
        <row r="1215">
          <cell r="D1215" t="str">
            <v>7월</v>
          </cell>
        </row>
        <row r="1216">
          <cell r="D1216" t="str">
            <v>7월</v>
          </cell>
        </row>
        <row r="1217">
          <cell r="D1217" t="str">
            <v>7월</v>
          </cell>
        </row>
        <row r="1218">
          <cell r="D1218" t="str">
            <v>7월</v>
          </cell>
        </row>
        <row r="1219">
          <cell r="D1219" t="str">
            <v>7월</v>
          </cell>
        </row>
        <row r="1220">
          <cell r="D1220" t="str">
            <v>7월</v>
          </cell>
        </row>
        <row r="1221">
          <cell r="D1221" t="str">
            <v>7월</v>
          </cell>
        </row>
        <row r="1222">
          <cell r="D1222" t="str">
            <v>7월</v>
          </cell>
        </row>
        <row r="1223">
          <cell r="D1223" t="str">
            <v>7월</v>
          </cell>
        </row>
        <row r="1224">
          <cell r="D1224" t="str">
            <v>7월</v>
          </cell>
        </row>
        <row r="1225">
          <cell r="D1225" t="str">
            <v>7월</v>
          </cell>
        </row>
        <row r="1226">
          <cell r="D1226" t="str">
            <v>7월</v>
          </cell>
        </row>
        <row r="1227">
          <cell r="D1227" t="str">
            <v>7월</v>
          </cell>
        </row>
        <row r="1228">
          <cell r="D1228" t="str">
            <v>7월</v>
          </cell>
        </row>
        <row r="1229">
          <cell r="D1229" t="str">
            <v>7월</v>
          </cell>
        </row>
        <row r="1230">
          <cell r="D1230" t="str">
            <v>7월</v>
          </cell>
        </row>
        <row r="1231">
          <cell r="D1231" t="str">
            <v>7월</v>
          </cell>
        </row>
        <row r="1232">
          <cell r="D1232" t="str">
            <v>7월</v>
          </cell>
        </row>
        <row r="1233">
          <cell r="D1233" t="str">
            <v>7월</v>
          </cell>
        </row>
        <row r="1234">
          <cell r="D1234" t="str">
            <v>7월</v>
          </cell>
        </row>
        <row r="1235">
          <cell r="D1235" t="str">
            <v>7월</v>
          </cell>
        </row>
        <row r="1236">
          <cell r="D1236" t="str">
            <v>7월</v>
          </cell>
        </row>
        <row r="1237">
          <cell r="D1237" t="str">
            <v>7월</v>
          </cell>
        </row>
        <row r="1238">
          <cell r="D1238" t="str">
            <v>7월</v>
          </cell>
        </row>
        <row r="1239">
          <cell r="D1239" t="str">
            <v>7월</v>
          </cell>
        </row>
        <row r="1240">
          <cell r="D1240" t="str">
            <v>7월</v>
          </cell>
        </row>
        <row r="1241">
          <cell r="D1241" t="str">
            <v>7월</v>
          </cell>
        </row>
        <row r="1242">
          <cell r="D1242" t="str">
            <v>7월</v>
          </cell>
        </row>
        <row r="1243">
          <cell r="D1243" t="str">
            <v>7월</v>
          </cell>
        </row>
        <row r="1244">
          <cell r="D1244" t="str">
            <v>7월</v>
          </cell>
        </row>
        <row r="1245">
          <cell r="D1245" t="str">
            <v>7월</v>
          </cell>
        </row>
        <row r="1246">
          <cell r="D1246" t="str">
            <v>7월</v>
          </cell>
        </row>
        <row r="1247">
          <cell r="D1247" t="str">
            <v>7월</v>
          </cell>
        </row>
        <row r="1248">
          <cell r="D1248" t="str">
            <v>7월</v>
          </cell>
        </row>
        <row r="1249">
          <cell r="D1249" t="str">
            <v>7월</v>
          </cell>
        </row>
        <row r="1250">
          <cell r="D1250" t="str">
            <v>7월</v>
          </cell>
        </row>
        <row r="1251">
          <cell r="D1251" t="str">
            <v>7월</v>
          </cell>
        </row>
        <row r="1252">
          <cell r="D1252" t="str">
            <v>7월</v>
          </cell>
        </row>
        <row r="1253">
          <cell r="D1253" t="str">
            <v>7월</v>
          </cell>
        </row>
        <row r="1254">
          <cell r="D1254" t="str">
            <v>7월</v>
          </cell>
        </row>
        <row r="1255">
          <cell r="D1255" t="str">
            <v>7월</v>
          </cell>
        </row>
        <row r="1256">
          <cell r="D1256" t="str">
            <v>7월</v>
          </cell>
        </row>
        <row r="1257">
          <cell r="D1257" t="str">
            <v>7월</v>
          </cell>
        </row>
        <row r="1258">
          <cell r="D1258" t="str">
            <v>7월</v>
          </cell>
        </row>
        <row r="1259">
          <cell r="D1259" t="str">
            <v>7월</v>
          </cell>
        </row>
        <row r="1260">
          <cell r="D1260" t="str">
            <v>7월</v>
          </cell>
        </row>
        <row r="1261">
          <cell r="D1261" t="str">
            <v>7월</v>
          </cell>
        </row>
        <row r="1262">
          <cell r="D1262" t="str">
            <v>7월</v>
          </cell>
        </row>
        <row r="1263">
          <cell r="D1263" t="str">
            <v>7월</v>
          </cell>
        </row>
        <row r="1264">
          <cell r="D1264" t="str">
            <v>7월</v>
          </cell>
        </row>
        <row r="1265">
          <cell r="D1265" t="str">
            <v>7월</v>
          </cell>
        </row>
        <row r="1266">
          <cell r="D1266" t="str">
            <v>7월</v>
          </cell>
        </row>
        <row r="1267">
          <cell r="D1267" t="str">
            <v>7월</v>
          </cell>
        </row>
        <row r="1268">
          <cell r="D1268" t="str">
            <v>7월</v>
          </cell>
        </row>
        <row r="1269">
          <cell r="D1269" t="str">
            <v>7월</v>
          </cell>
        </row>
        <row r="1270">
          <cell r="D1270" t="str">
            <v>7월</v>
          </cell>
        </row>
        <row r="1271">
          <cell r="D1271" t="str">
            <v>7월</v>
          </cell>
        </row>
        <row r="1272">
          <cell r="D1272" t="str">
            <v>7월</v>
          </cell>
        </row>
        <row r="1273">
          <cell r="D1273" t="str">
            <v>7월</v>
          </cell>
        </row>
        <row r="1274">
          <cell r="D1274" t="str">
            <v>7월</v>
          </cell>
        </row>
        <row r="1275">
          <cell r="D1275" t="str">
            <v>7월</v>
          </cell>
        </row>
        <row r="1276">
          <cell r="D1276" t="str">
            <v>7월</v>
          </cell>
        </row>
        <row r="1277">
          <cell r="D1277" t="str">
            <v>7월</v>
          </cell>
        </row>
        <row r="1278">
          <cell r="D1278" t="str">
            <v>7월</v>
          </cell>
        </row>
        <row r="1279">
          <cell r="D1279" t="str">
            <v>7월</v>
          </cell>
        </row>
        <row r="1280">
          <cell r="D1280" t="str">
            <v>7월</v>
          </cell>
        </row>
        <row r="1281">
          <cell r="D1281" t="str">
            <v>7월</v>
          </cell>
        </row>
        <row r="1282">
          <cell r="D1282" t="str">
            <v>7월</v>
          </cell>
        </row>
        <row r="1283">
          <cell r="D1283" t="str">
            <v>7월</v>
          </cell>
        </row>
        <row r="1284">
          <cell r="D1284" t="str">
            <v>7월</v>
          </cell>
        </row>
        <row r="1285">
          <cell r="D1285" t="str">
            <v>7월</v>
          </cell>
        </row>
        <row r="1286">
          <cell r="D1286" t="str">
            <v>7월</v>
          </cell>
        </row>
        <row r="1287">
          <cell r="D1287" t="str">
            <v>7월</v>
          </cell>
        </row>
        <row r="1288">
          <cell r="D1288" t="str">
            <v>7월</v>
          </cell>
        </row>
        <row r="1289">
          <cell r="D1289" t="str">
            <v>7월</v>
          </cell>
        </row>
        <row r="1290">
          <cell r="D1290" t="str">
            <v>7월</v>
          </cell>
        </row>
        <row r="1291">
          <cell r="D1291" t="str">
            <v>7월</v>
          </cell>
        </row>
        <row r="1292">
          <cell r="D1292" t="str">
            <v>7월</v>
          </cell>
        </row>
        <row r="1293">
          <cell r="D1293" t="str">
            <v>7월</v>
          </cell>
        </row>
        <row r="1294">
          <cell r="D1294" t="str">
            <v>7월</v>
          </cell>
        </row>
        <row r="1295">
          <cell r="D1295" t="str">
            <v>7월</v>
          </cell>
        </row>
        <row r="1296">
          <cell r="D1296" t="str">
            <v>7월</v>
          </cell>
        </row>
        <row r="1297">
          <cell r="D1297" t="str">
            <v>7월</v>
          </cell>
        </row>
        <row r="1298">
          <cell r="D1298" t="str">
            <v>7월</v>
          </cell>
        </row>
        <row r="1299">
          <cell r="D1299" t="str">
            <v>7월</v>
          </cell>
        </row>
        <row r="1300">
          <cell r="D1300" t="str">
            <v>7월</v>
          </cell>
        </row>
        <row r="1301">
          <cell r="D1301" t="str">
            <v>7월</v>
          </cell>
        </row>
        <row r="1302">
          <cell r="D1302" t="str">
            <v>7월</v>
          </cell>
        </row>
        <row r="1303">
          <cell r="D1303" t="str">
            <v>7월</v>
          </cell>
        </row>
        <row r="1304">
          <cell r="D1304" t="str">
            <v>7월</v>
          </cell>
        </row>
        <row r="1305">
          <cell r="D1305" t="str">
            <v>7월</v>
          </cell>
        </row>
        <row r="1306">
          <cell r="D1306" t="str">
            <v>7월</v>
          </cell>
        </row>
        <row r="1307">
          <cell r="D1307" t="str">
            <v>7월</v>
          </cell>
        </row>
        <row r="1308">
          <cell r="D1308" t="str">
            <v>7월</v>
          </cell>
        </row>
        <row r="1309">
          <cell r="D1309" t="str">
            <v>7월</v>
          </cell>
        </row>
        <row r="1310">
          <cell r="D1310" t="str">
            <v>7월</v>
          </cell>
        </row>
        <row r="1311">
          <cell r="D1311" t="str">
            <v>7월</v>
          </cell>
        </row>
        <row r="1312">
          <cell r="D1312" t="str">
            <v>7월</v>
          </cell>
        </row>
        <row r="1313">
          <cell r="D1313" t="str">
            <v>7월</v>
          </cell>
        </row>
        <row r="1314">
          <cell r="D1314" t="str">
            <v>7월</v>
          </cell>
        </row>
        <row r="1315">
          <cell r="D1315" t="str">
            <v>7월</v>
          </cell>
        </row>
        <row r="1316">
          <cell r="D1316" t="str">
            <v>7월</v>
          </cell>
        </row>
        <row r="1317">
          <cell r="D1317" t="str">
            <v>7월</v>
          </cell>
        </row>
        <row r="1318">
          <cell r="D1318" t="str">
            <v>7월</v>
          </cell>
        </row>
        <row r="1319">
          <cell r="D1319" t="str">
            <v>7월</v>
          </cell>
        </row>
        <row r="1320">
          <cell r="D1320" t="str">
            <v>7월</v>
          </cell>
        </row>
        <row r="1321">
          <cell r="D1321" t="str">
            <v>7월</v>
          </cell>
        </row>
        <row r="1322">
          <cell r="D1322" t="str">
            <v>7월</v>
          </cell>
        </row>
        <row r="1323">
          <cell r="D1323" t="str">
            <v>7월</v>
          </cell>
        </row>
        <row r="1324">
          <cell r="D1324" t="str">
            <v>7월</v>
          </cell>
        </row>
        <row r="1325">
          <cell r="D1325" t="str">
            <v>7월</v>
          </cell>
        </row>
        <row r="1326">
          <cell r="D1326" t="str">
            <v>7월</v>
          </cell>
        </row>
        <row r="1327">
          <cell r="D1327" t="str">
            <v>7월</v>
          </cell>
        </row>
        <row r="1328">
          <cell r="D1328" t="str">
            <v>7월</v>
          </cell>
        </row>
        <row r="1329">
          <cell r="D1329" t="str">
            <v>7월</v>
          </cell>
        </row>
        <row r="1330">
          <cell r="D1330" t="str">
            <v>7월</v>
          </cell>
        </row>
        <row r="1331">
          <cell r="D1331" t="str">
            <v>7월</v>
          </cell>
        </row>
        <row r="1332">
          <cell r="D1332" t="str">
            <v>7월</v>
          </cell>
        </row>
        <row r="1333">
          <cell r="D1333" t="str">
            <v>7월</v>
          </cell>
        </row>
        <row r="1334">
          <cell r="D1334" t="str">
            <v>7월</v>
          </cell>
        </row>
        <row r="1335">
          <cell r="D1335" t="str">
            <v>7월</v>
          </cell>
        </row>
        <row r="1336">
          <cell r="D1336" t="str">
            <v>7월</v>
          </cell>
        </row>
        <row r="1337">
          <cell r="D1337" t="str">
            <v>7월</v>
          </cell>
        </row>
        <row r="1338">
          <cell r="D1338" t="str">
            <v>7월</v>
          </cell>
        </row>
        <row r="1339">
          <cell r="D1339" t="str">
            <v>7월</v>
          </cell>
        </row>
        <row r="1340">
          <cell r="D1340" t="str">
            <v>7월</v>
          </cell>
        </row>
        <row r="1341">
          <cell r="D1341" t="str">
            <v>7월</v>
          </cell>
        </row>
        <row r="1342">
          <cell r="D1342" t="str">
            <v>7월</v>
          </cell>
        </row>
        <row r="1343">
          <cell r="D1343" t="str">
            <v>7월</v>
          </cell>
        </row>
        <row r="1344">
          <cell r="D1344" t="str">
            <v>7월</v>
          </cell>
        </row>
        <row r="1345">
          <cell r="D1345" t="str">
            <v>7월</v>
          </cell>
        </row>
        <row r="1346">
          <cell r="D1346" t="str">
            <v>7월</v>
          </cell>
        </row>
        <row r="1347">
          <cell r="D1347" t="str">
            <v>7월</v>
          </cell>
        </row>
        <row r="1348">
          <cell r="D1348" t="str">
            <v>7월</v>
          </cell>
        </row>
        <row r="1349">
          <cell r="D1349" t="str">
            <v>7월</v>
          </cell>
        </row>
        <row r="1350">
          <cell r="D1350" t="str">
            <v>7월</v>
          </cell>
        </row>
        <row r="1351">
          <cell r="D1351" t="str">
            <v>7월</v>
          </cell>
        </row>
        <row r="1352">
          <cell r="D1352" t="str">
            <v>7월</v>
          </cell>
        </row>
        <row r="1353">
          <cell r="D1353" t="str">
            <v>7월</v>
          </cell>
        </row>
        <row r="1354">
          <cell r="D1354" t="str">
            <v>7월</v>
          </cell>
        </row>
        <row r="1355">
          <cell r="D1355" t="str">
            <v>7월</v>
          </cell>
        </row>
        <row r="1356">
          <cell r="D1356" t="str">
            <v>7월</v>
          </cell>
        </row>
        <row r="1357">
          <cell r="D1357" t="str">
            <v>7월</v>
          </cell>
        </row>
        <row r="1358">
          <cell r="D1358" t="str">
            <v>7월</v>
          </cell>
        </row>
        <row r="1359">
          <cell r="D1359" t="str">
            <v>7월</v>
          </cell>
        </row>
        <row r="1360">
          <cell r="D1360" t="str">
            <v>8월</v>
          </cell>
        </row>
        <row r="1361">
          <cell r="D1361" t="str">
            <v>8월</v>
          </cell>
        </row>
        <row r="1362">
          <cell r="D1362" t="str">
            <v>8월</v>
          </cell>
        </row>
        <row r="1363">
          <cell r="D1363" t="str">
            <v>8월</v>
          </cell>
        </row>
        <row r="1364">
          <cell r="D1364" t="str">
            <v>8월</v>
          </cell>
        </row>
        <row r="1365">
          <cell r="D1365" t="str">
            <v>8월</v>
          </cell>
        </row>
        <row r="1366">
          <cell r="D1366" t="str">
            <v>8월</v>
          </cell>
        </row>
        <row r="1367">
          <cell r="D1367" t="str">
            <v>8월</v>
          </cell>
        </row>
        <row r="1368">
          <cell r="D1368" t="str">
            <v>8월</v>
          </cell>
        </row>
        <row r="1369">
          <cell r="D1369" t="str">
            <v>8월</v>
          </cell>
        </row>
        <row r="1370">
          <cell r="D1370" t="str">
            <v>8월</v>
          </cell>
        </row>
        <row r="1371">
          <cell r="D1371" t="str">
            <v>8월</v>
          </cell>
        </row>
        <row r="1372">
          <cell r="D1372" t="str">
            <v>8월</v>
          </cell>
        </row>
        <row r="1373">
          <cell r="D1373" t="str">
            <v>8월</v>
          </cell>
        </row>
        <row r="1374">
          <cell r="D1374" t="str">
            <v>8월</v>
          </cell>
        </row>
        <row r="1375">
          <cell r="D1375" t="str">
            <v>8월</v>
          </cell>
        </row>
        <row r="1376">
          <cell r="D1376" t="str">
            <v>8월</v>
          </cell>
        </row>
        <row r="1377">
          <cell r="D1377" t="str">
            <v>8월</v>
          </cell>
        </row>
        <row r="1378">
          <cell r="D1378" t="str">
            <v>8월</v>
          </cell>
        </row>
        <row r="1379">
          <cell r="D1379" t="str">
            <v>8월</v>
          </cell>
        </row>
        <row r="1380">
          <cell r="D1380" t="str">
            <v>8월</v>
          </cell>
        </row>
        <row r="1381">
          <cell r="D1381" t="str">
            <v>8월</v>
          </cell>
        </row>
        <row r="1382">
          <cell r="D1382" t="str">
            <v>8월</v>
          </cell>
        </row>
        <row r="1383">
          <cell r="D1383" t="str">
            <v>8월</v>
          </cell>
        </row>
        <row r="1384">
          <cell r="D1384" t="str">
            <v>8월</v>
          </cell>
        </row>
        <row r="1385">
          <cell r="D1385" t="str">
            <v>8월</v>
          </cell>
        </row>
        <row r="1386">
          <cell r="D1386" t="str">
            <v>8월</v>
          </cell>
        </row>
        <row r="1387">
          <cell r="D1387" t="str">
            <v>8월</v>
          </cell>
        </row>
        <row r="1388">
          <cell r="D1388" t="str">
            <v>8월</v>
          </cell>
        </row>
        <row r="1389">
          <cell r="D1389" t="str">
            <v>8월</v>
          </cell>
        </row>
        <row r="1390">
          <cell r="D1390" t="str">
            <v>8월</v>
          </cell>
        </row>
        <row r="1391">
          <cell r="D1391" t="str">
            <v>8월</v>
          </cell>
        </row>
        <row r="1392">
          <cell r="D1392" t="str">
            <v>8월</v>
          </cell>
        </row>
        <row r="1393">
          <cell r="D1393" t="str">
            <v>8월</v>
          </cell>
        </row>
        <row r="1394">
          <cell r="D1394" t="str">
            <v>8월</v>
          </cell>
        </row>
        <row r="1395">
          <cell r="D1395" t="str">
            <v>8월</v>
          </cell>
        </row>
        <row r="1396">
          <cell r="D1396" t="str">
            <v>8월</v>
          </cell>
        </row>
        <row r="1397">
          <cell r="D1397" t="str">
            <v>8월</v>
          </cell>
        </row>
        <row r="1398">
          <cell r="D1398" t="str">
            <v>8월</v>
          </cell>
        </row>
        <row r="1399">
          <cell r="D1399" t="str">
            <v>8월</v>
          </cell>
        </row>
        <row r="1400">
          <cell r="D1400" t="str">
            <v>8월</v>
          </cell>
        </row>
        <row r="1401">
          <cell r="D1401" t="str">
            <v>8월</v>
          </cell>
        </row>
        <row r="1402">
          <cell r="D1402" t="str">
            <v>8월</v>
          </cell>
        </row>
        <row r="1403">
          <cell r="D1403" t="str">
            <v>8월</v>
          </cell>
        </row>
        <row r="1404">
          <cell r="D1404" t="str">
            <v>8월</v>
          </cell>
        </row>
        <row r="1405">
          <cell r="D1405" t="str">
            <v>8월</v>
          </cell>
        </row>
        <row r="1406">
          <cell r="D1406" t="str">
            <v>8월</v>
          </cell>
        </row>
        <row r="1407">
          <cell r="D1407" t="str">
            <v>8월</v>
          </cell>
        </row>
        <row r="1408">
          <cell r="D1408" t="str">
            <v>8월</v>
          </cell>
        </row>
        <row r="1409">
          <cell r="D1409" t="str">
            <v>8월</v>
          </cell>
        </row>
        <row r="1410">
          <cell r="D1410" t="str">
            <v>8월</v>
          </cell>
        </row>
        <row r="1411">
          <cell r="D1411" t="str">
            <v>8월</v>
          </cell>
        </row>
        <row r="1412">
          <cell r="D1412" t="str">
            <v>8월</v>
          </cell>
        </row>
        <row r="1413">
          <cell r="D1413" t="str">
            <v>8월</v>
          </cell>
        </row>
        <row r="1414">
          <cell r="D1414" t="str">
            <v>8월</v>
          </cell>
        </row>
        <row r="1415">
          <cell r="D1415" t="str">
            <v>8월</v>
          </cell>
        </row>
        <row r="1416">
          <cell r="D1416" t="str">
            <v>8월</v>
          </cell>
        </row>
        <row r="1417">
          <cell r="D1417" t="str">
            <v>8월</v>
          </cell>
        </row>
        <row r="1418">
          <cell r="D1418" t="str">
            <v>8월</v>
          </cell>
        </row>
        <row r="1419">
          <cell r="D1419" t="str">
            <v>8월</v>
          </cell>
        </row>
        <row r="1420">
          <cell r="D1420" t="str">
            <v>8월</v>
          </cell>
        </row>
        <row r="1421">
          <cell r="D1421" t="str">
            <v>8월</v>
          </cell>
        </row>
        <row r="1422">
          <cell r="D1422" t="str">
            <v>8월</v>
          </cell>
        </row>
        <row r="1423">
          <cell r="D1423" t="str">
            <v>8월</v>
          </cell>
        </row>
        <row r="1424">
          <cell r="D1424" t="str">
            <v>8월</v>
          </cell>
        </row>
        <row r="1425">
          <cell r="D1425" t="str">
            <v>8월</v>
          </cell>
        </row>
        <row r="1426">
          <cell r="D1426" t="str">
            <v>8월</v>
          </cell>
        </row>
        <row r="1427">
          <cell r="D1427" t="str">
            <v>8월</v>
          </cell>
        </row>
        <row r="1428">
          <cell r="D1428" t="str">
            <v>8월</v>
          </cell>
        </row>
        <row r="1429">
          <cell r="D1429" t="str">
            <v>8월</v>
          </cell>
        </row>
        <row r="1430">
          <cell r="D1430" t="str">
            <v>8월</v>
          </cell>
        </row>
        <row r="1431">
          <cell r="D1431" t="str">
            <v>8월</v>
          </cell>
        </row>
        <row r="1432">
          <cell r="D1432" t="str">
            <v>8월</v>
          </cell>
        </row>
        <row r="1433">
          <cell r="D1433" t="str">
            <v>8월</v>
          </cell>
        </row>
        <row r="1434">
          <cell r="D1434" t="str">
            <v>8월</v>
          </cell>
        </row>
        <row r="1435">
          <cell r="D1435" t="str">
            <v>8월</v>
          </cell>
        </row>
        <row r="1436">
          <cell r="D1436" t="str">
            <v>8월</v>
          </cell>
        </row>
        <row r="1437">
          <cell r="D1437" t="str">
            <v>8월</v>
          </cell>
        </row>
        <row r="1438">
          <cell r="D1438" t="str">
            <v>8월</v>
          </cell>
        </row>
        <row r="1439">
          <cell r="D1439" t="str">
            <v>8월</v>
          </cell>
        </row>
        <row r="1440">
          <cell r="D1440" t="str">
            <v>8월</v>
          </cell>
        </row>
        <row r="1441">
          <cell r="D1441" t="str">
            <v>8월</v>
          </cell>
        </row>
        <row r="1442">
          <cell r="D1442" t="str">
            <v>8월</v>
          </cell>
        </row>
        <row r="1443">
          <cell r="D1443" t="str">
            <v>8월</v>
          </cell>
        </row>
        <row r="1444">
          <cell r="D1444" t="str">
            <v>8월</v>
          </cell>
        </row>
        <row r="1445">
          <cell r="D1445" t="str">
            <v>8월</v>
          </cell>
        </row>
        <row r="1446">
          <cell r="D1446" t="str">
            <v>8월</v>
          </cell>
        </row>
        <row r="1447">
          <cell r="D1447" t="str">
            <v>8월</v>
          </cell>
        </row>
        <row r="1448">
          <cell r="D1448" t="str">
            <v>8월</v>
          </cell>
        </row>
        <row r="1449">
          <cell r="D1449" t="str">
            <v>8월</v>
          </cell>
        </row>
        <row r="1450">
          <cell r="D1450" t="str">
            <v>8월</v>
          </cell>
        </row>
        <row r="1451">
          <cell r="D1451" t="str">
            <v>8월</v>
          </cell>
        </row>
        <row r="1452">
          <cell r="D1452" t="str">
            <v>8월</v>
          </cell>
        </row>
        <row r="1453">
          <cell r="D1453" t="str">
            <v>8월</v>
          </cell>
        </row>
        <row r="1454">
          <cell r="D1454" t="str">
            <v>8월</v>
          </cell>
        </row>
        <row r="1455">
          <cell r="D1455" t="str">
            <v>8월</v>
          </cell>
        </row>
        <row r="1456">
          <cell r="D1456" t="str">
            <v>8월</v>
          </cell>
        </row>
        <row r="1457">
          <cell r="D1457" t="str">
            <v>8월</v>
          </cell>
        </row>
        <row r="1458">
          <cell r="D1458" t="str">
            <v>8월</v>
          </cell>
        </row>
        <row r="1459">
          <cell r="D1459" t="str">
            <v>8월</v>
          </cell>
        </row>
        <row r="1460">
          <cell r="D1460" t="str">
            <v>8월</v>
          </cell>
        </row>
        <row r="1461">
          <cell r="D1461" t="str">
            <v>8월</v>
          </cell>
        </row>
        <row r="1462">
          <cell r="D1462" t="str">
            <v>8월</v>
          </cell>
        </row>
        <row r="1463">
          <cell r="D1463" t="str">
            <v>8월</v>
          </cell>
        </row>
        <row r="1464">
          <cell r="D1464" t="str">
            <v>8월</v>
          </cell>
        </row>
        <row r="1465">
          <cell r="D1465" t="str">
            <v>8월</v>
          </cell>
        </row>
        <row r="1466">
          <cell r="D1466" t="str">
            <v>8월</v>
          </cell>
        </row>
        <row r="1467">
          <cell r="D1467" t="str">
            <v>8월</v>
          </cell>
        </row>
        <row r="1468">
          <cell r="D1468" t="str">
            <v>8월</v>
          </cell>
        </row>
        <row r="1469">
          <cell r="D1469" t="str">
            <v>8월</v>
          </cell>
        </row>
        <row r="1470">
          <cell r="D1470" t="str">
            <v>8월</v>
          </cell>
        </row>
        <row r="1471">
          <cell r="D1471" t="str">
            <v>8월</v>
          </cell>
        </row>
        <row r="1472">
          <cell r="D1472" t="str">
            <v>8월</v>
          </cell>
        </row>
        <row r="1473">
          <cell r="D1473" t="str">
            <v>8월</v>
          </cell>
        </row>
        <row r="1474">
          <cell r="D1474" t="str">
            <v>8월</v>
          </cell>
        </row>
        <row r="1475">
          <cell r="D1475" t="str">
            <v>8월</v>
          </cell>
        </row>
        <row r="1476">
          <cell r="D1476" t="str">
            <v>8월</v>
          </cell>
        </row>
        <row r="1477">
          <cell r="D1477" t="str">
            <v>8월</v>
          </cell>
        </row>
        <row r="1478">
          <cell r="D1478" t="str">
            <v>8월</v>
          </cell>
        </row>
        <row r="1479">
          <cell r="D1479" t="str">
            <v>8월</v>
          </cell>
        </row>
        <row r="1480">
          <cell r="D1480" t="str">
            <v>8월</v>
          </cell>
        </row>
        <row r="1481">
          <cell r="D1481" t="str">
            <v>8월</v>
          </cell>
        </row>
        <row r="1482">
          <cell r="D1482" t="str">
            <v>8월</v>
          </cell>
        </row>
        <row r="1483">
          <cell r="D1483" t="str">
            <v>8월</v>
          </cell>
        </row>
        <row r="1484">
          <cell r="D1484" t="str">
            <v>8월</v>
          </cell>
        </row>
        <row r="1485">
          <cell r="D1485" t="str">
            <v>8월</v>
          </cell>
        </row>
        <row r="1486">
          <cell r="D1486" t="str">
            <v>8월</v>
          </cell>
        </row>
        <row r="1487">
          <cell r="D1487" t="str">
            <v>8월</v>
          </cell>
        </row>
        <row r="1488">
          <cell r="D1488" t="str">
            <v>8월</v>
          </cell>
        </row>
        <row r="1489">
          <cell r="D1489" t="str">
            <v>8월</v>
          </cell>
        </row>
        <row r="1490">
          <cell r="D1490" t="str">
            <v>8월</v>
          </cell>
        </row>
        <row r="1491">
          <cell r="D1491" t="str">
            <v>8월</v>
          </cell>
        </row>
        <row r="1492">
          <cell r="D1492" t="str">
            <v>8월</v>
          </cell>
        </row>
        <row r="1493">
          <cell r="D1493" t="str">
            <v>8월</v>
          </cell>
        </row>
        <row r="1494">
          <cell r="D1494" t="str">
            <v>8월</v>
          </cell>
        </row>
        <row r="1495">
          <cell r="D1495" t="str">
            <v>8월</v>
          </cell>
        </row>
        <row r="1496">
          <cell r="D1496" t="str">
            <v>8월</v>
          </cell>
        </row>
        <row r="1497">
          <cell r="D1497" t="str">
            <v>8월</v>
          </cell>
        </row>
        <row r="1498">
          <cell r="D1498" t="str">
            <v>8월</v>
          </cell>
        </row>
        <row r="1499">
          <cell r="D1499" t="str">
            <v>8월</v>
          </cell>
        </row>
        <row r="1500">
          <cell r="D1500" t="str">
            <v>8월</v>
          </cell>
        </row>
        <row r="1501">
          <cell r="D1501" t="str">
            <v>8월</v>
          </cell>
        </row>
        <row r="1502">
          <cell r="D1502" t="str">
            <v>8월</v>
          </cell>
        </row>
        <row r="1503">
          <cell r="D1503" t="str">
            <v>8월</v>
          </cell>
        </row>
        <row r="1504">
          <cell r="D1504" t="str">
            <v>8월</v>
          </cell>
        </row>
        <row r="1505">
          <cell r="D1505" t="str">
            <v>8월</v>
          </cell>
        </row>
        <row r="1506">
          <cell r="D1506" t="str">
            <v>8월</v>
          </cell>
        </row>
        <row r="1507">
          <cell r="D1507" t="str">
            <v>8월</v>
          </cell>
        </row>
        <row r="1508">
          <cell r="D1508" t="str">
            <v>8월</v>
          </cell>
        </row>
        <row r="1509">
          <cell r="D1509" t="str">
            <v>8월</v>
          </cell>
        </row>
        <row r="1510">
          <cell r="D1510" t="str">
            <v>8월</v>
          </cell>
        </row>
        <row r="1511">
          <cell r="D1511" t="str">
            <v>8월</v>
          </cell>
        </row>
        <row r="1512">
          <cell r="D1512" t="str">
            <v>8월</v>
          </cell>
        </row>
        <row r="1513">
          <cell r="D1513" t="str">
            <v>8월</v>
          </cell>
        </row>
        <row r="1514">
          <cell r="D1514" t="str">
            <v>8월</v>
          </cell>
        </row>
        <row r="1515">
          <cell r="D1515" t="str">
            <v>8월</v>
          </cell>
        </row>
        <row r="1516">
          <cell r="D1516" t="str">
            <v>8월</v>
          </cell>
        </row>
        <row r="1517">
          <cell r="D1517" t="str">
            <v>8월</v>
          </cell>
        </row>
        <row r="1518">
          <cell r="D1518" t="str">
            <v>8월</v>
          </cell>
        </row>
        <row r="1519">
          <cell r="D1519" t="str">
            <v>8월</v>
          </cell>
        </row>
        <row r="1520">
          <cell r="D1520" t="str">
            <v>8월</v>
          </cell>
        </row>
        <row r="1521">
          <cell r="D1521" t="str">
            <v>8월</v>
          </cell>
        </row>
        <row r="1522">
          <cell r="D1522" t="str">
            <v>8월</v>
          </cell>
        </row>
        <row r="1523">
          <cell r="D1523" t="str">
            <v>8월</v>
          </cell>
        </row>
        <row r="1524">
          <cell r="D1524" t="str">
            <v>8월</v>
          </cell>
        </row>
        <row r="1525">
          <cell r="D1525" t="str">
            <v>8월</v>
          </cell>
        </row>
        <row r="1526">
          <cell r="D1526" t="str">
            <v>8월</v>
          </cell>
        </row>
        <row r="1527">
          <cell r="D1527" t="str">
            <v>8월</v>
          </cell>
        </row>
        <row r="1528">
          <cell r="D1528" t="str">
            <v>8월</v>
          </cell>
        </row>
        <row r="1529">
          <cell r="D1529" t="str">
            <v>8월</v>
          </cell>
        </row>
        <row r="1530">
          <cell r="D1530" t="str">
            <v>8월</v>
          </cell>
        </row>
        <row r="1531">
          <cell r="D1531" t="str">
            <v>8월</v>
          </cell>
        </row>
        <row r="1532">
          <cell r="D1532" t="str">
            <v>8월</v>
          </cell>
        </row>
        <row r="1533">
          <cell r="D1533" t="str">
            <v>8월</v>
          </cell>
        </row>
        <row r="1534">
          <cell r="D1534" t="str">
            <v>8월</v>
          </cell>
        </row>
        <row r="1535">
          <cell r="D1535" t="str">
            <v>8월</v>
          </cell>
        </row>
        <row r="1536">
          <cell r="D1536" t="str">
            <v>8월</v>
          </cell>
        </row>
        <row r="1537">
          <cell r="D1537" t="str">
            <v>8월</v>
          </cell>
        </row>
        <row r="1538">
          <cell r="D1538" t="str">
            <v>8월</v>
          </cell>
        </row>
        <row r="1539">
          <cell r="D1539" t="str">
            <v>8월</v>
          </cell>
        </row>
        <row r="1540">
          <cell r="D1540" t="str">
            <v>8월</v>
          </cell>
        </row>
        <row r="1541">
          <cell r="D1541" t="str">
            <v>8월</v>
          </cell>
        </row>
        <row r="1542">
          <cell r="D1542" t="str">
            <v>8월</v>
          </cell>
        </row>
        <row r="1543">
          <cell r="D1543" t="str">
            <v>8월</v>
          </cell>
        </row>
        <row r="1544">
          <cell r="D1544" t="str">
            <v>8월</v>
          </cell>
        </row>
        <row r="1545">
          <cell r="D1545" t="str">
            <v>8월</v>
          </cell>
        </row>
        <row r="1546">
          <cell r="D1546" t="str">
            <v>8월</v>
          </cell>
        </row>
        <row r="1547">
          <cell r="D1547" t="str">
            <v>8월</v>
          </cell>
        </row>
        <row r="1548">
          <cell r="D1548" t="str">
            <v>8월</v>
          </cell>
        </row>
        <row r="1549">
          <cell r="D1549" t="str">
            <v>8월</v>
          </cell>
        </row>
        <row r="1550">
          <cell r="D1550" t="str">
            <v>8월</v>
          </cell>
        </row>
        <row r="1551">
          <cell r="D1551" t="str">
            <v>8월</v>
          </cell>
        </row>
        <row r="1552">
          <cell r="D1552" t="str">
            <v>8월</v>
          </cell>
        </row>
        <row r="1553">
          <cell r="D1553" t="str">
            <v>8월</v>
          </cell>
        </row>
        <row r="1554">
          <cell r="D1554" t="str">
            <v>8월</v>
          </cell>
        </row>
        <row r="1555">
          <cell r="D1555" t="str">
            <v>8월</v>
          </cell>
        </row>
        <row r="1556">
          <cell r="D1556" t="str">
            <v>8월</v>
          </cell>
        </row>
        <row r="1557">
          <cell r="D1557" t="str">
            <v>8월</v>
          </cell>
        </row>
        <row r="1558">
          <cell r="D1558" t="str">
            <v>8월</v>
          </cell>
        </row>
        <row r="1559">
          <cell r="D1559" t="str">
            <v>8월</v>
          </cell>
        </row>
        <row r="1560">
          <cell r="D1560" t="str">
            <v>8월</v>
          </cell>
        </row>
        <row r="1561">
          <cell r="D1561" t="str">
            <v>8월</v>
          </cell>
        </row>
        <row r="1562">
          <cell r="D1562" t="str">
            <v>8월</v>
          </cell>
        </row>
        <row r="1563">
          <cell r="D1563" t="str">
            <v>8월</v>
          </cell>
        </row>
        <row r="1564">
          <cell r="D1564" t="str">
            <v>8월</v>
          </cell>
        </row>
        <row r="1565">
          <cell r="D1565" t="str">
            <v>8월</v>
          </cell>
        </row>
        <row r="1566">
          <cell r="D1566" t="str">
            <v>8월</v>
          </cell>
        </row>
        <row r="1567">
          <cell r="D1567" t="str">
            <v>8월</v>
          </cell>
        </row>
        <row r="1568">
          <cell r="D1568" t="str">
            <v>8월</v>
          </cell>
        </row>
        <row r="1569">
          <cell r="D1569" t="str">
            <v>8월</v>
          </cell>
        </row>
        <row r="1570">
          <cell r="D1570" t="str">
            <v>8월</v>
          </cell>
        </row>
        <row r="1571">
          <cell r="D1571" t="str">
            <v>8월</v>
          </cell>
        </row>
        <row r="1572">
          <cell r="D1572" t="str">
            <v>8월</v>
          </cell>
        </row>
        <row r="1573">
          <cell r="D1573" t="str">
            <v>8월</v>
          </cell>
        </row>
        <row r="1574">
          <cell r="D1574" t="str">
            <v>8월</v>
          </cell>
        </row>
        <row r="1575">
          <cell r="D1575" t="str">
            <v>8월</v>
          </cell>
        </row>
        <row r="1576">
          <cell r="D1576" t="str">
            <v>8월</v>
          </cell>
        </row>
        <row r="1577">
          <cell r="D1577" t="str">
            <v>8월</v>
          </cell>
        </row>
        <row r="1578">
          <cell r="D1578" t="str">
            <v>8월</v>
          </cell>
        </row>
        <row r="1579">
          <cell r="D1579" t="str">
            <v>8월</v>
          </cell>
        </row>
        <row r="1580">
          <cell r="D1580" t="str">
            <v>8월</v>
          </cell>
        </row>
        <row r="1581">
          <cell r="D1581" t="str">
            <v>8월</v>
          </cell>
        </row>
        <row r="1582">
          <cell r="D1582" t="str">
            <v>8월</v>
          </cell>
        </row>
        <row r="1583">
          <cell r="D1583" t="str">
            <v>8월</v>
          </cell>
        </row>
        <row r="1584">
          <cell r="D1584" t="str">
            <v>8월</v>
          </cell>
        </row>
        <row r="1585">
          <cell r="D1585" t="str">
            <v>8월</v>
          </cell>
        </row>
        <row r="1586">
          <cell r="D1586" t="str">
            <v>8월</v>
          </cell>
        </row>
        <row r="1587">
          <cell r="D1587" t="str">
            <v>8월</v>
          </cell>
        </row>
        <row r="1588">
          <cell r="D1588" t="str">
            <v>8월</v>
          </cell>
        </row>
        <row r="1589">
          <cell r="D1589" t="str">
            <v>8월</v>
          </cell>
        </row>
        <row r="1590">
          <cell r="D1590" t="str">
            <v>8월</v>
          </cell>
        </row>
        <row r="1591">
          <cell r="D1591" t="str">
            <v>8월</v>
          </cell>
        </row>
        <row r="1592">
          <cell r="D1592" t="str">
            <v>8월</v>
          </cell>
        </row>
        <row r="1593">
          <cell r="D1593" t="str">
            <v>8월</v>
          </cell>
        </row>
        <row r="1594">
          <cell r="D1594" t="str">
            <v>8월</v>
          </cell>
        </row>
        <row r="1595">
          <cell r="D1595" t="str">
            <v>8월</v>
          </cell>
        </row>
        <row r="1596">
          <cell r="D1596" t="str">
            <v>8월</v>
          </cell>
        </row>
        <row r="1597">
          <cell r="D1597" t="str">
            <v>8월</v>
          </cell>
        </row>
        <row r="1598">
          <cell r="D1598" t="str">
            <v>8월</v>
          </cell>
        </row>
        <row r="1599">
          <cell r="D1599" t="str">
            <v>8월</v>
          </cell>
        </row>
        <row r="1600">
          <cell r="D1600" t="str">
            <v>8월</v>
          </cell>
        </row>
        <row r="1601">
          <cell r="D1601" t="str">
            <v>8월</v>
          </cell>
        </row>
        <row r="1602">
          <cell r="D1602" t="str">
            <v>8월</v>
          </cell>
        </row>
        <row r="1603">
          <cell r="D1603" t="str">
            <v>8월</v>
          </cell>
        </row>
        <row r="1604">
          <cell r="D1604" t="str">
            <v>8월</v>
          </cell>
        </row>
        <row r="1605">
          <cell r="D1605" t="str">
            <v>8월</v>
          </cell>
        </row>
        <row r="1606">
          <cell r="D1606" t="str">
            <v>8월</v>
          </cell>
        </row>
        <row r="1607">
          <cell r="D1607" t="str">
            <v>8월</v>
          </cell>
        </row>
        <row r="1608">
          <cell r="D1608" t="str">
            <v>8월</v>
          </cell>
        </row>
        <row r="1609">
          <cell r="D1609" t="str">
            <v>8월</v>
          </cell>
        </row>
        <row r="1610">
          <cell r="D1610" t="str">
            <v>8월</v>
          </cell>
        </row>
        <row r="1611">
          <cell r="D1611" t="str">
            <v>8월</v>
          </cell>
        </row>
        <row r="1612">
          <cell r="D1612" t="str">
            <v>8월</v>
          </cell>
        </row>
        <row r="1613">
          <cell r="D1613" t="str">
            <v>8월</v>
          </cell>
        </row>
        <row r="1614">
          <cell r="D1614" t="str">
            <v>8월</v>
          </cell>
        </row>
        <row r="1615">
          <cell r="D1615" t="str">
            <v>8월</v>
          </cell>
        </row>
        <row r="1616">
          <cell r="D1616" t="str">
            <v>8월</v>
          </cell>
        </row>
        <row r="1617">
          <cell r="D1617" t="str">
            <v>8월</v>
          </cell>
        </row>
        <row r="1618">
          <cell r="D1618" t="str">
            <v>8월</v>
          </cell>
        </row>
        <row r="1619">
          <cell r="D1619" t="str">
            <v>8월</v>
          </cell>
        </row>
        <row r="1620">
          <cell r="D1620" t="str">
            <v>8월</v>
          </cell>
        </row>
        <row r="1621">
          <cell r="D1621" t="str">
            <v>8월</v>
          </cell>
        </row>
        <row r="1622">
          <cell r="D1622" t="str">
            <v>8월</v>
          </cell>
        </row>
        <row r="1623">
          <cell r="D1623" t="str">
            <v>8월</v>
          </cell>
        </row>
        <row r="1624">
          <cell r="D1624" t="str">
            <v>8월</v>
          </cell>
        </row>
        <row r="1625">
          <cell r="D1625" t="str">
            <v>8월</v>
          </cell>
        </row>
        <row r="1626">
          <cell r="D1626" t="str">
            <v>8월</v>
          </cell>
        </row>
        <row r="1627">
          <cell r="D1627" t="str">
            <v>8월</v>
          </cell>
        </row>
        <row r="1628">
          <cell r="D1628" t="str">
            <v>8월</v>
          </cell>
        </row>
        <row r="1629">
          <cell r="D1629" t="str">
            <v>8월</v>
          </cell>
        </row>
        <row r="1630">
          <cell r="D1630" t="str">
            <v>8월</v>
          </cell>
        </row>
        <row r="1631">
          <cell r="D1631" t="str">
            <v>8월</v>
          </cell>
        </row>
        <row r="1632">
          <cell r="D1632" t="str">
            <v>8월</v>
          </cell>
        </row>
        <row r="1633">
          <cell r="D1633" t="str">
            <v>8월</v>
          </cell>
        </row>
        <row r="1634">
          <cell r="D1634" t="str">
            <v>8월</v>
          </cell>
        </row>
        <row r="1635">
          <cell r="D1635" t="str">
            <v>8월</v>
          </cell>
        </row>
        <row r="1636">
          <cell r="D1636" t="str">
            <v>8월</v>
          </cell>
        </row>
        <row r="1637">
          <cell r="D1637" t="str">
            <v>8월</v>
          </cell>
        </row>
        <row r="1638">
          <cell r="D1638" t="str">
            <v>8월</v>
          </cell>
        </row>
        <row r="1639">
          <cell r="D1639" t="str">
            <v>8월</v>
          </cell>
        </row>
        <row r="1640">
          <cell r="D1640" t="str">
            <v>8월</v>
          </cell>
        </row>
        <row r="1641">
          <cell r="D1641" t="str">
            <v>8월</v>
          </cell>
        </row>
        <row r="1642">
          <cell r="D1642" t="str">
            <v>8월</v>
          </cell>
        </row>
        <row r="1643">
          <cell r="D1643" t="str">
            <v>8월</v>
          </cell>
        </row>
        <row r="1644">
          <cell r="D1644" t="str">
            <v>8월</v>
          </cell>
        </row>
        <row r="1645">
          <cell r="D1645" t="str">
            <v>8월</v>
          </cell>
        </row>
        <row r="1646">
          <cell r="D1646" t="str">
            <v>8월</v>
          </cell>
        </row>
        <row r="1647">
          <cell r="D1647" t="str">
            <v>8월</v>
          </cell>
        </row>
        <row r="1648">
          <cell r="D1648" t="str">
            <v>8월</v>
          </cell>
        </row>
        <row r="1649">
          <cell r="D1649" t="str">
            <v>8월</v>
          </cell>
        </row>
        <row r="1650">
          <cell r="D1650" t="str">
            <v>8월</v>
          </cell>
        </row>
        <row r="1651">
          <cell r="D1651" t="str">
            <v>8월</v>
          </cell>
        </row>
        <row r="1652">
          <cell r="D1652" t="str">
            <v>8월</v>
          </cell>
        </row>
        <row r="1653">
          <cell r="D1653" t="str">
            <v>8월</v>
          </cell>
        </row>
        <row r="1654">
          <cell r="D1654" t="str">
            <v>8월</v>
          </cell>
        </row>
        <row r="1655">
          <cell r="D1655" t="str">
            <v>8월</v>
          </cell>
        </row>
        <row r="1656">
          <cell r="D1656" t="str">
            <v>8월</v>
          </cell>
        </row>
        <row r="1657">
          <cell r="D1657" t="str">
            <v>8월</v>
          </cell>
        </row>
        <row r="1658">
          <cell r="D1658" t="str">
            <v>8월</v>
          </cell>
        </row>
        <row r="1659">
          <cell r="D1659" t="str">
            <v>8월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XXXX"/>
      <sheetName val="계정code"/>
      <sheetName val="대차표"/>
      <sheetName val="손익표"/>
      <sheetName val="광명대차"/>
      <sheetName val="광명손익"/>
      <sheetName val="안산대차"/>
      <sheetName val="안산손익"/>
      <sheetName val="대차(광+안)"/>
      <sheetName val="손익(광+안)"/>
      <sheetName val="Sheet1"/>
    </sheetNames>
    <sheetDataSet>
      <sheetData sheetId="0" refreshError="1"/>
      <sheetData sheetId="1"/>
      <sheetData sheetId="2" refreshError="1">
        <row r="2">
          <cell r="A2">
            <v>10</v>
          </cell>
          <cell r="C2" t="str">
            <v xml:space="preserve"> 자           산</v>
          </cell>
        </row>
        <row r="3">
          <cell r="A3">
            <v>11</v>
          </cell>
          <cell r="C3" t="str">
            <v>Ⅰ. 유   동    자   산</v>
          </cell>
        </row>
        <row r="4">
          <cell r="A4">
            <v>12</v>
          </cell>
          <cell r="C4" t="str">
            <v>(1) 당   좌    자   산</v>
          </cell>
        </row>
        <row r="5">
          <cell r="A5">
            <v>13</v>
          </cell>
          <cell r="C5" t="str">
            <v>(2) 재   고    자   산</v>
          </cell>
        </row>
        <row r="6">
          <cell r="A6">
            <v>21</v>
          </cell>
          <cell r="C6" t="str">
            <v>Ⅱ. 고   정    자   산</v>
          </cell>
        </row>
        <row r="7">
          <cell r="A7">
            <v>22</v>
          </cell>
          <cell r="C7" t="str">
            <v>(1) 투   자    자   산</v>
          </cell>
        </row>
        <row r="8">
          <cell r="A8">
            <v>23</v>
          </cell>
          <cell r="C8" t="str">
            <v>(2) 유   형    자   산</v>
          </cell>
        </row>
        <row r="9">
          <cell r="A9">
            <v>24</v>
          </cell>
          <cell r="C9" t="str">
            <v>(3) 무   형    자   산</v>
          </cell>
        </row>
        <row r="10">
          <cell r="A10">
            <v>25</v>
          </cell>
          <cell r="C10" t="str">
            <v>(4) 이   연    자   산</v>
          </cell>
        </row>
        <row r="11">
          <cell r="A11">
            <v>29</v>
          </cell>
          <cell r="C11" t="str">
            <v xml:space="preserve">  자   산   총   계</v>
          </cell>
        </row>
        <row r="12">
          <cell r="A12">
            <v>30</v>
          </cell>
          <cell r="C12" t="str">
            <v xml:space="preserve"> 부           채</v>
          </cell>
        </row>
        <row r="13">
          <cell r="A13">
            <v>31</v>
          </cell>
          <cell r="C13" t="str">
            <v>Ⅰ. 유   동    부   채</v>
          </cell>
        </row>
        <row r="14">
          <cell r="A14">
            <v>32</v>
          </cell>
          <cell r="C14" t="str">
            <v>Ⅱ. 고   정    부   채</v>
          </cell>
        </row>
        <row r="15">
          <cell r="A15">
            <v>39</v>
          </cell>
          <cell r="C15" t="str">
            <v xml:space="preserve">  부   채   총   계</v>
          </cell>
        </row>
        <row r="16">
          <cell r="A16">
            <v>40</v>
          </cell>
          <cell r="C16" t="str">
            <v xml:space="preserve"> 자           본</v>
          </cell>
        </row>
        <row r="17">
          <cell r="A17">
            <v>41</v>
          </cell>
          <cell r="C17" t="str">
            <v>Ⅰ. 자      본      금</v>
          </cell>
        </row>
        <row r="18">
          <cell r="A18">
            <v>42</v>
          </cell>
          <cell r="C18" t="str">
            <v>Ⅱ. 자  본  잉  여  금</v>
          </cell>
        </row>
        <row r="19">
          <cell r="C19" t="str">
            <v>(1) 자  본  준  비  금</v>
          </cell>
        </row>
        <row r="20">
          <cell r="C20" t="str">
            <v>(2) 재 평 가  적 립 금</v>
          </cell>
        </row>
        <row r="21">
          <cell r="A21">
            <v>43</v>
          </cell>
          <cell r="C21" t="str">
            <v>Ⅱ. 이  익  잉  여  금</v>
          </cell>
        </row>
        <row r="22">
          <cell r="A22">
            <v>48</v>
          </cell>
          <cell r="C22" t="str">
            <v xml:space="preserve">  자   본   총   계</v>
          </cell>
        </row>
        <row r="23">
          <cell r="A23">
            <v>49</v>
          </cell>
          <cell r="C23" t="str">
            <v xml:space="preserve">  부채 와 자본 총계</v>
          </cell>
        </row>
        <row r="26">
          <cell r="A26">
            <v>50</v>
          </cell>
          <cell r="C26" t="str">
            <v>Ⅰ. 매      출      액</v>
          </cell>
        </row>
        <row r="27">
          <cell r="A27">
            <v>51</v>
          </cell>
          <cell r="C27" t="str">
            <v>Ⅱ. 매   출    원   가</v>
          </cell>
        </row>
        <row r="28">
          <cell r="A28">
            <v>52</v>
          </cell>
          <cell r="C28" t="str">
            <v>Ⅲ. 매  출  총  이  익</v>
          </cell>
        </row>
        <row r="29">
          <cell r="A29">
            <v>53</v>
          </cell>
          <cell r="C29" t="str">
            <v>Ⅳ. 판매비 와 관 리 비</v>
          </cell>
        </row>
        <row r="30">
          <cell r="A30">
            <v>54</v>
          </cell>
          <cell r="C30" t="str">
            <v>Ⅴ. 영   업    이   익</v>
          </cell>
        </row>
        <row r="31">
          <cell r="A31">
            <v>55</v>
          </cell>
          <cell r="C31" t="str">
            <v>Ⅵ. 영  업  외  수  익</v>
          </cell>
        </row>
        <row r="32">
          <cell r="A32">
            <v>56</v>
          </cell>
          <cell r="C32" t="str">
            <v>Ⅶ. 영  업  외  비  용</v>
          </cell>
        </row>
        <row r="33">
          <cell r="A33">
            <v>57</v>
          </cell>
          <cell r="C33" t="str">
            <v>Ⅷ. 경   상    이   익</v>
          </cell>
        </row>
        <row r="34">
          <cell r="A34">
            <v>58</v>
          </cell>
          <cell r="C34" t="str">
            <v>Ⅸ. 특   별    이   익</v>
          </cell>
        </row>
        <row r="35">
          <cell r="A35">
            <v>59</v>
          </cell>
          <cell r="C35" t="str">
            <v>Ⅹ. 특   별    손   실</v>
          </cell>
        </row>
        <row r="36">
          <cell r="A36">
            <v>60</v>
          </cell>
          <cell r="C36" t="str">
            <v>ⅩⅠ.법인세비용차감전순이익</v>
          </cell>
        </row>
        <row r="37">
          <cell r="A37">
            <v>61</v>
          </cell>
          <cell r="C37" t="str">
            <v>ⅩⅡ.법  인  세  비 용</v>
          </cell>
        </row>
        <row r="38">
          <cell r="A38">
            <v>62</v>
          </cell>
          <cell r="C38" t="str">
            <v>ⅩⅢ.당  기  순  이 익</v>
          </cell>
        </row>
        <row r="40">
          <cell r="A40">
            <v>71</v>
          </cell>
          <cell r="C40" t="str">
            <v>Ⅰ. 재      료      비</v>
          </cell>
        </row>
        <row r="41">
          <cell r="A41">
            <v>72</v>
          </cell>
          <cell r="C41" t="str">
            <v>Ⅱ. 노      무      비</v>
          </cell>
        </row>
        <row r="42">
          <cell r="A42">
            <v>73</v>
          </cell>
          <cell r="C42" t="str">
            <v>Ⅲ. 경              비</v>
          </cell>
        </row>
        <row r="43">
          <cell r="A43">
            <v>74</v>
          </cell>
          <cell r="C43" t="str">
            <v>Ⅳ. 당기 총 제 조 비용</v>
          </cell>
        </row>
        <row r="44">
          <cell r="A44">
            <v>75</v>
          </cell>
          <cell r="C44" t="str">
            <v>Ⅴ. 기초 재 공 품 재고</v>
          </cell>
        </row>
        <row r="45">
          <cell r="A45">
            <v>76</v>
          </cell>
          <cell r="C45" t="str">
            <v>Ⅵ. 합              계</v>
          </cell>
        </row>
        <row r="46">
          <cell r="A46">
            <v>77</v>
          </cell>
          <cell r="C46" t="str">
            <v>Ⅶ. 기말 재 공 품 재고</v>
          </cell>
        </row>
        <row r="47">
          <cell r="A47">
            <v>78</v>
          </cell>
          <cell r="C47" t="str">
            <v>Ⅷ. 타  계  정  대  체</v>
          </cell>
        </row>
        <row r="48">
          <cell r="A48">
            <v>79</v>
          </cell>
          <cell r="C48" t="str">
            <v>Ⅸ. 당기 제품 제조원가</v>
          </cell>
        </row>
        <row r="49">
          <cell r="A49">
            <v>80</v>
          </cell>
          <cell r="C49" t="str">
            <v>Ⅹ. 타 계 정 으로 대체</v>
          </cell>
        </row>
        <row r="51">
          <cell r="A51">
            <v>81</v>
          </cell>
          <cell r="C51" t="str">
            <v>Ⅰ. 용              지</v>
          </cell>
        </row>
        <row r="52">
          <cell r="A52">
            <v>82</v>
          </cell>
          <cell r="C52" t="str">
            <v>Ⅱ. 재      료      비</v>
          </cell>
        </row>
        <row r="53">
          <cell r="A53">
            <v>83</v>
          </cell>
          <cell r="C53" t="str">
            <v>Ⅲ. 노      무      비</v>
          </cell>
        </row>
        <row r="54">
          <cell r="A54">
            <v>84</v>
          </cell>
          <cell r="C54" t="str">
            <v>Ⅳ. 외      주      비</v>
          </cell>
        </row>
        <row r="55">
          <cell r="A55">
            <v>85</v>
          </cell>
          <cell r="C55" t="str">
            <v>Ⅴ. 경              비</v>
          </cell>
        </row>
        <row r="56">
          <cell r="A56">
            <v>86</v>
          </cell>
          <cell r="C56" t="str">
            <v>Ⅵ. 당기 총 공사 원 가</v>
          </cell>
        </row>
        <row r="57">
          <cell r="A57">
            <v>87</v>
          </cell>
          <cell r="C57" t="str">
            <v>Ⅶ. 기초 미 완 성 주택</v>
          </cell>
        </row>
        <row r="58">
          <cell r="A58">
            <v>88</v>
          </cell>
          <cell r="C58" t="str">
            <v>Ⅷ. 타 계 정 에서 대체</v>
          </cell>
        </row>
        <row r="59">
          <cell r="A59">
            <v>89</v>
          </cell>
          <cell r="C59" t="str">
            <v xml:space="preserve">     합          계</v>
          </cell>
        </row>
        <row r="60">
          <cell r="A60">
            <v>90</v>
          </cell>
          <cell r="C60" t="str">
            <v>Ⅸ. 기말 미 완 성 주택</v>
          </cell>
        </row>
        <row r="61">
          <cell r="A61">
            <v>91</v>
          </cell>
          <cell r="C61" t="str">
            <v>Ⅹ. 타 계 정 으로 대체</v>
          </cell>
        </row>
        <row r="62">
          <cell r="A62">
            <v>92</v>
          </cell>
          <cell r="C62" t="str">
            <v>ⅩⅠ. 당기주택공사원가</v>
          </cell>
        </row>
        <row r="67">
          <cell r="C67" t="str">
            <v xml:space="preserve">  &lt;당 좌 자 산&gt;</v>
          </cell>
        </row>
        <row r="68">
          <cell r="A68">
            <v>100</v>
          </cell>
          <cell r="B68" t="str">
            <v xml:space="preserve"> </v>
          </cell>
          <cell r="C68" t="str">
            <v>지              점</v>
          </cell>
        </row>
        <row r="69">
          <cell r="A69">
            <v>101</v>
          </cell>
          <cell r="C69" t="str">
            <v>현              금</v>
          </cell>
        </row>
        <row r="70">
          <cell r="A70">
            <v>102</v>
          </cell>
          <cell r="C70" t="str">
            <v>당   좌    예   금</v>
          </cell>
        </row>
        <row r="71">
          <cell r="A71">
            <v>103</v>
          </cell>
          <cell r="C71" t="str">
            <v>보   통    예   금</v>
          </cell>
        </row>
        <row r="72">
          <cell r="A72">
            <v>104</v>
          </cell>
          <cell r="C72" t="str">
            <v>제      예      금</v>
          </cell>
        </row>
        <row r="73">
          <cell r="A73">
            <v>105</v>
          </cell>
          <cell r="C73" t="str">
            <v>정   기    적   금</v>
          </cell>
        </row>
        <row r="74">
          <cell r="A74">
            <v>106</v>
          </cell>
          <cell r="C74" t="str">
            <v>별   단    예   금</v>
          </cell>
        </row>
        <row r="75">
          <cell r="A75">
            <v>107</v>
          </cell>
          <cell r="C75" t="str">
            <v>유   가    증   권</v>
          </cell>
        </row>
        <row r="76">
          <cell r="A76">
            <v>108</v>
          </cell>
          <cell r="C76" t="str">
            <v>선  급  법  인  세</v>
          </cell>
        </row>
        <row r="77">
          <cell r="A77">
            <v>109</v>
          </cell>
          <cell r="C77" t="str">
            <v>대  손  충  당  금</v>
          </cell>
        </row>
        <row r="78">
          <cell r="A78">
            <v>110</v>
          </cell>
          <cell r="C78" t="str">
            <v>받   을   어    음</v>
          </cell>
        </row>
        <row r="79">
          <cell r="A79">
            <v>111</v>
          </cell>
          <cell r="C79" t="str">
            <v>대  손  충  당  금</v>
          </cell>
        </row>
        <row r="80">
          <cell r="A80">
            <v>112</v>
          </cell>
          <cell r="C80" t="str">
            <v>미      수      금</v>
          </cell>
        </row>
        <row r="81">
          <cell r="A81">
            <v>113</v>
          </cell>
          <cell r="C81" t="str">
            <v>단  기  대  여  금</v>
          </cell>
        </row>
        <row r="82">
          <cell r="A82">
            <v>114</v>
          </cell>
          <cell r="C82" t="str">
            <v>미   수    수   익</v>
          </cell>
        </row>
        <row r="83">
          <cell r="A83">
            <v>115</v>
          </cell>
          <cell r="C83" t="str">
            <v>공  사  미  수  금</v>
          </cell>
        </row>
        <row r="84">
          <cell r="A84">
            <v>116</v>
          </cell>
          <cell r="C84" t="str">
            <v>대  손  충  당  금</v>
          </cell>
        </row>
        <row r="85">
          <cell r="A85">
            <v>117</v>
          </cell>
          <cell r="C85" t="str">
            <v>관계회사단기대여금</v>
          </cell>
        </row>
        <row r="86">
          <cell r="A86">
            <v>118</v>
          </cell>
          <cell r="C86" t="str">
            <v>주임종 단기 대여금</v>
          </cell>
        </row>
        <row r="87">
          <cell r="A87">
            <v>119</v>
          </cell>
          <cell r="C87" t="str">
            <v>선      급      금</v>
          </cell>
        </row>
        <row r="88">
          <cell r="A88">
            <v>120</v>
          </cell>
          <cell r="C88" t="str">
            <v>선   급    비   용</v>
          </cell>
        </row>
        <row r="89">
          <cell r="A89">
            <v>121</v>
          </cell>
          <cell r="C89" t="str">
            <v>가   지    급   금</v>
          </cell>
        </row>
        <row r="90">
          <cell r="A90">
            <v>122</v>
          </cell>
          <cell r="C90" t="str">
            <v>부 가 세  대 급 금</v>
          </cell>
        </row>
        <row r="91">
          <cell r="A91">
            <v>123</v>
          </cell>
          <cell r="C91" t="str">
            <v>선  급  법  인  세</v>
          </cell>
        </row>
        <row r="92">
          <cell r="A92">
            <v>124</v>
          </cell>
          <cell r="C92" t="str">
            <v>임원종업원단기채권</v>
          </cell>
        </row>
        <row r="93">
          <cell r="A93">
            <v>125</v>
          </cell>
          <cell r="C93" t="str">
            <v>전      도      금</v>
          </cell>
        </row>
        <row r="94">
          <cell r="A94">
            <v>126</v>
          </cell>
          <cell r="C94" t="str">
            <v>분  양  미  수  금</v>
          </cell>
        </row>
        <row r="95">
          <cell r="A95">
            <v>127</v>
          </cell>
          <cell r="C95" t="str">
            <v>어  음  대  여  금</v>
          </cell>
        </row>
        <row r="96">
          <cell r="A96">
            <v>128</v>
          </cell>
          <cell r="C96" t="str">
            <v>고용 보험 대 급 금</v>
          </cell>
        </row>
        <row r="97">
          <cell r="A97">
            <v>129</v>
          </cell>
          <cell r="C97" t="str">
            <v>현  금  과  예  금</v>
          </cell>
        </row>
        <row r="98">
          <cell r="A98">
            <v>130</v>
          </cell>
          <cell r="C98" t="str">
            <v>매   출    채   권</v>
          </cell>
        </row>
        <row r="100">
          <cell r="A100">
            <v>131</v>
          </cell>
          <cell r="C100" t="str">
            <v>완   성    주   택</v>
          </cell>
        </row>
        <row r="101">
          <cell r="A101">
            <v>132</v>
          </cell>
          <cell r="C101" t="str">
            <v>미  완  성  주  택</v>
          </cell>
        </row>
        <row r="102">
          <cell r="A102">
            <v>133</v>
          </cell>
          <cell r="C102" t="str">
            <v>용              지</v>
          </cell>
        </row>
        <row r="103">
          <cell r="A103">
            <v>134</v>
          </cell>
          <cell r="C103" t="str">
            <v>제              품</v>
          </cell>
        </row>
        <row r="104">
          <cell r="A104">
            <v>135</v>
          </cell>
          <cell r="C104" t="str">
            <v>재      공      품</v>
          </cell>
        </row>
        <row r="105">
          <cell r="A105">
            <v>136</v>
          </cell>
          <cell r="C105" t="str">
            <v>원      재      료</v>
          </cell>
        </row>
        <row r="106">
          <cell r="A106">
            <v>137</v>
          </cell>
          <cell r="C106" t="str">
            <v>부      재      료</v>
          </cell>
        </row>
        <row r="107">
          <cell r="A107">
            <v>138</v>
          </cell>
          <cell r="C107" t="str">
            <v>미      착      품</v>
          </cell>
        </row>
        <row r="108">
          <cell r="A108">
            <v>139</v>
          </cell>
          <cell r="C108" t="str">
            <v>가      설      재</v>
          </cell>
        </row>
        <row r="110">
          <cell r="A110">
            <v>141</v>
          </cell>
          <cell r="C110" t="str">
            <v>장  기  성  예  금</v>
          </cell>
        </row>
        <row r="111">
          <cell r="A111">
            <v>142</v>
          </cell>
          <cell r="C111" t="str">
            <v>특정 현금 과 예 금</v>
          </cell>
        </row>
        <row r="112">
          <cell r="A112">
            <v>143</v>
          </cell>
          <cell r="C112" t="str">
            <v>투 자  유 가 증 권</v>
          </cell>
        </row>
        <row r="113">
          <cell r="A113">
            <v>144</v>
          </cell>
          <cell r="C113" t="str">
            <v>장  기  대  여  금</v>
          </cell>
        </row>
        <row r="114">
          <cell r="A114">
            <v>145</v>
          </cell>
          <cell r="C114" t="str">
            <v>대  손  충  당  금</v>
          </cell>
        </row>
        <row r="115">
          <cell r="A115">
            <v>146</v>
          </cell>
          <cell r="C115" t="str">
            <v>출      자      금</v>
          </cell>
        </row>
        <row r="116">
          <cell r="A116">
            <v>147</v>
          </cell>
          <cell r="C116" t="str">
            <v>관계회사  출 자 금</v>
          </cell>
        </row>
        <row r="117">
          <cell r="A117">
            <v>148</v>
          </cell>
          <cell r="C117" t="str">
            <v>전신 전화 가 입 권</v>
          </cell>
        </row>
        <row r="118">
          <cell r="A118">
            <v>149</v>
          </cell>
          <cell r="C118" t="str">
            <v>임  차  보  증  금</v>
          </cell>
        </row>
        <row r="119">
          <cell r="A119">
            <v>150</v>
          </cell>
          <cell r="C119" t="str">
            <v>전      세      권</v>
          </cell>
        </row>
        <row r="120">
          <cell r="A120">
            <v>151</v>
          </cell>
          <cell r="C120" t="str">
            <v>단 퇴 보 험 예치금</v>
          </cell>
        </row>
        <row r="121">
          <cell r="A121">
            <v>152</v>
          </cell>
          <cell r="C121" t="str">
            <v>부   도    어   음</v>
          </cell>
        </row>
        <row r="122">
          <cell r="A122">
            <v>153</v>
          </cell>
          <cell r="C122" t="str">
            <v>회      원      권</v>
          </cell>
        </row>
        <row r="123">
          <cell r="A123">
            <v>154</v>
          </cell>
          <cell r="C123" t="str">
            <v>국 민 연 금 전환금</v>
          </cell>
        </row>
        <row r="124">
          <cell r="A124">
            <v>155</v>
          </cell>
          <cell r="C124" t="str">
            <v>예  치  보  증  금</v>
          </cell>
        </row>
        <row r="125">
          <cell r="A125">
            <v>156</v>
          </cell>
          <cell r="C125" t="str">
            <v>선급 기술 도 입 비</v>
          </cell>
        </row>
        <row r="126">
          <cell r="A126">
            <v>157</v>
          </cell>
          <cell r="C126" t="str">
            <v>선급 리스 부 대 비</v>
          </cell>
        </row>
        <row r="127">
          <cell r="A127">
            <v>158</v>
          </cell>
          <cell r="C127" t="str">
            <v>영  업  보  증  금</v>
          </cell>
        </row>
        <row r="128">
          <cell r="C128" t="str">
            <v>장기성 매 출 채 권</v>
          </cell>
        </row>
        <row r="129">
          <cell r="C129" t="str">
            <v>현재가치 할인 차금</v>
          </cell>
        </row>
        <row r="130">
          <cell r="C130" t="str">
            <v>대  손  충  당  금</v>
          </cell>
        </row>
        <row r="131">
          <cell r="C131" t="str">
            <v>투  자  부  동  산</v>
          </cell>
        </row>
        <row r="132">
          <cell r="C132" t="str">
            <v>보      증      금</v>
          </cell>
        </row>
        <row r="133">
          <cell r="A133">
            <v>159</v>
          </cell>
          <cell r="C133" t="str">
            <v>임      차      권</v>
          </cell>
        </row>
        <row r="135">
          <cell r="A135">
            <v>161</v>
          </cell>
          <cell r="C135" t="str">
            <v>토              지</v>
          </cell>
        </row>
        <row r="136">
          <cell r="A136">
            <v>162</v>
          </cell>
          <cell r="C136" t="str">
            <v>건              물</v>
          </cell>
        </row>
        <row r="137">
          <cell r="A137">
            <v>163</v>
          </cell>
          <cell r="C137" t="str">
            <v>감가 상각 누 계 액</v>
          </cell>
        </row>
        <row r="138">
          <cell r="A138">
            <v>164</v>
          </cell>
          <cell r="C138" t="str">
            <v>구      축      물</v>
          </cell>
        </row>
        <row r="139">
          <cell r="A139">
            <v>165</v>
          </cell>
          <cell r="C139" t="str">
            <v>감가 상각 누 계 액</v>
          </cell>
        </row>
        <row r="140">
          <cell r="A140">
            <v>166</v>
          </cell>
          <cell r="C140" t="str">
            <v>기   계    장   치</v>
          </cell>
        </row>
        <row r="141">
          <cell r="A141">
            <v>167</v>
          </cell>
          <cell r="C141" t="str">
            <v>감가 상각 누 계 액</v>
          </cell>
        </row>
        <row r="142">
          <cell r="A142">
            <v>168</v>
          </cell>
          <cell r="C142" t="str">
            <v>차  량  운  반  구</v>
          </cell>
        </row>
        <row r="143">
          <cell r="A143">
            <v>169</v>
          </cell>
          <cell r="C143" t="str">
            <v>감가 상각 누 계 액</v>
          </cell>
        </row>
        <row r="144">
          <cell r="A144">
            <v>170</v>
          </cell>
          <cell r="C144" t="str">
            <v>공  구  와  기  구</v>
          </cell>
        </row>
        <row r="145">
          <cell r="A145">
            <v>171</v>
          </cell>
          <cell r="C145" t="str">
            <v>감가 상각 누 계 액</v>
          </cell>
        </row>
        <row r="146">
          <cell r="A146">
            <v>172</v>
          </cell>
          <cell r="C146" t="str">
            <v>집   기    비   품</v>
          </cell>
        </row>
        <row r="147">
          <cell r="A147">
            <v>173</v>
          </cell>
          <cell r="C147" t="str">
            <v>감가 상각 누 계 액</v>
          </cell>
        </row>
        <row r="148">
          <cell r="A148">
            <v>174</v>
          </cell>
          <cell r="C148" t="str">
            <v>시   설    장   치</v>
          </cell>
        </row>
        <row r="149">
          <cell r="A149">
            <v>175</v>
          </cell>
          <cell r="C149" t="str">
            <v>감가 상각 누 계 액</v>
          </cell>
        </row>
        <row r="150">
          <cell r="A150">
            <v>178</v>
          </cell>
          <cell r="C150" t="str">
            <v>건   설    장   비</v>
          </cell>
        </row>
        <row r="151">
          <cell r="A151">
            <v>179</v>
          </cell>
          <cell r="C151" t="str">
            <v>감가 상각 누 계 액</v>
          </cell>
        </row>
        <row r="152">
          <cell r="C152" t="str">
            <v>건 물  부 속 설 비</v>
          </cell>
        </row>
        <row r="153">
          <cell r="C153" t="str">
            <v>건 설 중 인  자 산</v>
          </cell>
        </row>
        <row r="154">
          <cell r="A154">
            <v>176</v>
          </cell>
          <cell r="C154" t="str">
            <v>임대용 주 택 용 지</v>
          </cell>
        </row>
        <row r="155">
          <cell r="C155" t="str">
            <v>임대용 완 성 주 택</v>
          </cell>
        </row>
        <row r="156">
          <cell r="C156" t="str">
            <v>감가 상각 누 계 액</v>
          </cell>
        </row>
        <row r="157">
          <cell r="A157">
            <v>177</v>
          </cell>
          <cell r="C157" t="str">
            <v>임대용 미완성 주택</v>
          </cell>
        </row>
        <row r="158">
          <cell r="C158" t="str">
            <v>감가 상각 누 계 액</v>
          </cell>
        </row>
        <row r="161">
          <cell r="A161">
            <v>181</v>
          </cell>
          <cell r="C161" t="str">
            <v>영      업      권</v>
          </cell>
        </row>
        <row r="162">
          <cell r="A162">
            <v>182</v>
          </cell>
          <cell r="C162" t="str">
            <v>특      허      권</v>
          </cell>
        </row>
        <row r="163">
          <cell r="A163">
            <v>183</v>
          </cell>
          <cell r="C163" t="str">
            <v>상      표      권</v>
          </cell>
        </row>
        <row r="164">
          <cell r="A164">
            <v>184</v>
          </cell>
          <cell r="C164" t="str">
            <v>실  용  신  안  권</v>
          </cell>
        </row>
        <row r="165">
          <cell r="A165">
            <v>185</v>
          </cell>
          <cell r="C165" t="str">
            <v>의      장      권</v>
          </cell>
        </row>
        <row r="166">
          <cell r="A166">
            <v>186</v>
          </cell>
          <cell r="C166" t="str">
            <v>면      허      권</v>
          </cell>
        </row>
        <row r="167">
          <cell r="A167">
            <v>187</v>
          </cell>
          <cell r="C167" t="str">
            <v>광      업      권</v>
          </cell>
        </row>
        <row r="169">
          <cell r="A169">
            <v>191</v>
          </cell>
          <cell r="C169" t="str">
            <v>창      업      비</v>
          </cell>
        </row>
        <row r="170">
          <cell r="A170">
            <v>192</v>
          </cell>
          <cell r="C170" t="str">
            <v>개      업      비</v>
          </cell>
        </row>
        <row r="171">
          <cell r="A171">
            <v>193</v>
          </cell>
          <cell r="C171" t="str">
            <v>신  주  발  행  비</v>
          </cell>
        </row>
        <row r="172">
          <cell r="A172">
            <v>194</v>
          </cell>
          <cell r="C172" t="str">
            <v>사  채  발  행  비</v>
          </cell>
        </row>
        <row r="173">
          <cell r="A173">
            <v>195</v>
          </cell>
          <cell r="C173" t="str">
            <v>연  구  개  발  비</v>
          </cell>
        </row>
        <row r="174">
          <cell r="A174">
            <v>196</v>
          </cell>
          <cell r="C174" t="str">
            <v>환  율  조  정  차</v>
          </cell>
        </row>
        <row r="176">
          <cell r="A176">
            <v>201</v>
          </cell>
          <cell r="C176" t="str">
            <v>외  상  매  입  금</v>
          </cell>
        </row>
        <row r="177">
          <cell r="A177">
            <v>202</v>
          </cell>
          <cell r="C177" t="str">
            <v>지   급    어   음</v>
          </cell>
        </row>
        <row r="178">
          <cell r="A178">
            <v>203</v>
          </cell>
          <cell r="C178" t="str">
            <v>당   좌    차   월</v>
          </cell>
        </row>
        <row r="179">
          <cell r="A179">
            <v>204</v>
          </cell>
          <cell r="C179" t="str">
            <v>단  기  차  입  금</v>
          </cell>
        </row>
        <row r="180">
          <cell r="A180">
            <v>205</v>
          </cell>
          <cell r="C180" t="str">
            <v>미   지    급   금</v>
          </cell>
        </row>
        <row r="181">
          <cell r="A181">
            <v>206</v>
          </cell>
          <cell r="C181" t="str">
            <v>미  지  급  비  용</v>
          </cell>
        </row>
        <row r="182">
          <cell r="A182">
            <v>207</v>
          </cell>
          <cell r="C182" t="str">
            <v>예      수      금</v>
          </cell>
        </row>
        <row r="183">
          <cell r="A183">
            <v>208</v>
          </cell>
          <cell r="C183" t="str">
            <v>부 가 세  예 수 금</v>
          </cell>
        </row>
        <row r="184">
          <cell r="A184">
            <v>209</v>
          </cell>
          <cell r="C184" t="str">
            <v>가      수      금</v>
          </cell>
        </row>
        <row r="185">
          <cell r="A185">
            <v>210</v>
          </cell>
          <cell r="C185" t="str">
            <v>예  수  보  증  금</v>
          </cell>
        </row>
        <row r="186">
          <cell r="A186">
            <v>211</v>
          </cell>
          <cell r="C186" t="str">
            <v>선      수      금</v>
          </cell>
        </row>
        <row r="187">
          <cell r="A187">
            <v>212</v>
          </cell>
          <cell r="C187" t="str">
            <v>미 지 급  법 인 세</v>
          </cell>
        </row>
        <row r="188">
          <cell r="A188">
            <v>213</v>
          </cell>
          <cell r="C188" t="str">
            <v>선   수    수   익</v>
          </cell>
        </row>
        <row r="189">
          <cell r="A189">
            <v>214</v>
          </cell>
          <cell r="C189" t="str">
            <v>유 동 성 장기 부채</v>
          </cell>
        </row>
        <row r="190">
          <cell r="A190">
            <v>215</v>
          </cell>
          <cell r="C190" t="str">
            <v>미 지 급  배 당 금</v>
          </cell>
        </row>
        <row r="191">
          <cell r="A191">
            <v>216</v>
          </cell>
          <cell r="C191" t="str">
            <v>공  사  선  수  금</v>
          </cell>
        </row>
        <row r="192">
          <cell r="A192">
            <v>217</v>
          </cell>
          <cell r="C192" t="str">
            <v>주 임 종 단기 채무</v>
          </cell>
        </row>
        <row r="193">
          <cell r="A193">
            <v>218</v>
          </cell>
          <cell r="C193" t="str">
            <v xml:space="preserve">  관계회사단기차입금</v>
          </cell>
        </row>
        <row r="194">
          <cell r="A194">
            <v>219</v>
          </cell>
          <cell r="C194" t="str">
            <v>어  음  차  입  금</v>
          </cell>
        </row>
        <row r="195">
          <cell r="A195">
            <v>220</v>
          </cell>
          <cell r="B195" t="str">
            <v xml:space="preserve"> </v>
          </cell>
          <cell r="C195" t="str">
            <v>수  입  보  증  금</v>
          </cell>
        </row>
        <row r="196">
          <cell r="A196">
            <v>221</v>
          </cell>
          <cell r="C196" t="str">
            <v>분  양  선  수  금</v>
          </cell>
        </row>
        <row r="197">
          <cell r="A197">
            <v>222</v>
          </cell>
          <cell r="C197" t="str">
            <v>임대상가 분양선수금</v>
          </cell>
        </row>
        <row r="198">
          <cell r="A198">
            <v>223</v>
          </cell>
          <cell r="C198" t="str">
            <v>사              채</v>
          </cell>
        </row>
        <row r="200">
          <cell r="A200">
            <v>231</v>
          </cell>
          <cell r="C200" t="str">
            <v>사              채</v>
          </cell>
        </row>
        <row r="201">
          <cell r="A201">
            <v>232</v>
          </cell>
          <cell r="C201" t="str">
            <v>사 채  발 행 차 금</v>
          </cell>
        </row>
        <row r="202">
          <cell r="A202">
            <v>233</v>
          </cell>
          <cell r="C202" t="str">
            <v>장  기  차  입  금</v>
          </cell>
        </row>
        <row r="203">
          <cell r="A203">
            <v>234</v>
          </cell>
          <cell r="C203" t="str">
            <v>외화 장기 차 입 금</v>
          </cell>
        </row>
        <row r="204">
          <cell r="A204">
            <v>235</v>
          </cell>
          <cell r="C204" t="str">
            <v>임  대  보  증  금</v>
          </cell>
        </row>
        <row r="205">
          <cell r="A205">
            <v>236</v>
          </cell>
          <cell r="C205" t="str">
            <v>퇴 직 급 여 충당금</v>
          </cell>
        </row>
        <row r="206">
          <cell r="A206">
            <v>237</v>
          </cell>
          <cell r="C206" t="str">
            <v>단체퇴직급여충당금</v>
          </cell>
        </row>
        <row r="207">
          <cell r="A207">
            <v>238</v>
          </cell>
          <cell r="C207" t="str">
            <v>장  기 미 지 급 금</v>
          </cell>
        </row>
        <row r="208">
          <cell r="A208">
            <v>239</v>
          </cell>
          <cell r="C208" t="str">
            <v>장 기 성 매입 채무</v>
          </cell>
        </row>
        <row r="209">
          <cell r="A209">
            <v>240</v>
          </cell>
          <cell r="C209" t="str">
            <v>현재가치 할인 차금</v>
          </cell>
        </row>
        <row r="210">
          <cell r="A210">
            <v>241</v>
          </cell>
          <cell r="C210" t="str">
            <v>주 임 종 장기차입금</v>
          </cell>
        </row>
        <row r="211">
          <cell r="A211">
            <v>242</v>
          </cell>
          <cell r="C211" t="str">
            <v>관계회사장기차입금</v>
          </cell>
        </row>
        <row r="216">
          <cell r="A216">
            <v>249</v>
          </cell>
          <cell r="C216" t="str">
            <v>환  율  조  정  대</v>
          </cell>
        </row>
        <row r="218">
          <cell r="A218">
            <v>251</v>
          </cell>
          <cell r="C218" t="str">
            <v>자      본      금</v>
          </cell>
        </row>
        <row r="219">
          <cell r="A219">
            <v>252</v>
          </cell>
          <cell r="C219" t="str">
            <v>보 통 주  자 본 금</v>
          </cell>
        </row>
        <row r="220">
          <cell r="A220">
            <v>253</v>
          </cell>
          <cell r="C220" t="str">
            <v>인      출      금</v>
          </cell>
        </row>
        <row r="222">
          <cell r="A222">
            <v>254</v>
          </cell>
          <cell r="C222" t="str">
            <v>주식 발행 초 과 금</v>
          </cell>
        </row>
        <row r="223">
          <cell r="A223">
            <v>255</v>
          </cell>
          <cell r="C223" t="str">
            <v>감   자    차   익</v>
          </cell>
        </row>
        <row r="224">
          <cell r="A224">
            <v>256</v>
          </cell>
          <cell r="C224" t="str">
            <v>합   병    차   익</v>
          </cell>
        </row>
        <row r="225">
          <cell r="A225">
            <v>257</v>
          </cell>
          <cell r="C225" t="str">
            <v>기타 자본 잉 여 금</v>
          </cell>
        </row>
        <row r="226">
          <cell r="A226">
            <v>258</v>
          </cell>
          <cell r="C226" t="str">
            <v xml:space="preserve">  국 고 보 조 금</v>
          </cell>
        </row>
        <row r="227">
          <cell r="A227">
            <v>259</v>
          </cell>
          <cell r="C227" t="str">
            <v xml:space="preserve">  공 사 부 담 금</v>
          </cell>
        </row>
        <row r="228">
          <cell r="A228">
            <v>260</v>
          </cell>
          <cell r="C228" t="str">
            <v xml:space="preserve">  보  험  차  익</v>
          </cell>
        </row>
        <row r="229">
          <cell r="A229">
            <v>261</v>
          </cell>
          <cell r="C229" t="str">
            <v xml:space="preserve">  자산 수증 이익</v>
          </cell>
        </row>
        <row r="230">
          <cell r="A230">
            <v>262</v>
          </cell>
          <cell r="C230" t="str">
            <v xml:space="preserve">  채무 면제 이익</v>
          </cell>
        </row>
        <row r="231">
          <cell r="A231">
            <v>263</v>
          </cell>
          <cell r="C231" t="str">
            <v xml:space="preserve">  재 평 가적립금</v>
          </cell>
        </row>
        <row r="234">
          <cell r="A234">
            <v>270</v>
          </cell>
          <cell r="C234" t="str">
            <v>이  익  준  비  금</v>
          </cell>
        </row>
        <row r="235">
          <cell r="A235">
            <v>271</v>
          </cell>
          <cell r="C235" t="str">
            <v>기업합리화 적립금</v>
          </cell>
        </row>
        <row r="236">
          <cell r="A236">
            <v>272</v>
          </cell>
          <cell r="C236" t="str">
            <v>재무구조개선적립금</v>
          </cell>
        </row>
        <row r="237">
          <cell r="A237">
            <v>273</v>
          </cell>
          <cell r="C237" t="str">
            <v>배      당      금</v>
          </cell>
        </row>
        <row r="238">
          <cell r="A238">
            <v>274</v>
          </cell>
        </row>
        <row r="239">
          <cell r="A239">
            <v>275</v>
          </cell>
        </row>
        <row r="240">
          <cell r="A240">
            <v>276</v>
          </cell>
          <cell r="C240" t="str">
            <v>임  의  적  립  금</v>
          </cell>
        </row>
        <row r="241">
          <cell r="A241">
            <v>277</v>
          </cell>
          <cell r="C241" t="str">
            <v xml:space="preserve">  중소기업투자준비금</v>
          </cell>
        </row>
        <row r="242">
          <cell r="A242">
            <v>278</v>
          </cell>
          <cell r="C242" t="str">
            <v xml:space="preserve">  기술개발준비금</v>
          </cell>
        </row>
        <row r="243">
          <cell r="A243">
            <v>279</v>
          </cell>
          <cell r="C243" t="str">
            <v xml:space="preserve">  기술개발적립금</v>
          </cell>
        </row>
        <row r="244">
          <cell r="A244">
            <v>280</v>
          </cell>
          <cell r="C244" t="str">
            <v>차기이월이익잉여금</v>
          </cell>
        </row>
        <row r="245">
          <cell r="A245">
            <v>281</v>
          </cell>
          <cell r="C245" t="str">
            <v>차기이월  결 손 금</v>
          </cell>
        </row>
        <row r="246">
          <cell r="A246">
            <v>282</v>
          </cell>
          <cell r="C246" t="str">
            <v>당  기  순  이  익</v>
          </cell>
        </row>
        <row r="247">
          <cell r="A247">
            <v>283</v>
          </cell>
          <cell r="C247" t="str">
            <v>당  기  순  손  실</v>
          </cell>
        </row>
        <row r="250">
          <cell r="A250">
            <v>300</v>
          </cell>
          <cell r="C250" t="str">
            <v xml:space="preserve">  &lt; 매  출  액 &gt;</v>
          </cell>
        </row>
        <row r="251">
          <cell r="A251">
            <v>301</v>
          </cell>
          <cell r="C251" t="str">
            <v>상   품    매   출</v>
          </cell>
        </row>
        <row r="252">
          <cell r="A252">
            <v>302</v>
          </cell>
          <cell r="C252" t="str">
            <v>제   품    매   출</v>
          </cell>
        </row>
        <row r="253">
          <cell r="A253">
            <v>303</v>
          </cell>
          <cell r="C253" t="str">
            <v>임  가  공  수  입</v>
          </cell>
        </row>
        <row r="254">
          <cell r="A254">
            <v>304</v>
          </cell>
          <cell r="C254" t="str">
            <v>용   역    수   입</v>
          </cell>
        </row>
        <row r="255">
          <cell r="A255">
            <v>305</v>
          </cell>
          <cell r="C255" t="str">
            <v>임  대  료  수  입</v>
          </cell>
        </row>
        <row r="256">
          <cell r="A256">
            <v>306</v>
          </cell>
          <cell r="C256" t="str">
            <v>수   출    매   출</v>
          </cell>
        </row>
        <row r="257">
          <cell r="A257">
            <v>307</v>
          </cell>
          <cell r="C257" t="str">
            <v xml:space="preserve">  공  사  수  입</v>
          </cell>
        </row>
        <row r="258">
          <cell r="A258">
            <v>308</v>
          </cell>
          <cell r="C258" t="str">
            <v xml:space="preserve">  제  품  수  출</v>
          </cell>
        </row>
        <row r="259">
          <cell r="A259">
            <v>310</v>
          </cell>
          <cell r="C259" t="str">
            <v>주 택  분 양 수 입</v>
          </cell>
        </row>
        <row r="260">
          <cell r="A260">
            <v>311</v>
          </cell>
          <cell r="C260" t="str">
            <v>관   리    수   입</v>
          </cell>
        </row>
        <row r="261">
          <cell r="A261">
            <v>312</v>
          </cell>
          <cell r="C261" t="str">
            <v>기 타  사 업 수 입</v>
          </cell>
        </row>
        <row r="263">
          <cell r="A263">
            <v>320</v>
          </cell>
          <cell r="C263" t="str">
            <v xml:space="preserve">  &lt; 매 출 원 가 &gt;</v>
          </cell>
        </row>
        <row r="264">
          <cell r="A264">
            <v>321</v>
          </cell>
          <cell r="C264" t="str">
            <v>상 품 매 출 원 가</v>
          </cell>
        </row>
        <row r="265">
          <cell r="A265">
            <v>322</v>
          </cell>
          <cell r="C265" t="str">
            <v>기초 상품 재고액</v>
          </cell>
        </row>
        <row r="266">
          <cell r="A266">
            <v>323</v>
          </cell>
          <cell r="C266" t="str">
            <v xml:space="preserve">  당기상품매입액</v>
          </cell>
        </row>
        <row r="267">
          <cell r="A267">
            <v>324</v>
          </cell>
          <cell r="C267" t="str">
            <v xml:space="preserve">  기말상품재고액</v>
          </cell>
        </row>
        <row r="268">
          <cell r="A268">
            <v>325</v>
          </cell>
          <cell r="C268" t="str">
            <v>제 품 매 출 원 가</v>
          </cell>
        </row>
        <row r="269">
          <cell r="A269">
            <v>326</v>
          </cell>
          <cell r="C269" t="str">
            <v xml:space="preserve">  기초제품재고액</v>
          </cell>
        </row>
        <row r="270">
          <cell r="A270">
            <v>327</v>
          </cell>
          <cell r="C270" t="str">
            <v xml:space="preserve">  당기제품제조원가</v>
          </cell>
        </row>
        <row r="271">
          <cell r="A271">
            <v>328</v>
          </cell>
          <cell r="C271" t="str">
            <v xml:space="preserve">  기말제품재고액</v>
          </cell>
        </row>
        <row r="272">
          <cell r="A272">
            <v>330</v>
          </cell>
          <cell r="C272" t="str">
            <v xml:space="preserve">  매 출 원 가</v>
          </cell>
        </row>
        <row r="273">
          <cell r="C273" t="str">
            <v xml:space="preserve">  공사시공원가</v>
          </cell>
        </row>
        <row r="274">
          <cell r="C274" t="str">
            <v xml:space="preserve">  제         조</v>
          </cell>
        </row>
        <row r="276">
          <cell r="A276">
            <v>331</v>
          </cell>
          <cell r="C276" t="str">
            <v>주 택  분 양 원 가</v>
          </cell>
        </row>
        <row r="277">
          <cell r="A277">
            <v>332</v>
          </cell>
          <cell r="C277" t="str">
            <v>기초 미분양 주 택</v>
          </cell>
        </row>
        <row r="278">
          <cell r="A278">
            <v>333</v>
          </cell>
          <cell r="C278" t="str">
            <v>당기 주택완성원가</v>
          </cell>
        </row>
        <row r="279">
          <cell r="A279">
            <v>334</v>
          </cell>
          <cell r="C279" t="str">
            <v>기말 미분양 주 택</v>
          </cell>
        </row>
        <row r="280">
          <cell r="A280">
            <v>335</v>
          </cell>
          <cell r="C280" t="str">
            <v>관   리    원   가</v>
          </cell>
        </row>
        <row r="281">
          <cell r="A281">
            <v>336</v>
          </cell>
          <cell r="C281" t="str">
            <v>기 타  사 업 원 가</v>
          </cell>
        </row>
        <row r="282">
          <cell r="A282">
            <v>337</v>
          </cell>
          <cell r="C282" t="str">
            <v>당기 주택공사원가</v>
          </cell>
        </row>
        <row r="287">
          <cell r="A287">
            <v>420</v>
          </cell>
          <cell r="C287" t="str">
            <v xml:space="preserve">  &lt; 판매관리비 &gt;</v>
          </cell>
        </row>
        <row r="288">
          <cell r="A288">
            <v>421</v>
          </cell>
          <cell r="C288" t="str">
            <v>임   원    급   여</v>
          </cell>
        </row>
        <row r="289">
          <cell r="A289">
            <v>422</v>
          </cell>
          <cell r="C289" t="str">
            <v>급              여</v>
          </cell>
        </row>
        <row r="290">
          <cell r="A290">
            <v>423</v>
          </cell>
          <cell r="C290" t="str">
            <v>제      수      당</v>
          </cell>
        </row>
        <row r="291">
          <cell r="A291">
            <v>424</v>
          </cell>
          <cell r="C291" t="str">
            <v>상      여      금</v>
          </cell>
        </row>
        <row r="292">
          <cell r="A292">
            <v>425</v>
          </cell>
          <cell r="C292" t="str">
            <v>잡              급</v>
          </cell>
        </row>
        <row r="293">
          <cell r="A293">
            <v>426</v>
          </cell>
          <cell r="C293" t="str">
            <v>퇴직급여충당금전입</v>
          </cell>
        </row>
        <row r="294">
          <cell r="A294">
            <v>427</v>
          </cell>
          <cell r="C294" t="str">
            <v>단퇴급여충당금전입</v>
          </cell>
        </row>
        <row r="295">
          <cell r="A295">
            <v>428</v>
          </cell>
          <cell r="C295" t="str">
            <v>퇴   직    급   여</v>
          </cell>
        </row>
        <row r="297">
          <cell r="A297">
            <v>441</v>
          </cell>
          <cell r="C297" t="str">
            <v>복  리  후  생  비</v>
          </cell>
        </row>
        <row r="298">
          <cell r="A298">
            <v>442</v>
          </cell>
          <cell r="C298" t="str">
            <v>여  비  교  통  비</v>
          </cell>
        </row>
        <row r="299">
          <cell r="A299">
            <v>443</v>
          </cell>
          <cell r="C299" t="str">
            <v>통      신      비</v>
          </cell>
        </row>
        <row r="300">
          <cell r="A300">
            <v>444</v>
          </cell>
          <cell r="C300" t="str">
            <v>수  도  광  열  비</v>
          </cell>
        </row>
        <row r="301">
          <cell r="A301">
            <v>445</v>
          </cell>
          <cell r="C301" t="str">
            <v>전      력      비</v>
          </cell>
        </row>
        <row r="302">
          <cell r="A302">
            <v>446</v>
          </cell>
          <cell r="C302" t="str">
            <v>세  금  과  공  과</v>
          </cell>
        </row>
        <row r="303">
          <cell r="A303">
            <v>447</v>
          </cell>
          <cell r="C303" t="str">
            <v>지  급  임  차  료</v>
          </cell>
        </row>
        <row r="304">
          <cell r="A304">
            <v>448</v>
          </cell>
          <cell r="C304" t="str">
            <v>관      리      비</v>
          </cell>
        </row>
        <row r="305">
          <cell r="A305">
            <v>449</v>
          </cell>
          <cell r="C305" t="str">
            <v>수      선      비</v>
          </cell>
        </row>
        <row r="306">
          <cell r="A306">
            <v>450</v>
          </cell>
          <cell r="C306" t="str">
            <v>보      험      료</v>
          </cell>
        </row>
        <row r="307">
          <cell r="A307">
            <v>451</v>
          </cell>
          <cell r="C307" t="str">
            <v>접      대      비</v>
          </cell>
        </row>
        <row r="308">
          <cell r="A308">
            <v>452</v>
          </cell>
          <cell r="C308" t="str">
            <v>기      밀      비</v>
          </cell>
        </row>
        <row r="309">
          <cell r="A309">
            <v>453</v>
          </cell>
          <cell r="C309" t="str">
            <v>광  고  선  전  비</v>
          </cell>
        </row>
        <row r="310">
          <cell r="A310">
            <v>454</v>
          </cell>
          <cell r="C310" t="str">
            <v>보      관      료</v>
          </cell>
        </row>
        <row r="311">
          <cell r="A311">
            <v>455</v>
          </cell>
          <cell r="C311" t="str">
            <v>차  량  유  지  비</v>
          </cell>
        </row>
        <row r="312">
          <cell r="A312">
            <v>456</v>
          </cell>
          <cell r="C312" t="str">
            <v>지  급  수  수  료</v>
          </cell>
        </row>
        <row r="313">
          <cell r="A313">
            <v>457</v>
          </cell>
          <cell r="C313" t="str">
            <v>소   모    품   비</v>
          </cell>
        </row>
        <row r="314">
          <cell r="A314">
            <v>458</v>
          </cell>
          <cell r="C314" t="str">
            <v>사  무  용  품  비</v>
          </cell>
        </row>
        <row r="315">
          <cell r="A315">
            <v>459</v>
          </cell>
          <cell r="C315" t="str">
            <v>도  서  인  쇄  비</v>
          </cell>
        </row>
        <row r="316">
          <cell r="A316">
            <v>460</v>
          </cell>
          <cell r="C316" t="str">
            <v>교  육  훈  련  비</v>
          </cell>
        </row>
        <row r="317">
          <cell r="A317">
            <v>461</v>
          </cell>
          <cell r="C317" t="str">
            <v>회      의      비</v>
          </cell>
        </row>
        <row r="318">
          <cell r="A318">
            <v>462</v>
          </cell>
          <cell r="C318" t="str">
            <v>운      반      비</v>
          </cell>
        </row>
        <row r="319">
          <cell r="A319">
            <v>463</v>
          </cell>
          <cell r="C319" t="str">
            <v>포      장      비</v>
          </cell>
        </row>
        <row r="320">
          <cell r="A320">
            <v>464</v>
          </cell>
          <cell r="C320" t="str">
            <v>보      상      비</v>
          </cell>
        </row>
        <row r="321">
          <cell r="A321">
            <v>465</v>
          </cell>
          <cell r="C321" t="str">
            <v>하  자  보  수  비</v>
          </cell>
        </row>
        <row r="322">
          <cell r="A322">
            <v>466</v>
          </cell>
          <cell r="C322" t="str">
            <v>판  매  수  수  료</v>
          </cell>
        </row>
        <row r="323">
          <cell r="A323">
            <v>467</v>
          </cell>
          <cell r="C323" t="str">
            <v>판  매  촉  진  비</v>
          </cell>
        </row>
        <row r="324">
          <cell r="A324">
            <v>468</v>
          </cell>
          <cell r="C324" t="str">
            <v>견      본      비</v>
          </cell>
        </row>
        <row r="325">
          <cell r="A325">
            <v>469</v>
          </cell>
          <cell r="C325" t="str">
            <v>숙      식      비</v>
          </cell>
        </row>
        <row r="326">
          <cell r="A326">
            <v>470</v>
          </cell>
          <cell r="C326" t="str">
            <v>창  고  유  지  비</v>
          </cell>
        </row>
        <row r="327">
          <cell r="A327">
            <v>471</v>
          </cell>
          <cell r="C327" t="str">
            <v>감  가  상  각  비</v>
          </cell>
        </row>
        <row r="328">
          <cell r="A328">
            <v>472</v>
          </cell>
          <cell r="C328" t="str">
            <v xml:space="preserve">대  손  상  각  비 </v>
          </cell>
        </row>
        <row r="329">
          <cell r="A329">
            <v>473</v>
          </cell>
          <cell r="C329" t="str">
            <v>대 손 충 당 금전입</v>
          </cell>
        </row>
        <row r="330">
          <cell r="A330">
            <v>474</v>
          </cell>
          <cell r="C330" t="str">
            <v>무 형  자 산 상 각</v>
          </cell>
        </row>
        <row r="331">
          <cell r="A331">
            <v>475</v>
          </cell>
          <cell r="C331" t="str">
            <v>영  업  권  상  각</v>
          </cell>
        </row>
        <row r="332">
          <cell r="A332">
            <v>476</v>
          </cell>
          <cell r="C332" t="str">
            <v xml:space="preserve">  안 전 관 리 비</v>
          </cell>
        </row>
        <row r="333">
          <cell r="A333">
            <v>477</v>
          </cell>
          <cell r="C333" t="str">
            <v>미분양 주택 관리비</v>
          </cell>
        </row>
        <row r="334">
          <cell r="A334">
            <v>478</v>
          </cell>
          <cell r="C334" t="str">
            <v xml:space="preserve">  선급리스부대비상각</v>
          </cell>
        </row>
        <row r="335">
          <cell r="A335">
            <v>479</v>
          </cell>
          <cell r="C335" t="str">
            <v>잡              비</v>
          </cell>
        </row>
        <row r="337">
          <cell r="A337">
            <v>500</v>
          </cell>
          <cell r="C337" t="str">
            <v xml:space="preserve">  &lt; 영업외수익 &gt;</v>
          </cell>
        </row>
        <row r="338">
          <cell r="A338">
            <v>501</v>
          </cell>
          <cell r="C338" t="str">
            <v>이   자    수   익</v>
          </cell>
        </row>
        <row r="339">
          <cell r="A339">
            <v>502</v>
          </cell>
          <cell r="C339" t="str">
            <v>배  당  금  수  익</v>
          </cell>
        </row>
        <row r="340">
          <cell r="A340">
            <v>503</v>
          </cell>
          <cell r="C340" t="str">
            <v>임      대      료</v>
          </cell>
        </row>
        <row r="341">
          <cell r="A341">
            <v>504</v>
          </cell>
          <cell r="C341" t="str">
            <v>유가증권 처분 이익</v>
          </cell>
        </row>
        <row r="342">
          <cell r="A342">
            <v>505</v>
          </cell>
          <cell r="C342" t="str">
            <v>유가증권 평가 이익</v>
          </cell>
        </row>
        <row r="343">
          <cell r="A343">
            <v>506</v>
          </cell>
          <cell r="C343" t="str">
            <v>매   입    할   인</v>
          </cell>
        </row>
        <row r="344">
          <cell r="A344">
            <v>507</v>
          </cell>
          <cell r="C344" t="str">
            <v>외   환    차   익</v>
          </cell>
        </row>
        <row r="345">
          <cell r="A345">
            <v>508</v>
          </cell>
          <cell r="C345" t="str">
            <v>외 화  환 산 이 익</v>
          </cell>
        </row>
        <row r="346">
          <cell r="A346">
            <v>509</v>
          </cell>
          <cell r="C346" t="str">
            <v>투자자산 처분 이익</v>
          </cell>
        </row>
        <row r="347">
          <cell r="A347">
            <v>510</v>
          </cell>
          <cell r="C347" t="str">
            <v>유형자산 처분 이익</v>
          </cell>
        </row>
        <row r="348">
          <cell r="A348">
            <v>511</v>
          </cell>
          <cell r="C348" t="str">
            <v>상각채권 추심 이익</v>
          </cell>
        </row>
        <row r="349">
          <cell r="A349">
            <v>512</v>
          </cell>
          <cell r="C349" t="str">
            <v>사 채  상 환 이 익</v>
          </cell>
        </row>
        <row r="350">
          <cell r="A350">
            <v>513</v>
          </cell>
          <cell r="C350" t="str">
            <v>환율 조정대  환 입</v>
          </cell>
        </row>
        <row r="351">
          <cell r="A351">
            <v>514</v>
          </cell>
          <cell r="C351" t="str">
            <v xml:space="preserve">  수 입 수 수 료</v>
          </cell>
        </row>
        <row r="352">
          <cell r="A352">
            <v>515</v>
          </cell>
          <cell r="C352" t="str">
            <v>연   체    이   자</v>
          </cell>
        </row>
        <row r="353">
          <cell r="A353">
            <v>516</v>
          </cell>
          <cell r="C353" t="str">
            <v>유 가 증 권  이 자</v>
          </cell>
        </row>
        <row r="354">
          <cell r="A354">
            <v>517</v>
          </cell>
          <cell r="C354" t="str">
            <v xml:space="preserve">  대손충당금환입</v>
          </cell>
        </row>
        <row r="355">
          <cell r="A355">
            <v>519</v>
          </cell>
          <cell r="C355" t="str">
            <v>잡      이      익</v>
          </cell>
        </row>
        <row r="357">
          <cell r="A357">
            <v>520</v>
          </cell>
          <cell r="C357" t="str">
            <v xml:space="preserve">  &lt; 영업외비용 &gt;</v>
          </cell>
        </row>
        <row r="358">
          <cell r="A358">
            <v>521</v>
          </cell>
          <cell r="C358" t="str">
            <v>이   자    비   용</v>
          </cell>
        </row>
        <row r="359">
          <cell r="A359">
            <v>522</v>
          </cell>
          <cell r="C359" t="str">
            <v>이 연 자 산 상각비</v>
          </cell>
        </row>
        <row r="360">
          <cell r="A360">
            <v>523</v>
          </cell>
          <cell r="C360" t="str">
            <v>기타의 대손 상각비</v>
          </cell>
        </row>
        <row r="361">
          <cell r="A361">
            <v>524</v>
          </cell>
          <cell r="C361" t="str">
            <v>유가증권 처분 손실</v>
          </cell>
        </row>
        <row r="362">
          <cell r="A362">
            <v>525</v>
          </cell>
          <cell r="C362" t="str">
            <v>유가증권 평가 손실</v>
          </cell>
        </row>
        <row r="363">
          <cell r="A363">
            <v>526</v>
          </cell>
          <cell r="C363" t="str">
            <v>재고자산 평가 손실</v>
          </cell>
        </row>
        <row r="364">
          <cell r="A364">
            <v>527</v>
          </cell>
          <cell r="C364" t="str">
            <v>매   출    할   인</v>
          </cell>
        </row>
        <row r="365">
          <cell r="A365">
            <v>528</v>
          </cell>
          <cell r="C365" t="str">
            <v>외   환    차   손</v>
          </cell>
        </row>
        <row r="366">
          <cell r="A366">
            <v>529</v>
          </cell>
          <cell r="C366" t="str">
            <v>외 화  환 산 손 실</v>
          </cell>
        </row>
        <row r="367">
          <cell r="A367">
            <v>530</v>
          </cell>
          <cell r="C367" t="str">
            <v>기      부      금</v>
          </cell>
        </row>
        <row r="368">
          <cell r="A368">
            <v>531</v>
          </cell>
          <cell r="C368" t="str">
            <v>투자자산 처분 손실</v>
          </cell>
        </row>
        <row r="369">
          <cell r="A369">
            <v>532</v>
          </cell>
          <cell r="C369" t="str">
            <v>유형자산 처분 손실</v>
          </cell>
        </row>
        <row r="370">
          <cell r="A370">
            <v>533</v>
          </cell>
          <cell r="C370" t="str">
            <v>사 채  상 환 손 실</v>
          </cell>
        </row>
        <row r="371">
          <cell r="A371">
            <v>534</v>
          </cell>
          <cell r="C371" t="str">
            <v>환율 조정차  상 각</v>
          </cell>
        </row>
        <row r="372">
          <cell r="A372">
            <v>535</v>
          </cell>
          <cell r="C372" t="str">
            <v>창  업  비  상  각</v>
          </cell>
        </row>
        <row r="373">
          <cell r="A373">
            <v>536</v>
          </cell>
          <cell r="C373" t="str">
            <v>연 구 개발비 상 각</v>
          </cell>
        </row>
        <row r="374">
          <cell r="A374">
            <v>537</v>
          </cell>
          <cell r="C374" t="str">
            <v>법 인 세  추 납 액</v>
          </cell>
        </row>
        <row r="375">
          <cell r="A375">
            <v>539</v>
          </cell>
          <cell r="C375" t="str">
            <v>잡      손      실</v>
          </cell>
        </row>
        <row r="377">
          <cell r="A377">
            <v>550</v>
          </cell>
          <cell r="C377" t="str">
            <v xml:space="preserve">  &lt;특 별 이 익&gt;</v>
          </cell>
        </row>
        <row r="378">
          <cell r="A378">
            <v>551</v>
          </cell>
          <cell r="C378" t="str">
            <v>자 산  수 증 이 익</v>
          </cell>
        </row>
        <row r="379">
          <cell r="A379">
            <v>552</v>
          </cell>
          <cell r="C379" t="str">
            <v>채 무  면 제 이 익</v>
          </cell>
        </row>
        <row r="380">
          <cell r="A380">
            <v>553</v>
          </cell>
          <cell r="C380" t="str">
            <v>보   험    차   익</v>
          </cell>
        </row>
        <row r="381">
          <cell r="A381">
            <v>554</v>
          </cell>
          <cell r="C381" t="str">
            <v>전기 오류 수정이익</v>
          </cell>
        </row>
        <row r="382">
          <cell r="A382">
            <v>555</v>
          </cell>
          <cell r="C382" t="str">
            <v xml:space="preserve">   중소투자준비금환입</v>
          </cell>
        </row>
        <row r="383">
          <cell r="A383">
            <v>556</v>
          </cell>
          <cell r="C383" t="str">
            <v xml:space="preserve">   기술개발준비금환입</v>
          </cell>
        </row>
        <row r="384">
          <cell r="A384">
            <v>557</v>
          </cell>
          <cell r="C384" t="str">
            <v xml:space="preserve">   해외시장개척준비금환입</v>
          </cell>
        </row>
        <row r="385">
          <cell r="A385">
            <v>558</v>
          </cell>
          <cell r="C385" t="str">
            <v xml:space="preserve">   지방이전준비금환입</v>
          </cell>
        </row>
        <row r="386">
          <cell r="A386">
            <v>559</v>
          </cell>
          <cell r="C386" t="str">
            <v xml:space="preserve">   수출손실준비금환입</v>
          </cell>
        </row>
        <row r="387">
          <cell r="A387">
            <v>560</v>
          </cell>
          <cell r="C387" t="str">
            <v xml:space="preserve">  퇴직급여충당금환입</v>
          </cell>
        </row>
        <row r="388">
          <cell r="A388">
            <v>561</v>
          </cell>
          <cell r="C388" t="str">
            <v>고정 자산 처분이익</v>
          </cell>
        </row>
        <row r="390">
          <cell r="A390">
            <v>570</v>
          </cell>
          <cell r="C390" t="str">
            <v xml:space="preserve">  &lt;특 별 손 실&gt;</v>
          </cell>
        </row>
        <row r="391">
          <cell r="A391">
            <v>571</v>
          </cell>
          <cell r="C391" t="str">
            <v>재   해    손   실</v>
          </cell>
        </row>
        <row r="392">
          <cell r="A392">
            <v>572</v>
          </cell>
          <cell r="C392" t="str">
            <v>전기 오류 수정손실</v>
          </cell>
        </row>
        <row r="393">
          <cell r="A393">
            <v>573</v>
          </cell>
          <cell r="C393" t="str">
            <v xml:space="preserve">   중소투자준비금전입액</v>
          </cell>
        </row>
        <row r="394">
          <cell r="A394">
            <v>574</v>
          </cell>
          <cell r="C394" t="str">
            <v xml:space="preserve">   기술개발준비금전입액</v>
          </cell>
        </row>
        <row r="395">
          <cell r="A395">
            <v>575</v>
          </cell>
          <cell r="C395" t="str">
            <v xml:space="preserve">   해외개척준비금전입액</v>
          </cell>
        </row>
        <row r="396">
          <cell r="A396">
            <v>576</v>
          </cell>
          <cell r="C396" t="str">
            <v xml:space="preserve">   지방이전준비금전입액</v>
          </cell>
        </row>
        <row r="397">
          <cell r="A397">
            <v>577</v>
          </cell>
          <cell r="C397" t="str">
            <v xml:space="preserve">   수출손실준비금전입액</v>
          </cell>
        </row>
        <row r="398">
          <cell r="A398">
            <v>578</v>
          </cell>
          <cell r="C398" t="str">
            <v xml:space="preserve">  특  별  상  각</v>
          </cell>
        </row>
        <row r="399">
          <cell r="A399">
            <v>579</v>
          </cell>
          <cell r="C399" t="str">
            <v>고정 자산 처분손실</v>
          </cell>
        </row>
        <row r="401">
          <cell r="A401">
            <v>590</v>
          </cell>
          <cell r="C401" t="str">
            <v>법  인  세  비  용</v>
          </cell>
        </row>
        <row r="404">
          <cell r="A404">
            <v>599</v>
          </cell>
          <cell r="C404" t="str">
            <v xml:space="preserve">  &lt;재   료  비&gt;</v>
          </cell>
        </row>
        <row r="405">
          <cell r="A405">
            <v>600</v>
          </cell>
          <cell r="C405" t="str">
            <v xml:space="preserve">  &lt;원 재 료 비 &gt;</v>
          </cell>
        </row>
        <row r="406">
          <cell r="A406">
            <v>601</v>
          </cell>
          <cell r="C406" t="str">
            <v>원    재   료   비</v>
          </cell>
        </row>
        <row r="407">
          <cell r="A407">
            <v>602</v>
          </cell>
          <cell r="C407" t="str">
            <v>기초 원 재 료 재고</v>
          </cell>
        </row>
        <row r="408">
          <cell r="A408">
            <v>603</v>
          </cell>
          <cell r="C408" t="str">
            <v>당기 원 재 료 매입</v>
          </cell>
        </row>
        <row r="409">
          <cell r="A409">
            <v>604</v>
          </cell>
          <cell r="C409" t="str">
            <v>기말 원 재 료 재고</v>
          </cell>
        </row>
        <row r="410">
          <cell r="A410">
            <v>605</v>
          </cell>
          <cell r="C410" t="str">
            <v>타  계  정  대  체</v>
          </cell>
        </row>
        <row r="412">
          <cell r="A412">
            <v>610</v>
          </cell>
          <cell r="C412" t="str">
            <v xml:space="preserve">  &lt;부 재 료 비 &gt;</v>
          </cell>
        </row>
        <row r="413">
          <cell r="A413">
            <v>611</v>
          </cell>
          <cell r="C413" t="str">
            <v>부    재   료   비</v>
          </cell>
        </row>
        <row r="414">
          <cell r="A414">
            <v>612</v>
          </cell>
          <cell r="C414" t="str">
            <v>기초 부 재 료 재고</v>
          </cell>
        </row>
        <row r="415">
          <cell r="A415">
            <v>613</v>
          </cell>
          <cell r="C415" t="str">
            <v>당기 부 재 료 매입</v>
          </cell>
        </row>
        <row r="416">
          <cell r="A416">
            <v>614</v>
          </cell>
          <cell r="C416" t="str">
            <v>기말 부 재 료 재고</v>
          </cell>
        </row>
        <row r="417">
          <cell r="A417">
            <v>615</v>
          </cell>
          <cell r="C417" t="str">
            <v>타  계  정  대  체</v>
          </cell>
        </row>
        <row r="420">
          <cell r="A420">
            <v>620</v>
          </cell>
          <cell r="C420" t="str">
            <v xml:space="preserve">  &lt; 노  무  비 &gt;</v>
          </cell>
        </row>
        <row r="421">
          <cell r="A421">
            <v>621</v>
          </cell>
          <cell r="C421" t="str">
            <v>급              여</v>
          </cell>
        </row>
        <row r="422">
          <cell r="A422">
            <v>622</v>
          </cell>
          <cell r="C422" t="str">
            <v>임              금</v>
          </cell>
        </row>
        <row r="423">
          <cell r="A423">
            <v>623</v>
          </cell>
          <cell r="C423" t="str">
            <v>제      수      당</v>
          </cell>
        </row>
        <row r="424">
          <cell r="A424">
            <v>624</v>
          </cell>
          <cell r="C424" t="str">
            <v>상      여      금</v>
          </cell>
        </row>
        <row r="425">
          <cell r="A425">
            <v>625</v>
          </cell>
          <cell r="C425" t="str">
            <v>잡              급</v>
          </cell>
        </row>
        <row r="426">
          <cell r="A426">
            <v>626</v>
          </cell>
          <cell r="C426" t="str">
            <v>퇴직급여충당금전입</v>
          </cell>
        </row>
        <row r="427">
          <cell r="A427">
            <v>627</v>
          </cell>
          <cell r="C427" t="str">
            <v>단퇴급여충당금전입</v>
          </cell>
        </row>
        <row r="428">
          <cell r="A428">
            <v>628</v>
          </cell>
          <cell r="C428" t="str">
            <v>퇴   직   급    여</v>
          </cell>
        </row>
        <row r="431">
          <cell r="A431">
            <v>629</v>
          </cell>
          <cell r="C431" t="str">
            <v xml:space="preserve">  &lt; 외  주   비 &gt;</v>
          </cell>
        </row>
        <row r="434">
          <cell r="A434">
            <v>630</v>
          </cell>
          <cell r="C434" t="str">
            <v xml:space="preserve">  &lt; 경       비 &gt;</v>
          </cell>
        </row>
        <row r="435">
          <cell r="A435">
            <v>631</v>
          </cell>
          <cell r="C435" t="str">
            <v>외  주  가  공  비</v>
          </cell>
        </row>
        <row r="436">
          <cell r="A436">
            <v>632</v>
          </cell>
          <cell r="C436" t="str">
            <v>전      력      비</v>
          </cell>
        </row>
        <row r="437">
          <cell r="A437">
            <v>633</v>
          </cell>
          <cell r="C437" t="str">
            <v>가  스  수  도  비</v>
          </cell>
        </row>
        <row r="438">
          <cell r="A438">
            <v>634</v>
          </cell>
          <cell r="C438" t="str">
            <v>연      료      비</v>
          </cell>
        </row>
        <row r="439">
          <cell r="A439">
            <v>635</v>
          </cell>
          <cell r="C439" t="str">
            <v xml:space="preserve">부    자   재   비 </v>
          </cell>
        </row>
        <row r="440">
          <cell r="A440">
            <v>636</v>
          </cell>
          <cell r="C440" t="str">
            <v>소  모  공  구  비</v>
          </cell>
        </row>
        <row r="442">
          <cell r="A442">
            <v>641</v>
          </cell>
          <cell r="C442" t="str">
            <v>복  리  후  생  비</v>
          </cell>
        </row>
        <row r="443">
          <cell r="A443">
            <v>642</v>
          </cell>
          <cell r="C443" t="str">
            <v>여  비  교  통  비</v>
          </cell>
        </row>
        <row r="444">
          <cell r="A444">
            <v>643</v>
          </cell>
          <cell r="C444" t="str">
            <v>통      신      비</v>
          </cell>
        </row>
        <row r="445">
          <cell r="A445">
            <v>644</v>
          </cell>
          <cell r="C445" t="str">
            <v>수  도  광  열  비</v>
          </cell>
        </row>
        <row r="446">
          <cell r="A446">
            <v>645</v>
          </cell>
          <cell r="C446" t="str">
            <v>전      력      비</v>
          </cell>
        </row>
        <row r="447">
          <cell r="A447">
            <v>646</v>
          </cell>
          <cell r="C447" t="str">
            <v>세  금  과  공  과</v>
          </cell>
        </row>
        <row r="448">
          <cell r="A448">
            <v>647</v>
          </cell>
          <cell r="C448" t="str">
            <v>지  급  임  차  료</v>
          </cell>
        </row>
        <row r="449">
          <cell r="A449">
            <v>648</v>
          </cell>
          <cell r="C449" t="str">
            <v>관      리      비</v>
          </cell>
        </row>
        <row r="450">
          <cell r="A450">
            <v>649</v>
          </cell>
          <cell r="C450" t="str">
            <v>수      선      비</v>
          </cell>
        </row>
        <row r="451">
          <cell r="A451">
            <v>650</v>
          </cell>
          <cell r="C451" t="str">
            <v>보      험      료</v>
          </cell>
        </row>
        <row r="452">
          <cell r="A452">
            <v>651</v>
          </cell>
          <cell r="C452" t="str">
            <v>접      대      비</v>
          </cell>
        </row>
        <row r="453">
          <cell r="A453">
            <v>652</v>
          </cell>
          <cell r="C453" t="str">
            <v>기      밀      비</v>
          </cell>
        </row>
        <row r="454">
          <cell r="A454">
            <v>653</v>
          </cell>
          <cell r="C454" t="str">
            <v>광  고  선  전  비</v>
          </cell>
        </row>
        <row r="455">
          <cell r="A455">
            <v>654</v>
          </cell>
          <cell r="C455" t="str">
            <v>보      관      료</v>
          </cell>
        </row>
        <row r="456">
          <cell r="A456">
            <v>655</v>
          </cell>
          <cell r="C456" t="str">
            <v>차  량  유  지  비</v>
          </cell>
        </row>
        <row r="457">
          <cell r="A457">
            <v>656</v>
          </cell>
          <cell r="C457" t="str">
            <v>지  급  수  수  료</v>
          </cell>
        </row>
        <row r="458">
          <cell r="A458">
            <v>657</v>
          </cell>
          <cell r="C458" t="str">
            <v>소   모    품   비</v>
          </cell>
        </row>
        <row r="459">
          <cell r="A459">
            <v>658</v>
          </cell>
          <cell r="C459" t="str">
            <v>사  무  용  품  비</v>
          </cell>
        </row>
        <row r="460">
          <cell r="A460">
            <v>659</v>
          </cell>
          <cell r="C460" t="str">
            <v>도  서  인  쇄  비</v>
          </cell>
        </row>
        <row r="461">
          <cell r="A461">
            <v>660</v>
          </cell>
          <cell r="C461" t="str">
            <v>교  육  훈  련  비</v>
          </cell>
        </row>
        <row r="462">
          <cell r="A462">
            <v>661</v>
          </cell>
          <cell r="C462" t="str">
            <v>회      의      비</v>
          </cell>
        </row>
        <row r="463">
          <cell r="A463">
            <v>662</v>
          </cell>
          <cell r="C463" t="str">
            <v>운      반      비</v>
          </cell>
        </row>
        <row r="464">
          <cell r="A464">
            <v>663</v>
          </cell>
          <cell r="C464" t="str">
            <v>포      장      비</v>
          </cell>
        </row>
        <row r="465">
          <cell r="A465">
            <v>664</v>
          </cell>
          <cell r="C465" t="str">
            <v>보      상      비</v>
          </cell>
        </row>
        <row r="466">
          <cell r="A466">
            <v>665</v>
          </cell>
          <cell r="C466" t="str">
            <v>하  자  보  수  비</v>
          </cell>
        </row>
        <row r="467">
          <cell r="A467">
            <v>666</v>
          </cell>
          <cell r="C467" t="str">
            <v>판  매  수  수  료</v>
          </cell>
        </row>
        <row r="468">
          <cell r="A468">
            <v>667</v>
          </cell>
          <cell r="C468" t="str">
            <v>판  매  촉  진  비</v>
          </cell>
        </row>
        <row r="469">
          <cell r="A469">
            <v>668</v>
          </cell>
          <cell r="C469" t="str">
            <v>견  본  주  택  비</v>
          </cell>
        </row>
        <row r="470">
          <cell r="A470">
            <v>669</v>
          </cell>
          <cell r="C470" t="str">
            <v>숙      식      비</v>
          </cell>
        </row>
        <row r="471">
          <cell r="A471">
            <v>670</v>
          </cell>
          <cell r="C471" t="str">
            <v>창  고  유  지  비</v>
          </cell>
        </row>
        <row r="472">
          <cell r="A472">
            <v>671</v>
          </cell>
          <cell r="C472" t="str">
            <v>감  가  상  각  비</v>
          </cell>
        </row>
        <row r="473">
          <cell r="A473">
            <v>672</v>
          </cell>
          <cell r="C473" t="str">
            <v xml:space="preserve">대  손  상  각  비 </v>
          </cell>
        </row>
        <row r="474">
          <cell r="A474">
            <v>673</v>
          </cell>
          <cell r="C474" t="str">
            <v>대 손 충 당 금전입</v>
          </cell>
        </row>
        <row r="475">
          <cell r="A475">
            <v>674</v>
          </cell>
          <cell r="C475" t="str">
            <v>무 형  자 산 상 각</v>
          </cell>
        </row>
        <row r="476">
          <cell r="A476">
            <v>675</v>
          </cell>
          <cell r="C476" t="str">
            <v>견      본      비</v>
          </cell>
        </row>
        <row r="477">
          <cell r="A477">
            <v>676</v>
          </cell>
          <cell r="C477" t="str">
            <v>안  전  관  리  비</v>
          </cell>
        </row>
        <row r="478">
          <cell r="A478">
            <v>677</v>
          </cell>
          <cell r="C478" t="str">
            <v>중  기  유  지  비</v>
          </cell>
        </row>
        <row r="479">
          <cell r="A479">
            <v>678</v>
          </cell>
          <cell r="C479" t="str">
            <v>중 장 비  임 차 료</v>
          </cell>
        </row>
        <row r="480">
          <cell r="A480">
            <v>679</v>
          </cell>
          <cell r="C480" t="str">
            <v>잡              비</v>
          </cell>
        </row>
        <row r="481">
          <cell r="A481">
            <v>680</v>
          </cell>
          <cell r="C481" t="str">
            <v>가   설    손   료</v>
          </cell>
        </row>
        <row r="482">
          <cell r="C482" t="str">
            <v xml:space="preserve"> </v>
          </cell>
        </row>
        <row r="483">
          <cell r="C483" t="str">
            <v xml:space="preserve">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목(가-마)"/>
      <sheetName val="수목(바-주목)"/>
      <sheetName val="수목(중국단풍-)"/>
      <sheetName val="식재인부"/>
      <sheetName val="지주목수"/>
      <sheetName val="데이타"/>
      <sheetName val="[수목일위.XLS][수목일위.XLS]el________4"/>
      <sheetName val="VXXXXX"/>
      <sheetName val="일위대가"/>
      <sheetName val="일위대가(내역)"/>
      <sheetName val="foxz"/>
      <sheetName val="표지"/>
      <sheetName val="실행집계"/>
      <sheetName val="원실행"/>
      <sheetName val="공통가설계"/>
      <sheetName val="공통가설비"/>
      <sheetName val="현관계"/>
      <sheetName val="현관"/>
      <sheetName val="원가LIST"/>
      <sheetName val="월별투입계획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Sheet3"/>
      <sheetName val="___"/>
      <sheetName val="터널구조물산근"/>
      <sheetName val="도로구조물산근"/>
      <sheetName val="Sheet1"/>
      <sheetName val="Sheet2"/>
      <sheetName val="터널굴착단산"/>
      <sheetName val="장약패턴90M2"/>
      <sheetName val="토공산근"/>
      <sheetName val="단가산출근거"/>
      <sheetName val="설계가"/>
      <sheetName val="구조물공수량명세서"/>
      <sheetName val="실행내역서"/>
      <sheetName val="1.토공"/>
      <sheetName val="2.배수공"/>
      <sheetName val="3.구조물공"/>
      <sheetName val="4.포장공"/>
      <sheetName val="5부대공"/>
      <sheetName val="6사급자재대"/>
      <sheetName val="공통가설공"/>
      <sheetName val="BASIC1"/>
      <sheetName val="재료비"/>
      <sheetName val="노무비"/>
      <sheetName val="중기비"/>
      <sheetName val="Sheet4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설변공종별"/>
      <sheetName val="설변조정내역"/>
      <sheetName val="건기토원가"/>
      <sheetName val="집계표"/>
      <sheetName val="건축원가"/>
      <sheetName val="토목원가"/>
      <sheetName val="기계원가"/>
      <sheetName val="건축집계"/>
      <sheetName val="건축내역"/>
      <sheetName val="토목내역"/>
      <sheetName val="기계내역"/>
      <sheetName val="조경공사(총괄)"/>
      <sheetName val="내역"/>
      <sheetName val="수목일위"/>
      <sheetName val="기초일위"/>
      <sheetName val="시설일위"/>
      <sheetName val="지주목 및 비료산출기준"/>
      <sheetName val="지주목및비료산출"/>
      <sheetName val="시설물수량산출서"/>
      <sheetName val="노임"/>
      <sheetName val="PACKING LIST"/>
      <sheetName val="계정code"/>
      <sheetName val="DATE"/>
      <sheetName val="수량집계A"/>
      <sheetName val="철근집계A"/>
      <sheetName val="[수목일위.XLS][수목일위.XLS]el________5"/>
      <sheetName val="진주방향"/>
      <sheetName val="일위대가표"/>
      <sheetName val="물가시세"/>
      <sheetName val="한강운반비"/>
      <sheetName val="수목데이타"/>
      <sheetName val="1,2공구원가계산서"/>
      <sheetName val="2공구산출내역"/>
      <sheetName val="1공구산출내역서"/>
      <sheetName val="준검 내역서"/>
      <sheetName val="원가계산서"/>
      <sheetName val="건축2"/>
      <sheetName val="원가"/>
      <sheetName val="변경내역"/>
      <sheetName val="변수값"/>
      <sheetName val="중기상차"/>
      <sheetName val="AS복구"/>
      <sheetName val="중기터파기"/>
      <sheetName val="투찰"/>
      <sheetName val="원가서"/>
      <sheetName val="총괄내역서"/>
      <sheetName val="AS포장복구 "/>
      <sheetName val="일위대가 "/>
      <sheetName val="수량산출서"/>
      <sheetName val="문학간접"/>
      <sheetName val="간접"/>
      <sheetName val="내역서"/>
      <sheetName val="공구원가계산"/>
      <sheetName val="공사비산출내역"/>
      <sheetName val="실행(ALT1)"/>
      <sheetName val="1. 설계예산서"/>
      <sheetName val="2. 목차"/>
      <sheetName val="3.설계설명서"/>
      <sheetName val="4.시방서갑지"/>
      <sheetName val="5.시방서(일반시방서)"/>
      <sheetName val="6.시방서갑지(특기)"/>
      <sheetName val="7.예정공정표"/>
      <sheetName val="예정공정표"/>
      <sheetName val="8. 설계예산서"/>
      <sheetName val="16.설계서용지(갑)"/>
      <sheetName val="17. 내역서갑지"/>
      <sheetName val="공종별집계표"/>
      <sheetName val="내 역 서"/>
      <sheetName val="일 위 대 가 표"/>
      <sheetName val="일위대가표(자동제어반제작)"/>
      <sheetName val="수 량 산 출 서"/>
      <sheetName val="계통도갑지"/>
      <sheetName val="수량산출"/>
      <sheetName val="b_balju_cho"/>
      <sheetName val="연습"/>
      <sheetName val="견적"/>
      <sheetName val="기준액"/>
      <sheetName val="기초단가"/>
      <sheetName val="별표집계"/>
      <sheetName val="BOJUNGGM"/>
      <sheetName val="Total"/>
      <sheetName val="노무"/>
      <sheetName val="가설공사비"/>
      <sheetName val="도로구조공사비"/>
      <sheetName val="도로토공공사비"/>
      <sheetName val="여수토공사비"/>
      <sheetName val="실행(표지,갑,을)"/>
      <sheetName val="기계경비산출기준"/>
      <sheetName val="토공"/>
      <sheetName val="단가대비표"/>
      <sheetName val="1차증가원가계산"/>
      <sheetName val="금액"/>
      <sheetName val="nys"/>
      <sheetName val="조건"/>
      <sheetName val="경영"/>
      <sheetName val="98년"/>
      <sheetName val="실적"/>
      <sheetName val="16-1"/>
      <sheetName val="전차선로 물량표"/>
      <sheetName val="#REF"/>
      <sheetName val="자재"/>
      <sheetName val="공통(20-91)"/>
      <sheetName val="장비집계"/>
      <sheetName val="공사요율산출표"/>
      <sheetName val="일위목록"/>
      <sheetName val="기준비용"/>
      <sheetName val="6호기"/>
      <sheetName val="FB25JN"/>
      <sheetName val="단위단가"/>
      <sheetName val="직재"/>
      <sheetName val="재집"/>
      <sheetName val="결재판"/>
      <sheetName val="2000.11월설계내역"/>
      <sheetName val="골재집계"/>
      <sheetName val="-레미콘집계"/>
      <sheetName val="-몰탈콘크리트"/>
      <sheetName val="자갈,시멘트,모래산출"/>
      <sheetName val="-철근집계"/>
      <sheetName val="포장재료(1)"/>
      <sheetName val="-흄관집계"/>
      <sheetName val="계획금액"/>
      <sheetName val="자재단가조사표-수목"/>
      <sheetName val="중기조종사 단위단가"/>
      <sheetName val="관접합및부설"/>
      <sheetName val="단가"/>
      <sheetName val="제출내역 (2)"/>
      <sheetName val="계정"/>
      <sheetName val="관급자재"/>
      <sheetName val="폐기물"/>
      <sheetName val="계산서(곡선부)"/>
      <sheetName val="포장재료집계표"/>
      <sheetName val="COVER"/>
      <sheetName val="다공관8"/>
      <sheetName val="다공관12"/>
      <sheetName val="다공관20"/>
      <sheetName val="다공관22"/>
      <sheetName val="영구ANCHOR(1사면)"/>
      <sheetName val="영구ANCHOR(8-2사면)"/>
      <sheetName val="격자블럭공"/>
      <sheetName val="격자블럭호표"/>
      <sheetName val="기초자료"/>
      <sheetName val="장비손료"/>
      <sheetName val="기본단가표"/>
      <sheetName val="노임단가"/>
      <sheetName val="토공총괄표"/>
      <sheetName val="공사설명서"/>
      <sheetName val="요율"/>
      <sheetName val="갑지"/>
      <sheetName val="전기일위목록"/>
      <sheetName val="전기대가"/>
      <sheetName val="산출조서표지"/>
      <sheetName val="공량산출"/>
      <sheetName val="단가산출_목록"/>
      <sheetName val="수목표준대가"/>
      <sheetName val="공사개요"/>
      <sheetName val="가시설"/>
      <sheetName val="카렌스센터계량기설치공사"/>
      <sheetName val="설계서(본관)"/>
      <sheetName val="-치수표(곡선부)"/>
      <sheetName val="데리네이타현황"/>
      <sheetName val="자료"/>
      <sheetName val="버스운행안내"/>
      <sheetName val="근태계획서"/>
      <sheetName val="예방접종계획"/>
      <sheetName val="부대내역"/>
      <sheetName val="일위산출"/>
      <sheetName val="2003상반기노임기준"/>
      <sheetName val="을지"/>
      <sheetName val="시설물일위"/>
      <sheetName val="가설공사"/>
      <sheetName val="단가결정"/>
      <sheetName val="내역아"/>
      <sheetName val="울타리"/>
      <sheetName val="70%"/>
      <sheetName val="설명"/>
      <sheetName val="원가계산"/>
      <sheetName val="원가계산 (2)"/>
      <sheetName val="설계예산서"/>
      <sheetName val="예산내역서"/>
      <sheetName val="삭제금지단가"/>
      <sheetName val="제잡비계산"/>
      <sheetName val="2호맨홀공제수량"/>
      <sheetName val="값"/>
      <sheetName val="전익자재"/>
      <sheetName val="소비자가"/>
      <sheetName val="Sheet1 (2)"/>
      <sheetName val="용역비내역-진짜"/>
      <sheetName val="자판실행"/>
      <sheetName val="WORK"/>
      <sheetName val="참조 (2)"/>
      <sheetName val="대비표"/>
      <sheetName val="A-4"/>
      <sheetName val="실행대비"/>
      <sheetName val="세부내역"/>
      <sheetName val="금액내역서"/>
      <sheetName val="신청서"/>
      <sheetName val="수목단가"/>
      <sheetName val="시설수량표"/>
      <sheetName val="식재수량표"/>
      <sheetName val="자재단가"/>
      <sheetName val="도급기성"/>
      <sheetName val="코드"/>
      <sheetName val="콘크스"/>
      <sheetName val="산출기초"/>
      <sheetName val="건축-물가변동"/>
      <sheetName val="노임이"/>
      <sheetName val="Recovered_Sheet1"/>
      <sheetName val="수량계표"/>
      <sheetName val="건축"/>
      <sheetName val="기초입력 DATA"/>
      <sheetName val="단가산출서"/>
      <sheetName val="전체"/>
      <sheetName val="배수장토목공사비"/>
      <sheetName val="증감내역서"/>
      <sheetName val="갈현동"/>
      <sheetName val="내역서생태통로"/>
      <sheetName val="원가계산(생태통로)"/>
      <sheetName val="생태통로"/>
      <sheetName val="내역서(석산부지)"/>
      <sheetName val="원가계산(석산부지)"/>
      <sheetName val="석산부지녹화"/>
      <sheetName val="일위대가목록(식재)"/>
      <sheetName val="일위대가 (식재)"/>
      <sheetName val="자재단가(식재)"/>
      <sheetName val="노임단가(식재)"/>
      <sheetName val="LP-S"/>
      <sheetName val="식재"/>
      <sheetName val="시설물"/>
      <sheetName val="식재출력용"/>
      <sheetName val="유지관리"/>
      <sheetName val="입찰견적보고서"/>
      <sheetName val="인건비"/>
      <sheetName val="설계"/>
      <sheetName val="월간관리비"/>
      <sheetName val="산출근거"/>
      <sheetName val="재료단가"/>
      <sheetName val="임금단가"/>
      <sheetName val="장비목록표"/>
      <sheetName val="장비운전경비"/>
      <sheetName val="골조-APT 갑지"/>
      <sheetName val="토사(PE)"/>
      <sheetName val="기타 정보통신공사"/>
      <sheetName val="이름표지정"/>
      <sheetName val="표지 (2)"/>
      <sheetName val="지급자재"/>
      <sheetName val="기초코드"/>
      <sheetName val="집계(공통)"/>
      <sheetName val="집계(건축-총괄)"/>
      <sheetName val="집계(건축-공동주택)"/>
      <sheetName val="집계(건축-업무)"/>
      <sheetName val="집계(건축-지하)"/>
      <sheetName val="집계(건축-근생)"/>
      <sheetName val="내역(건축-공동주택)"/>
      <sheetName val="집계(기계-총괄)"/>
      <sheetName val="집계(기계-공동주택)"/>
      <sheetName val="집계(기계-업무)"/>
      <sheetName val="집계(기계-지하)"/>
      <sheetName val="집계(기계-근생)"/>
      <sheetName val="집계(기계-복리)"/>
      <sheetName val="집계(토목)"/>
      <sheetName val="표_재료"/>
      <sheetName val="가설건물"/>
      <sheetName val="iec"/>
      <sheetName val="ks"/>
      <sheetName val="DATA"/>
      <sheetName val="선로정수"/>
      <sheetName val="9811"/>
      <sheetName val="106C0300"/>
      <sheetName val="1공구원가계산"/>
      <sheetName val="1공구원가계산서"/>
      <sheetName val="골조시행"/>
      <sheetName val="입찰"/>
      <sheetName val="현경"/>
      <sheetName val="중기사용료산출근거"/>
      <sheetName val="단가산출2"/>
      <sheetName val="단가 및 재료비"/>
      <sheetName val="FOB발"/>
      <sheetName val="BID"/>
      <sheetName val="전등설비"/>
      <sheetName val="제경비적용기준"/>
      <sheetName val="공사자료입력"/>
      <sheetName val="적용공정"/>
      <sheetName val="시멘트"/>
      <sheetName val="입력"/>
      <sheetName val="안내"/>
      <sheetName val="기계경비"/>
      <sheetName val="팔당터널(1공구)"/>
      <sheetName val="30집계표"/>
      <sheetName val="경비"/>
      <sheetName val="구조물5월기성내역"/>
      <sheetName val="소요자재"/>
      <sheetName val="노무산출서"/>
      <sheetName val="01"/>
      <sheetName val="목차"/>
      <sheetName val="노임,재료비"/>
      <sheetName val="제경비율"/>
      <sheetName val="포장수량단위"/>
      <sheetName val="설명서 "/>
      <sheetName val="토목"/>
      <sheetName val="CTEMCOST"/>
      <sheetName val="총계"/>
      <sheetName val="3.바닥판  "/>
      <sheetName val="총괄"/>
      <sheetName val="결재갑지"/>
      <sheetName val="Sheet5"/>
      <sheetName val="참조(2)"/>
      <sheetName val="참조"/>
      <sheetName val="부대tu"/>
      <sheetName val="건축내역서"/>
      <sheetName val="재료값"/>
      <sheetName val="해외(원화)"/>
      <sheetName val="물가대비표"/>
      <sheetName val="6-1. 관개량조서"/>
      <sheetName val="경비_원본"/>
      <sheetName val="CON'C"/>
      <sheetName val="자재단가2007.10"/>
      <sheetName val="자재단가2008.4"/>
      <sheetName val="터파기및재료"/>
      <sheetName val="공통가설"/>
      <sheetName val="설계총괄표"/>
      <sheetName val="아파트 내역"/>
      <sheetName val="을-ATYPE"/>
      <sheetName val="인건비 "/>
      <sheetName val="11-2.아파트내역"/>
      <sheetName val="조명시설"/>
      <sheetName val="화장실"/>
      <sheetName val="참고사항"/>
      <sheetName val="근로자자료입력"/>
      <sheetName val="2000년1차"/>
      <sheetName val="2000전체분"/>
      <sheetName val="L_RPTB02_01"/>
      <sheetName val="플랜트 설치"/>
      <sheetName val="설계예산"/>
      <sheetName val="정부노임단가"/>
      <sheetName val="토목검측서"/>
      <sheetName val="가감수량"/>
      <sheetName val="맨홀수량산출"/>
      <sheetName val="1안"/>
      <sheetName val="기초1"/>
      <sheetName val="토목내역서"/>
      <sheetName val="적용기준"/>
      <sheetName val="내역(APT)"/>
      <sheetName val="고유코드_설계"/>
      <sheetName val="원가data"/>
      <sheetName val="CC16-내역서"/>
      <sheetName val="판매시설"/>
      <sheetName val="노임단가표"/>
      <sheetName val="우수받이"/>
      <sheetName val="INDEX  LIST"/>
      <sheetName val="00노임기준"/>
      <sheetName val="빙장비사양"/>
      <sheetName val="장비사양"/>
      <sheetName val="투자비"/>
      <sheetName val="조성원가DATA"/>
      <sheetName val="사업비"/>
      <sheetName val="산출근거(복구)"/>
      <sheetName val="단가표"/>
      <sheetName val="화성태안9공구내역(실행)"/>
      <sheetName val="도급"/>
      <sheetName val="기계경비(시간당)"/>
      <sheetName val="램머"/>
      <sheetName val="장비경비"/>
      <sheetName val="설계내역서"/>
      <sheetName val="인제내역"/>
      <sheetName val="타공종이기"/>
      <sheetName val="표  지"/>
      <sheetName val="케이블트레이"/>
      <sheetName val="총괄표"/>
      <sheetName val="화설내"/>
      <sheetName val="시중노임단가"/>
      <sheetName val="자재 집계표"/>
      <sheetName val="설계내역"/>
      <sheetName val="주공 갑지"/>
      <sheetName val="산출내역서"/>
      <sheetName val="조경집계표"/>
      <sheetName val="7.원가계산서(품셈)"/>
      <sheetName val="조경내역서"/>
      <sheetName val="수량집계"/>
      <sheetName val="일위대가목록"/>
      <sheetName val="일위대가1"/>
      <sheetName val="단가산출근거 목록표"/>
      <sheetName val="단 가 산 출 근 거"/>
      <sheetName val="중기 목록표"/>
      <sheetName val="시간당 중기사용료"/>
      <sheetName val="노임단가목록"/>
      <sheetName val="환율및 기초자료"/>
      <sheetName val="순공사비내역서"/>
      <sheetName val="일위대가목록표"/>
      <sheetName val="기계경비목록"/>
      <sheetName val="단가산출목록"/>
      <sheetName val="노무비단가"/>
      <sheetName val="단목객토단위수량산출"/>
      <sheetName val="단위수량산출"/>
      <sheetName val="맹암거,초지"/>
      <sheetName val="대상수목수량"/>
      <sheetName val="전기"/>
      <sheetName val="년도별노임표"/>
      <sheetName val="중기목록표"/>
      <sheetName val="평가데이터"/>
      <sheetName val="연결임시"/>
      <sheetName val="평당공사비산정"/>
      <sheetName val="산출내역서집계표"/>
      <sheetName val="원가계산하도"/>
      <sheetName val="세금자료"/>
      <sheetName val="말뚝지지력산정"/>
      <sheetName val="적점"/>
      <sheetName val="토목(대안)"/>
      <sheetName val="토공수량"/>
      <sheetName val="상부공철근집계(ABC)"/>
      <sheetName val="재료"/>
      <sheetName val="소방"/>
      <sheetName val="JOIN(2span)"/>
      <sheetName val="바닥판"/>
      <sheetName val="주빔의 설계"/>
      <sheetName val="철근량산정및사용성검토"/>
      <sheetName val="입력DATA"/>
      <sheetName val="아파트"/>
      <sheetName val="BSD (2)"/>
      <sheetName val="EARTH"/>
      <sheetName val="산출(부하간선)"/>
      <sheetName val="에너지동"/>
      <sheetName val="심사물량"/>
      <sheetName val="심사계산"/>
      <sheetName val="총괄변경내역서"/>
      <sheetName val="시공"/>
      <sheetName val="내역갑지"/>
      <sheetName val="수정"/>
      <sheetName val="공사비증감"/>
      <sheetName val="견적서"/>
      <sheetName val="정화조방수미장"/>
      <sheetName val="조내역"/>
      <sheetName val="매채조회"/>
      <sheetName val="실행,원가 최종예상"/>
      <sheetName val="날개벽"/>
      <sheetName val="암거단위"/>
      <sheetName val="횡 연장"/>
      <sheetName val="7월11일"/>
      <sheetName val="7.계측제어"/>
      <sheetName val="6.동력"/>
      <sheetName val="13.방송공사"/>
      <sheetName val="15.소방공사"/>
      <sheetName val="12.옥외 방송공사"/>
      <sheetName val="8.옥외 보안등공사"/>
      <sheetName val="9.전등공사"/>
      <sheetName val="4.전력간선공사"/>
      <sheetName val="1.전력인입"/>
      <sheetName val="10.전열 공사"/>
      <sheetName val="11.전화공사"/>
      <sheetName val="5.CABLE TRAY"/>
      <sheetName val="3.피뢰공사"/>
      <sheetName val="14.TV공사"/>
      <sheetName val="기기리스트"/>
      <sheetName val="1.2 동력(철거)"/>
      <sheetName val="1.접지공사"/>
      <sheetName val="설계명세서"/>
      <sheetName val="공정표"/>
      <sheetName val="LOOKUP"/>
      <sheetName val="48일위(기존)"/>
      <sheetName val="수목_바_주목_"/>
      <sheetName val="날개벽(시점좌측)"/>
      <sheetName val="99노임기준"/>
      <sheetName val="토공사(흙막이)"/>
      <sheetName val="개별직종노임단가(2005.1)"/>
      <sheetName val="상호참고자료"/>
      <sheetName val="발주처자료입력"/>
      <sheetName val="회사기본자료"/>
      <sheetName val="하자보증자료"/>
      <sheetName val="기술자관련자료"/>
      <sheetName val="골조물량"/>
      <sheetName val="실행_ALT1_"/>
      <sheetName val="내역서1999.8최종"/>
      <sheetName val="단가일람"/>
      <sheetName val="자재일람"/>
      <sheetName val="조경일람"/>
      <sheetName val="1단계"/>
      <sheetName val="말고개터널조명전압강하"/>
      <sheetName val="협력업체"/>
      <sheetName val="토목주소"/>
      <sheetName val="프랜트면허"/>
      <sheetName val="직접경비호표"/>
      <sheetName val="AL공사(원)"/>
      <sheetName val="지수"/>
      <sheetName val="COST"/>
      <sheetName val="내역(전체_금차)"/>
      <sheetName val="제경비_전체"/>
      <sheetName val="제경비_금차준공분"/>
      <sheetName val="1-4-2.관(약)"/>
      <sheetName val="Tool"/>
      <sheetName val="일위"/>
      <sheetName val="그림"/>
      <sheetName val="1-최종안"/>
      <sheetName val="사업분석-분양가결정"/>
      <sheetName val="입찰안"/>
      <sheetName val="현장관리비 산출내역"/>
      <sheetName val="2공구하도급내역서"/>
      <sheetName val="안양동교 1안"/>
      <sheetName val="여과지동"/>
      <sheetName val="개요"/>
      <sheetName val="인원"/>
      <sheetName val="해평견적"/>
      <sheetName val="전기공사"/>
      <sheetName val="구체"/>
      <sheetName val="좌측날개벽"/>
      <sheetName val="우측날개벽"/>
      <sheetName val="맨홀수량집계"/>
      <sheetName val="램프"/>
      <sheetName val="건설기계"/>
      <sheetName val="사급자재"/>
      <sheetName val="장비투입계획"/>
      <sheetName val="직원투입계획"/>
      <sheetName val="배수장공사비명세서"/>
      <sheetName val="구간산출"/>
      <sheetName val="입력란"/>
      <sheetName val="97노임단가"/>
      <sheetName val="일위대가목록표(1)"/>
      <sheetName val="일위대가표(1)"/>
      <sheetName val="일위대가목록표(2)"/>
      <sheetName val="일위대가표(2)"/>
      <sheetName val="자재단가조사서"/>
      <sheetName val="노임단가조사서"/>
      <sheetName val="산근1"/>
      <sheetName val="산근2"/>
      <sheetName val="산근3"/>
      <sheetName val="산근4"/>
      <sheetName val="산근5"/>
      <sheetName val="산근6"/>
      <sheetName val="산근7"/>
      <sheetName val="산근8"/>
      <sheetName val="산근9"/>
      <sheetName val="계측제어설비"/>
      <sheetName val="중기집계"/>
      <sheetName val="TABLE DB"/>
      <sheetName val="쌍용 data base"/>
      <sheetName val="지질조사"/>
      <sheetName val="매립"/>
      <sheetName val="Sheet15"/>
      <sheetName val="철콘"/>
      <sheetName val="본사공가현황"/>
      <sheetName val="21301동"/>
      <sheetName val="pier(각형)"/>
      <sheetName val="단가(자재)"/>
      <sheetName val="단가(노임)"/>
      <sheetName val="기초목록"/>
      <sheetName val="약품설비"/>
      <sheetName val="월별수입"/>
      <sheetName val="코드표"/>
      <sheetName val="부표총괄"/>
      <sheetName val="9509"/>
      <sheetName val="★도급내역(2공구)"/>
      <sheetName val="밸브설치"/>
      <sheetName val="산근10"/>
      <sheetName val="산근11"/>
      <sheetName val="산근12"/>
      <sheetName val="산근13"/>
      <sheetName val="견적율"/>
      <sheetName val="실행"/>
      <sheetName val="총괄내역서(설계)"/>
      <sheetName val="신표지1"/>
      <sheetName val="배수내역"/>
      <sheetName val="공사진행"/>
      <sheetName val="예가표"/>
      <sheetName val="구조물공"/>
      <sheetName val="부대공"/>
      <sheetName val="배수공"/>
      <sheetName val="포장공"/>
      <sheetName val="단가목록"/>
      <sheetName val="자재목록"/>
      <sheetName val="DATA1"/>
      <sheetName val="[수목일위.XLS][수목일위.XLS]el________2"/>
      <sheetName val="[수목일위.XLS][수목일위.XLS]el________3"/>
      <sheetName val="[수목일위.XLS][수목일위.XLS]el\설계서\수목일위"/>
      <sheetName val="[수목일위.XLS][수목일위.XLS][수목일위.XLS]e"/>
      <sheetName val="[수목일위.XLS][수목일위.XLS]el______376"/>
      <sheetName val="[수목일위.XLS][수목일위.XLS]el______377"/>
      <sheetName val="[수목일위.XLS][수목일위.XLS]el______370"/>
      <sheetName val="[수목일위.XLS][수목일위.XLS]el______371"/>
      <sheetName val="[수목일위.XLS][수목일위.XLS]el_______20"/>
      <sheetName val="[수목일위.XLS][수목일위.XLS]el_______21"/>
      <sheetName val="[수목일위.XLS][수목일위.XLS]el_______14"/>
      <sheetName val="[수목일위.XLS][수목일위.XLS]el_______15"/>
      <sheetName val="[수목일위.XLS][수목일위.XLS]el_______12"/>
      <sheetName val="[수목일위.XLS][수목일위.XLS]el_______13"/>
      <sheetName val="[수목일위.XLS][수목일위.XLS]el_______10"/>
      <sheetName val="[수목일위.XLS][수목일위.XLS]el_______11"/>
      <sheetName val="[수목일위.XLS][수목일위.XLS]el________6"/>
      <sheetName val="[수목일위.XLS][수목일위.XLS]el________7"/>
      <sheetName val="[수목일위.XLS][수목일위.XLS]el________8"/>
      <sheetName val="[수목일위.XLS][수목일위.XLS]el________9"/>
      <sheetName val="[수목일위.XLS][수목일위.XLS]el_______16"/>
      <sheetName val="[수목일위.XLS][수목일위.XLS]el_______17"/>
      <sheetName val="[수목일위.XLS][수목일위.XLS]el_______18"/>
      <sheetName val="[수목일위.XLS][수목일위.XLS]el_______19"/>
      <sheetName val="[수목일위.XLS][수목일위.XLS]el_______24"/>
      <sheetName val="[수목일위.XLS][수목일위.XLS]el_______25"/>
      <sheetName val="[수목일위.XLS][수목일위.XLS]el_______22"/>
      <sheetName val="[수목일위.XLS][수목일위.XLS]el_______23"/>
      <sheetName val="[수목일위.XLS][수목일위.XLS]el_______26"/>
      <sheetName val="[수목일위.XLS][수목일위.XLS]el_______27"/>
      <sheetName val="[수목일위.XLS][수목일위.XLS]el_______32"/>
      <sheetName val="[수목일위.XLS][수목일위.XLS]el_______33"/>
      <sheetName val="[수목일위.XLS][수목일위.XLS]el_______28"/>
      <sheetName val="[수목일위.XLS][수목일위.XLS]el_______29"/>
      <sheetName val="[수목일위.XLS][수목일위.XLS]el_______30"/>
      <sheetName val="[수목일위.XLS][수목일위.XLS]el_______31"/>
      <sheetName val="[수목일위.XLS][수목일위.XLS]el_______34"/>
      <sheetName val="[수목일위.XLS][수목일위.XLS]el_______35"/>
      <sheetName val="[수목일위.XLS][수목일위.XLS]el_______40"/>
      <sheetName val="[수목일위.XLS][수목일위.XLS]el_______41"/>
      <sheetName val="[수목일위.XLS][수목일위.XLS]el_______36"/>
      <sheetName val="[수목일위.XLS][수목일위.XLS]el_______37"/>
      <sheetName val="[수목일위.XLS][수목일위.XLS]el_______38"/>
      <sheetName val="[수목일위.XLS][수목일위.XLS]el_______39"/>
      <sheetName val="[수목일위.XLS][수목일위.XLS]el_______68"/>
      <sheetName val="[수목일위.XLS][수목일위.XLS]el_______69"/>
      <sheetName val="[수목일위.XLS][수목일위.XLS]el_______62"/>
      <sheetName val="[수목일위.XLS][수목일위.XLS]el_______63"/>
      <sheetName val="[수목일위.XLS][수목일위.XLS]el_______42"/>
      <sheetName val="[수목일위.XLS][수목일위.XLS]el_______43"/>
      <sheetName val="[수목일위.XLS][수목일위.XLS]el_______48"/>
      <sheetName val="[수목일위.XLS][수목일위.XLS]el_______49"/>
      <sheetName val="[수목일위.XLS][수목일위.XLS]el_______44"/>
      <sheetName val="[수목일위.XLS][수목일위.XLS]el_______45"/>
      <sheetName val="[수목일위.XLS][수목일위.XLS]el_______50"/>
      <sheetName val="[수목일위.XLS][수목일위.XLS]el_______51"/>
      <sheetName val="[수목일위.XLS][수목일위.XLS]el_______46"/>
      <sheetName val="[수목일위.XLS][수목일위.XLS]el_______47"/>
      <sheetName val="[수목일위.XLS][수목일위.XLS]el_______60"/>
      <sheetName val="[수목일위.XLS][수목일위.XLS]el_______61"/>
      <sheetName val="[수목일위.XLS][수목일위.XLS]el_______52"/>
      <sheetName val="[수목일위.XLS][수목일위.XLS]el_______53"/>
      <sheetName val="[수목일위.XLS][수목일위.XLS]el_______56"/>
      <sheetName val="[수목일위.XLS][수목일위.XLS]el_______57"/>
      <sheetName val="[수목일위.XLS][수목일위.XLS]el_______54"/>
      <sheetName val="[수목일위.XLS][수목일위.XLS]el_______55"/>
      <sheetName val="[수목일위.XLS][수목일위.XLS]el_______58"/>
      <sheetName val="[수목일위.XLS][수목일위.XLS]el_______59"/>
      <sheetName val="[수목일위.XLS][수목일위.XLS]el__계__수__2"/>
      <sheetName val="[수목일위.XLS][수목일위.XLS]el__계__수__3"/>
      <sheetName val="[수목일위.XLS][수목일위.XLS]el_______64"/>
      <sheetName val="[수목일위.XLS][수목일위.XLS]el_______65"/>
      <sheetName val="[수목일위.XLS][수목일위.XLS]el_______66"/>
      <sheetName val="[수목일위.XLS][수목일위.XLS]el_______67"/>
      <sheetName val="[수목일위.XLS][수목일위.XLS]el_______74"/>
      <sheetName val="[수목일위.XLS][수목일위.XLS]el_______75"/>
      <sheetName val="[수목일위.XLS][수목일위.XLS]el_______72"/>
      <sheetName val="[수목일위.XLS][수목일위.XLS]el_______73"/>
      <sheetName val="[수목일위.XLS][수목일위.XLS]el_______70"/>
      <sheetName val="[수목일위.XLS][수목일위.XLS]el_______71"/>
      <sheetName val="[수목일위.XLS][수목일위.XLS]el_______78"/>
      <sheetName val="[수목일위.XLS][수목일위.XLS]el_______79"/>
      <sheetName val="[수목일위.XLS][수목일위.XLS]el_______76"/>
      <sheetName val="[수목일위.XLS][수목일위.XLS]el_______77"/>
      <sheetName val="[수목일위.XLS][수목일위.XLS]el_______82"/>
      <sheetName val="[수목일위.XLS][수목일위.XLS]el_______83"/>
      <sheetName val="[수목일위.XLS][수목일위.XLS]el_______80"/>
      <sheetName val="[수목일위.XLS][수목일위.XLS]el_______81"/>
      <sheetName val="[수목일위.XLS][수목일위.XLS]el_______84"/>
      <sheetName val="[수목일위.XLS][수목일위.XLS]el_______85"/>
      <sheetName val="[수목일위.XLS][수목일위.XLS]el_______88"/>
      <sheetName val="[수목일위.XLS][수목일위.XLS]el_______89"/>
      <sheetName val="[수목일위.XLS][수목일위.XLS]el_______86"/>
      <sheetName val="[수목일위.XLS][수목일위.XLS]el_______87"/>
      <sheetName val="[수목일위.XLS][수목일위.XLS]el_______94"/>
      <sheetName val="[수목일위.XLS][수목일위.XLS]el_______95"/>
      <sheetName val="[수목일위.XLS][수목일위.XLS]el_______90"/>
      <sheetName val="[수목일위.XLS][수목일위.XLS]el_______91"/>
      <sheetName val="[수목일위.XLS][수목일위.XLS]el_______92"/>
      <sheetName val="[수목일위.XLS][수목일위.XLS]el_______93"/>
      <sheetName val="[수목일위.XLS][수목일위.XLS]el______100"/>
      <sheetName val="[수목일위.XLS][수목일위.XLS]el______101"/>
      <sheetName val="[수목일위.XLS][수목일위.XLS]el_______98"/>
      <sheetName val="[수목일위.XLS][수목일위.XLS]el_______99"/>
      <sheetName val="[수목일위.XLS][수목일위.XLS]el_______96"/>
      <sheetName val="[수목일위.XLS][수목일위.XLS]el_______97"/>
      <sheetName val="[수목일위.XLS][수목일위.XLS]el______124"/>
      <sheetName val="[수목일위.XLS][수목일위.XLS]el______125"/>
      <sheetName val="[수목일위.XLS][수목일위.XLS]el______112"/>
      <sheetName val="[수목일위.XLS][수목일위.XLS]el______113"/>
      <sheetName val="[수목일위.XLS][수목일위.XLS]el______110"/>
      <sheetName val="[수목일위.XLS][수목일위.XLS]el______111"/>
      <sheetName val="[수목일위.XLS][수목일위.XLS]el______102"/>
      <sheetName val="[수목일위.XLS][수목일위.XLS]el______103"/>
      <sheetName val="[수목일위.XLS][수목일위.XLS]el______104"/>
      <sheetName val="[수목일위.XLS][수목일위.XLS]el______105"/>
      <sheetName val="[수목일위.XLS][수목일위.XLS]el______108"/>
      <sheetName val="[수목일위.XLS][수목일위.XLS]el______109"/>
      <sheetName val="[수목일위.XLS][수목일위.XLS]el______106"/>
      <sheetName val="[수목일위.XLS][수목일위.XLS]el______107"/>
      <sheetName val="[수목일위.XLS][수목일위.XLS]el______116"/>
      <sheetName val="[수목일위.XLS][수목일위.XLS]el______117"/>
      <sheetName val="[수목일위.XLS][수목일위.XLS]el______114"/>
      <sheetName val="[수목일위.XLS][수목일위.XLS]el______115"/>
      <sheetName val="[수목일위.XLS][수목일위.XLS]el______120"/>
      <sheetName val="[수목일위.XLS][수목일위.XLS]el______121"/>
      <sheetName val="[수목일위.XLS][수목일위.XLS]el______118"/>
      <sheetName val="[수목일위.XLS][수목일위.XLS]el______119"/>
      <sheetName val="[수목일위.XLS][수목일위.XLS]el______122"/>
      <sheetName val="[수목일위.XLS][수목일위.XLS]el______123"/>
      <sheetName val="[수목일위.XLS][수목일위.XLS]el______126"/>
      <sheetName val="[수목일위.XLS][수목일위.XLS]el______127"/>
      <sheetName val="[수목일위.XLS][수목일위.XLS]el______128"/>
      <sheetName val="[수목일위.XLS][수목일위.XLS]el______129"/>
      <sheetName val="[수목일위.XLS][수목일위.XLS]el______130"/>
      <sheetName val="[수목일위.XLS][수목일위.XLS]el______131"/>
      <sheetName val="[수목일위.XLS][수목일위.XLS]el______134"/>
      <sheetName val="[수목일위.XLS][수목일위.XLS]el______135"/>
      <sheetName val="[수목일위.XLS][수목일위.XLS]el______132"/>
      <sheetName val="[수목일위.XLS][수목일위.XLS]el______133"/>
      <sheetName val="[수목일위.XLS][수목일위.XLS]el______136"/>
      <sheetName val="[수목일위.XLS][수목일위.XLS]el______137"/>
      <sheetName val="[수목일위.XLS][수목일위.XLS]el______144"/>
      <sheetName val="[수목일위.XLS][수목일위.XLS]el______145"/>
      <sheetName val="[수목일위.XLS][수목일위.XLS]el______142"/>
      <sheetName val="[수목일위.XLS][수목일위.XLS]el______143"/>
      <sheetName val="[수목일위.XLS][수목일위.XLS]el______138"/>
      <sheetName val="[수목일위.XLS][수목일위.XLS]el______139"/>
      <sheetName val="[수목일위.XLS][수목일위.XLS]el______140"/>
      <sheetName val="[수목일위.XLS][수목일위.XLS]el______141"/>
      <sheetName val="[수목일위.XLS][수목일위.XLS]el______148"/>
      <sheetName val="[수목일위.XLS][수목일위.XLS]el______149"/>
      <sheetName val="[수목일위.XLS][수목일위.XLS]el______150"/>
      <sheetName val="[수목일위.XLS][수목일위.XLS]el______151"/>
      <sheetName val="[수목일위.XLS][수목일위.XLS]el______146"/>
      <sheetName val="[수목일위.XLS][수목일위.XLS]el______147"/>
      <sheetName val="[수목일위.XLS][수목일위.XLS]el______152"/>
      <sheetName val="[수목일위.XLS][수목일위.XLS]el______153"/>
      <sheetName val="[수목일위.XLS][수목일위.XLS]el______154"/>
      <sheetName val="[수목일위.XLS][수목일위.XLS]el______155"/>
      <sheetName val="[수목일위.XLS][수목일위.XLS]el______162"/>
      <sheetName val="[수목일위.XLS][수목일위.XLS]el______163"/>
      <sheetName val="[수목일위.XLS][수목일위.XLS]el______158"/>
      <sheetName val="[수목일위.XLS][수목일위.XLS]el______159"/>
      <sheetName val="[수목일위.XLS][수목일위.XLS]el______156"/>
      <sheetName val="[수목일위.XLS][수목일위.XLS]el______157"/>
      <sheetName val="[수목일위.XLS][수목일위.XLS]el______160"/>
      <sheetName val="[수목일위.XLS][수목일위.XLS]el______161"/>
      <sheetName val="[수목일위.XLS][수목일위.XLS]el______164"/>
      <sheetName val="[수목일위.XLS][수목일위.XLS]el______165"/>
      <sheetName val="[수목일위.XLS][수목일위.XLS]el______166"/>
      <sheetName val="[수목일위.XLS][수목일위.XLS]el______167"/>
      <sheetName val="[수목일위.XLS][수목일위.XLS]el______182"/>
      <sheetName val="[수목일위.XLS][수목일위.XLS]el______183"/>
      <sheetName val="[수목일위.XLS][수목일위.XLS]el______180"/>
      <sheetName val="[수목일위.XLS][수목일위.XLS]el______181"/>
      <sheetName val="[수목일위.XLS][수목일위.XLS]el______168"/>
      <sheetName val="[수목일위.XLS][수목일위.XLS]el______169"/>
      <sheetName val="[수목일위.XLS][수목일위.XLS]el______170"/>
      <sheetName val="[수목일위.XLS][수목일위.XLS]el______171"/>
      <sheetName val="[수목일위.XLS][수목일위.XLS]el______172"/>
      <sheetName val="[수목일위.XLS][수목일위.XLS]el______173"/>
      <sheetName val="[수목일위.XLS][수목일위.XLS]el______174"/>
      <sheetName val="[수목일위.XLS][수목일위.XLS]el______175"/>
      <sheetName val="[수목일위.XLS][수목일위.XLS]el______176"/>
      <sheetName val="[수목일위.XLS][수목일위.XLS]el______177"/>
      <sheetName val="[수목일위.XLS][수목일위.XLS]el______178"/>
      <sheetName val="[수목일위.XLS][수목일위.XLS]el______179"/>
      <sheetName val="[수목일위.XLS][수목일위.XLS]el______184"/>
      <sheetName val="[수목일위.XLS][수목일위.XLS]el______185"/>
      <sheetName val="[수목일위.XLS][수목일위.XLS]el______186"/>
      <sheetName val="[수목일위.XLS][수목일위.XLS]el______187"/>
      <sheetName val="[수목일위.XLS][수목일위.XLS]el______188"/>
      <sheetName val="[수목일위.XLS][수목일위.XLS]el______189"/>
      <sheetName val="[수목일위.XLS][수목일위.XLS]el______190"/>
      <sheetName val="[수목일위.XLS][수목일위.XLS]el______191"/>
      <sheetName val="[수목일위.XLS][수목일위.XLS]el______192"/>
      <sheetName val="[수목일위.XLS][수목일위.XLS]el______193"/>
      <sheetName val="[수목일위.XLS][수목일위.XLS]el______194"/>
      <sheetName val="[수목일위.XLS][수목일위.XLS]el______195"/>
      <sheetName val="[수목일위.XLS][수목일위.XLS]el______196"/>
      <sheetName val="[수목일위.XLS][수목일위.XLS]el______197"/>
      <sheetName val="[수목일위.XLS][수목일위.XLS]el______198"/>
      <sheetName val="[수목일위.XLS][수목일위.XLS]el______199"/>
      <sheetName val="[수목일위.XLS][수목일위.XLS]el______200"/>
      <sheetName val="[수목일위.XLS][수목일위.XLS]el______201"/>
      <sheetName val="[수목일위.XLS][수목일위.XLS]el______202"/>
      <sheetName val="[수목일위.XLS][수목일위.XLS]el______203"/>
      <sheetName val="[수목일위.XLS][수목일위.XLS]el______206"/>
      <sheetName val="[수목일위.XLS][수목일위.XLS]el______207"/>
      <sheetName val="[수목일위.XLS][수목일위.XLS]el______204"/>
      <sheetName val="[수목일위.XLS][수목일위.XLS]el______205"/>
      <sheetName val="[수목일위.XLS][수목일위.XLS]el______208"/>
      <sheetName val="[수목일위.XLS][수목일위.XLS]el______209"/>
      <sheetName val="[수목일위.XLS][수목일위.XLS]el______210"/>
      <sheetName val="[수목일위.XLS][수목일위.XLS]el______211"/>
      <sheetName val="[수목일위.XLS][수목일위.XLS]el______214"/>
      <sheetName val="[수목일위.XLS][수목일위.XLS]el______215"/>
      <sheetName val="[수목일위.XLS][수목일위.XLS]el______212"/>
      <sheetName val="[수목일위.XLS][수목일위.XLS]el______213"/>
      <sheetName val="[수목일위.XLS][수목일위.XLS]el_____수목_2"/>
      <sheetName val="[수목일위.XLS][수목일위.XLS]el_____수목_3"/>
      <sheetName val="[수목일위.XLS][수목일위.XLS]el______216"/>
      <sheetName val="[수목일위.XLS][수목일위.XLS]el______217"/>
      <sheetName val="[수목일위.XLS][수목일위.XLS]el______218"/>
      <sheetName val="[수목일위.XLS][수목일위.XLS]el______219"/>
      <sheetName val="[수목일위.XLS][수목일위.XLS]el______220"/>
      <sheetName val="[수목일위.XLS][수목일위.XLS]el______221"/>
      <sheetName val="[수목일위.XLS][수목일위.XLS]el______222"/>
      <sheetName val="[수목일위.XLS][수목일위.XLS]el______223"/>
      <sheetName val="[수목일위.XLS][수목일위.XLS]el______230"/>
      <sheetName val="[수목일위.XLS][수목일위.XLS]el______231"/>
      <sheetName val="[수목일위.XLS][수목일위.XLS]el______228"/>
      <sheetName val="[수목일위.XLS][수목일위.XLS]el______229"/>
      <sheetName val="[수목일위.XLS][수목일위.XLS]el______226"/>
      <sheetName val="[수목일위.XLS][수목일위.XLS]el______227"/>
      <sheetName val="[수목일위.XLS][수목일위.XLS]el______224"/>
      <sheetName val="[수목일위.XLS][수목일위.XLS]el______225"/>
      <sheetName val="[수목일위.XLS][수목일위.XLS]el______234"/>
      <sheetName val="[수목일위.XLS][수목일위.XLS]el______235"/>
      <sheetName val="[수목일위.XLS][수목일위.XLS]el______232"/>
      <sheetName val="[수목일위.XLS][수목일위.XLS]el______233"/>
      <sheetName val="[수목일위.XLS][수목일위.XLS]el______236"/>
      <sheetName val="[수목일위.XLS][수목일위.XLS]el______237"/>
      <sheetName val="[수목일위.XLS][수목일위.XLS]el______238"/>
      <sheetName val="[수목일위.XLS][수목일위.XLS]el______239"/>
      <sheetName val="[수목일위.XLS][수목일위.XLS]el__계서_수목_2"/>
      <sheetName val="[수목일위.XLS][수목일위.XLS]el__계서_수목_3"/>
      <sheetName val="[수목일위.XLS][수목일위.XLS]el______242"/>
      <sheetName val="[수목일위.XLS][수목일위.XLS]el______243"/>
      <sheetName val="[수목일위.XLS][수목일위.XLS]el______240"/>
      <sheetName val="[수목일위.XLS][수목일위.XLS]el______241"/>
      <sheetName val="[수목일위.XLS][수목일위.XLS]el______246"/>
      <sheetName val="[수목일위.XLS][수목일위.XLS]el______247"/>
      <sheetName val="[수목일위.XLS][수목일위.XLS]el______244"/>
      <sheetName val="[수목일위.XLS][수목일위.XLS]el______245"/>
      <sheetName val="[수목일위.XLS][수목일위.XLS]el______252"/>
      <sheetName val="[수목일위.XLS][수목일위.XLS]el______253"/>
      <sheetName val="[수목일위.XLS][수목일위.XLS]el______250"/>
      <sheetName val="[수목일위.XLS][수목일위.XLS]el______251"/>
      <sheetName val="[수목일위.XLS][수목일위.XLS]el______248"/>
      <sheetName val="[수목일위.XLS][수목일위.XLS]el______249"/>
      <sheetName val="[수목일위.XLS][수목일위.XLS]el______256"/>
      <sheetName val="[수목일위.XLS][수목일위.XLS]el______257"/>
      <sheetName val="[수목일위.XLS][수목일위.XLS]el______254"/>
      <sheetName val="[수목일위.XLS][수목일위.XLS]el______255"/>
      <sheetName val="[수목일위.XLS][수목일위.XLS]el_설___수__4"/>
      <sheetName val="[수목일위.XLS][수목일위.XLS]el_설___수__5"/>
      <sheetName val="[수목일위.XLS][수목일위.XLS]el_설___수__2"/>
      <sheetName val="[수목일위.XLS][수목일위.XLS]el_설___수__3"/>
      <sheetName val="[수목일위.XLS][수목일위.XLS]el_설___수__8"/>
      <sheetName val="[수목일위.XLS][수목일위.XLS]el_설___수__9"/>
      <sheetName val="[수목일위.XLS][수목일위.XLS]el_설___수__6"/>
      <sheetName val="[수목일위.XLS][수목일위.XLS]el_설___수__7"/>
      <sheetName val="[수목일위.XLS][수목일위.XLS]el______258"/>
      <sheetName val="[수목일위.XLS][수목일위.XLS]el______259"/>
      <sheetName val="[수목일위.XLS][수목일위.XLS]el______260"/>
      <sheetName val="[수목일위.XLS][수목일위.XLS]el______261"/>
      <sheetName val="[수목일위.XLS][수목일위.XLS]el______264"/>
      <sheetName val="[수목일위.XLS][수목일위.XLS]el______265"/>
      <sheetName val="[수목일위.XLS][수목일위.XLS]el______262"/>
      <sheetName val="[수목일위.XLS][수목일위.XLS]el______263"/>
      <sheetName val="[수목일위.XLS][수목일위.XLS]el______268"/>
      <sheetName val="[수목일위.XLS][수목일위.XLS]el______269"/>
      <sheetName val="[수목일위.XLS][수목일위.XLS]el______266"/>
      <sheetName val="[수목일위.XLS][수목일위.XLS]el______267"/>
      <sheetName val="[수목일위.XLS][수목일위.XLS]el______272"/>
      <sheetName val="[수목일위.XLS][수목일위.XLS]el______273"/>
      <sheetName val="[수목일위.XLS][수목일위.XLS]el______270"/>
      <sheetName val="[수목일위.XLS][수목일위.XLS]el______271"/>
      <sheetName val="[수목일위.XLS][수목일위.XLS]el______274"/>
      <sheetName val="[수목일위.XLS][수목일위.XLS]el______275"/>
      <sheetName val="[수목일위.XLS][수목일위.XLS]el______276"/>
      <sheetName val="[수목일위.XLS][수목일위.XLS]el______277"/>
      <sheetName val="[수목일위.XLS][수목일위.XLS]el______278"/>
      <sheetName val="[수목일위.XLS][수목일위.XLS]el______279"/>
      <sheetName val="[수목일위.XLS][수목일위.XLS]el______280"/>
      <sheetName val="[수목일위.XLS][수목일위.XLS]el______281"/>
      <sheetName val="[수목일위.XLS][수목일위.XLS]el______282"/>
      <sheetName val="[수목일위.XLS][수목일위.XLS]el______283"/>
      <sheetName val="[수목일위.XLS][수목일위.XLS]el______284"/>
      <sheetName val="[수목일위.XLS][수목일위.XLS]el______285"/>
      <sheetName val="[수목일위.XLS][수목일위.XLS]el______286"/>
      <sheetName val="[수목일위.XLS][수목일위.XLS]el______287"/>
      <sheetName val="[수목일위.XLS][수목일위.XLS]el______288"/>
      <sheetName val="[수목일위.XLS][수목일위.XLS]el______289"/>
      <sheetName val="[수목일위.XLS][수목일위.XLS]el______290"/>
      <sheetName val="[수목일위.XLS][수목일위.XLS]el______291"/>
      <sheetName val="[수목일위.XLS][수목일위.XLS]el______296"/>
      <sheetName val="[수목일위.XLS][수목일위.XLS]el______297"/>
      <sheetName val="[수목일위.XLS][수목일위.XLS]el______294"/>
      <sheetName val="[수목일위.XLS][수목일위.XLS]el______295"/>
      <sheetName val="[수목일위.XLS][수목일위.XLS]el______292"/>
      <sheetName val="[수목일위.XLS][수목일위.XLS]el______293"/>
      <sheetName val="[수목일위.XLS][수목일위.XLS]el______300"/>
      <sheetName val="[수목일위.XLS][수목일위.XLS]el______301"/>
      <sheetName val="[수목일위.XLS][수목일위.XLS]el______298"/>
      <sheetName val="[수목일위.XLS][수목일위.XLS]el______299"/>
      <sheetName val="[수목일위.XLS][수목일위.XLS]el______302"/>
      <sheetName val="[수목일위.XLS][수목일위.XLS]el______303"/>
      <sheetName val="[수목일위.XLS][수목일위.XLS]el______304"/>
      <sheetName val="[수목일위.XLS][수목일위.XLS]el______305"/>
      <sheetName val="[수목일위.XLS][수목일위.XLS]el______308"/>
      <sheetName val="[수목일위.XLS][수목일위.XLS]el______309"/>
      <sheetName val="[수목일위.XLS][수목일위.XLS]el______306"/>
      <sheetName val="[수목일위.XLS][수목일위.XLS]el______307"/>
      <sheetName val="[수목일위.XLS][수목일위.XLS]el______312"/>
      <sheetName val="[수목일위.XLS][수목일위.XLS]el______313"/>
      <sheetName val="[수목일위.XLS][수목일위.XLS]el______310"/>
      <sheetName val="[수목일위.XLS][수목일위.XLS]el______311"/>
      <sheetName val="[수목일위.XLS][수목일위.XLS]el______314"/>
      <sheetName val="[수목일위.XLS][수목일위.XLS]el______315"/>
      <sheetName val="[수목일위.XLS][수목일위.XLS]el______316"/>
      <sheetName val="[수목일위.XLS][수목일위.XLS]el______317"/>
      <sheetName val="[수목일위.XLS][수목일위.XLS]el______318"/>
      <sheetName val="[수목일위.XLS][수목일위.XLS]el______319"/>
      <sheetName val="[수목일위.XLS][수목일위.XLS]el______324"/>
      <sheetName val="[수목일위.XLS][수목일위.XLS]el______325"/>
      <sheetName val="[수목일위.XLS][수목일위.XLS]el______320"/>
      <sheetName val="[수목일위.XLS][수목일위.XLS]el______321"/>
      <sheetName val="[수목일위.XLS][수목일위.XLS]el______322"/>
      <sheetName val="[수목일위.XLS][수목일위.XLS]el______323"/>
      <sheetName val="[수목일위.XLS][수목일위.XLS]el______326"/>
      <sheetName val="[수목일위.XLS][수목일위.XLS]el______327"/>
      <sheetName val="[수목일위.XLS][수목일위.XLS]el______330"/>
      <sheetName val="[수목일위.XLS][수목일위.XLS]el______331"/>
      <sheetName val="[수목일위.XLS][수목일위.XLS]el______328"/>
      <sheetName val="[수목일위.XLS][수목일위.XLS]el______329"/>
      <sheetName val="[수목일위.XLS][수목일위.XLS]el______334"/>
      <sheetName val="[수목일위.XLS][수목일위.XLS]el______335"/>
      <sheetName val="[수목일위.XLS][수목일위.XLS]el______332"/>
      <sheetName val="[수목일위.XLS][수목일위.XLS]el______333"/>
      <sheetName val="[수목일위.XLS][수목일위.XLS]el______336"/>
      <sheetName val="[수목일위.XLS][수목일위.XLS]el______337"/>
      <sheetName val="[수목일위.XLS][수목일위.XLS]el______338"/>
      <sheetName val="[수목일위.XLS][수목일위.XLS]el______339"/>
      <sheetName val="[수목일위.XLS][수목일위.XLS]el______342"/>
      <sheetName val="[수목일위.XLS][수목일위.XLS]el______343"/>
      <sheetName val="[수목일위.XLS][수목일위.XLS]el______340"/>
      <sheetName val="[수목일위.XLS][수목일위.XLS]el______341"/>
      <sheetName val="[수목일위.XLS][수목일위.XLS]el______346"/>
      <sheetName val="[수목일위.XLS][수목일위.XLS]el______347"/>
      <sheetName val="[수목일위.XLS][수목일위.XLS]el______344"/>
      <sheetName val="[수목일위.XLS][수목일위.XLS]el______345"/>
      <sheetName val="[수목일위.XLS][수목일위.XLS]el______350"/>
      <sheetName val="[수목일위.XLS][수목일위.XLS]el______351"/>
      <sheetName val="[수목일위.XLS][수목일위.XLS]el______348"/>
      <sheetName val="[수목일위.XLS][수목일위.XLS]el______349"/>
      <sheetName val="[수목일위.XLS][수목일위.XLS]el______354"/>
      <sheetName val="[수목일위.XLS][수목일위.XLS]el______355"/>
      <sheetName val="[수목일위.XLS][수목일위.XLS]el______352"/>
      <sheetName val="[수목일위.XLS][수목일위.XLS]el______353"/>
      <sheetName val="[수목일위.XLS][수목일위.XLS]el______360"/>
      <sheetName val="[수목일위.XLS][수목일위.XLS]el______361"/>
      <sheetName val="[수목일위.XLS][수목일위.XLS]el______358"/>
      <sheetName val="[수목일위.XLS][수목일위.XLS]el______359"/>
      <sheetName val="[수목일위.XLS][수목일위.XLS]el______356"/>
      <sheetName val="[수목일위.XLS][수목일위.XLS]el______357"/>
      <sheetName val="[수목일위.XLS][수목일위.XLS]el______364"/>
      <sheetName val="[수목일위.XLS][수목일위.XLS]el______365"/>
      <sheetName val="[수목일위.XLS][수목일위.XLS]el______362"/>
      <sheetName val="[수목일위.XLS][수목일위.XLS]el______363"/>
      <sheetName val="[수목일위.XLS][수목일위.XLS]el______366"/>
      <sheetName val="[수목일위.XLS][수목일위.XLS]el______367"/>
      <sheetName val="[수목일위.XLS][수목일위.XLS]el______368"/>
      <sheetName val="[수목일위.XLS][수목일위.XLS]el______369"/>
      <sheetName val="[수목일위.XLS][수목일위.XLS]el______372"/>
      <sheetName val="[수목일위.XLS][수목일위.XLS]el______373"/>
      <sheetName val="[수목일위.XLS][수목일위.XLS]el______374"/>
      <sheetName val="[수목일위.XLS][수목일위.XLS]el______37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6">
          <cell r="E46">
            <v>16300</v>
          </cell>
        </row>
        <row r="99">
          <cell r="E99">
            <v>35900</v>
          </cell>
        </row>
        <row r="104">
          <cell r="E104">
            <v>114000</v>
          </cell>
        </row>
        <row r="658">
          <cell r="E658">
            <v>51060</v>
          </cell>
        </row>
        <row r="659">
          <cell r="E659">
            <v>29933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 refreshError="1"/>
      <sheetData sheetId="87" refreshError="1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 refreshError="1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 refreshError="1"/>
      <sheetData sheetId="781"/>
      <sheetData sheetId="782" refreshError="1"/>
      <sheetData sheetId="783"/>
      <sheetData sheetId="784" refreshError="1"/>
      <sheetData sheetId="785"/>
      <sheetData sheetId="786" refreshError="1"/>
      <sheetData sheetId="787" refreshError="1"/>
      <sheetData sheetId="788" refreshError="1"/>
      <sheetData sheetId="789"/>
      <sheetData sheetId="790" refreshError="1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 refreshError="1"/>
      <sheetData sheetId="799" refreshError="1"/>
      <sheetData sheetId="800" refreshError="1"/>
      <sheetData sheetId="801"/>
      <sheetData sheetId="802" refreshError="1"/>
      <sheetData sheetId="803"/>
      <sheetData sheetId="804" refreshError="1"/>
      <sheetData sheetId="805"/>
      <sheetData sheetId="806" refreshError="1"/>
      <sheetData sheetId="807"/>
      <sheetData sheetId="808" refreshError="1"/>
      <sheetData sheetId="809"/>
      <sheetData sheetId="810" refreshError="1"/>
      <sheetData sheetId="811"/>
      <sheetData sheetId="812" refreshError="1"/>
      <sheetData sheetId="813"/>
      <sheetData sheetId="814" refreshError="1"/>
      <sheetData sheetId="815"/>
      <sheetData sheetId="816" refreshError="1"/>
      <sheetData sheetId="817"/>
      <sheetData sheetId="818" refreshError="1"/>
      <sheetData sheetId="819"/>
      <sheetData sheetId="820" refreshError="1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 refreshError="1"/>
      <sheetData sheetId="843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 refreshError="1"/>
      <sheetData sheetId="851"/>
      <sheetData sheetId="852" refreshError="1"/>
      <sheetData sheetId="853"/>
      <sheetData sheetId="854" refreshError="1"/>
      <sheetData sheetId="855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/>
      <sheetData sheetId="872" refreshError="1"/>
      <sheetData sheetId="873"/>
      <sheetData sheetId="874" refreshError="1"/>
      <sheetData sheetId="875"/>
      <sheetData sheetId="876" refreshError="1"/>
      <sheetData sheetId="877" refreshError="1"/>
      <sheetData sheetId="878" refreshError="1"/>
      <sheetData sheetId="879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 refreshError="1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/>
      <sheetData sheetId="932" refreshError="1"/>
      <sheetData sheetId="933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/>
      <sheetData sheetId="1020" refreshError="1"/>
      <sheetData sheetId="1021"/>
      <sheetData sheetId="102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. 상품기획팀 추진업무"/>
      <sheetName val="DB 2018 SS 1"/>
      <sheetName val="DB 2017 SS 2"/>
      <sheetName val="2018 금주 판매"/>
      <sheetName val="2018 전주 판매"/>
      <sheetName val="2017 주간 4"/>
      <sheetName val="입고일자 9"/>
      <sheetName val="예상판매율 10"/>
      <sheetName val="참조"/>
      <sheetName val="제품명"/>
      <sheetName val="데이타"/>
      <sheetName val="관리대장3"/>
      <sheetName val="원가(메인)"/>
      <sheetName val="아소트5"/>
    </sheetNames>
    <sheetDataSet>
      <sheetData sheetId="0"/>
      <sheetData sheetId="1">
        <row r="3">
          <cell r="A3" t="str">
            <v>Y</v>
          </cell>
          <cell r="B3" t="str">
            <v>P</v>
          </cell>
          <cell r="C3" t="str">
            <v>의류</v>
          </cell>
          <cell r="E3" t="str">
            <v>2</v>
          </cell>
          <cell r="F3" t="str">
            <v>1</v>
          </cell>
          <cell r="G3">
            <v>1</v>
          </cell>
          <cell r="H3">
            <v>6148614</v>
          </cell>
          <cell r="I3">
            <v>2</v>
          </cell>
          <cell r="J3">
            <v>98000</v>
          </cell>
          <cell r="K3">
            <v>196000</v>
          </cell>
          <cell r="N3" t="str">
            <v>P0Y1202</v>
          </cell>
          <cell r="O3">
            <v>31</v>
          </cell>
          <cell r="Q3">
            <v>98000</v>
          </cell>
          <cell r="U3">
            <v>569</v>
          </cell>
          <cell r="AJ3">
            <v>12</v>
          </cell>
          <cell r="AK3">
            <v>583100</v>
          </cell>
          <cell r="AN3">
            <v>55762000</v>
          </cell>
          <cell r="AO3">
            <v>1176000</v>
          </cell>
        </row>
        <row r="4">
          <cell r="A4" t="str">
            <v>Y</v>
          </cell>
          <cell r="B4" t="str">
            <v>I</v>
          </cell>
          <cell r="C4" t="str">
            <v>의류</v>
          </cell>
          <cell r="E4" t="str">
            <v>2</v>
          </cell>
          <cell r="F4" t="str">
            <v>1</v>
          </cell>
          <cell r="G4">
            <v>1</v>
          </cell>
          <cell r="H4">
            <v>4832190</v>
          </cell>
          <cell r="I4">
            <v>0</v>
          </cell>
          <cell r="J4">
            <v>0</v>
          </cell>
          <cell r="K4">
            <v>0</v>
          </cell>
          <cell r="N4" t="str">
            <v>INY1202</v>
          </cell>
          <cell r="O4">
            <v>21</v>
          </cell>
          <cell r="Q4">
            <v>138000</v>
          </cell>
          <cell r="U4">
            <v>330</v>
          </cell>
          <cell r="AJ4">
            <v>7</v>
          </cell>
          <cell r="AK4">
            <v>456100</v>
          </cell>
          <cell r="AN4">
            <v>45540000</v>
          </cell>
          <cell r="AO4">
            <v>966000</v>
          </cell>
        </row>
        <row r="5">
          <cell r="A5" t="str">
            <v>Y</v>
          </cell>
          <cell r="B5" t="str">
            <v>P</v>
          </cell>
          <cell r="C5" t="str">
            <v>의류</v>
          </cell>
          <cell r="E5" t="str">
            <v>2</v>
          </cell>
          <cell r="F5" t="str">
            <v>7</v>
          </cell>
          <cell r="G5">
            <v>1</v>
          </cell>
          <cell r="H5">
            <v>4433273</v>
          </cell>
          <cell r="I5">
            <v>1</v>
          </cell>
          <cell r="J5">
            <v>69000</v>
          </cell>
          <cell r="K5">
            <v>138000</v>
          </cell>
          <cell r="N5" t="str">
            <v>PNY7204</v>
          </cell>
          <cell r="O5">
            <v>41</v>
          </cell>
          <cell r="Q5">
            <v>138000</v>
          </cell>
          <cell r="U5">
            <v>299</v>
          </cell>
          <cell r="AJ5">
            <v>9</v>
          </cell>
          <cell r="AK5">
            <v>621000</v>
          </cell>
          <cell r="AN5">
            <v>41262000</v>
          </cell>
          <cell r="AO5">
            <v>1242000</v>
          </cell>
        </row>
        <row r="6">
          <cell r="A6" t="str">
            <v>Y</v>
          </cell>
          <cell r="B6" t="str">
            <v>I</v>
          </cell>
          <cell r="C6" t="str">
            <v>의류</v>
          </cell>
          <cell r="E6" t="str">
            <v>2</v>
          </cell>
          <cell r="F6" t="str">
            <v>1</v>
          </cell>
          <cell r="G6">
            <v>1</v>
          </cell>
          <cell r="H6">
            <v>20763570</v>
          </cell>
          <cell r="I6">
            <v>3</v>
          </cell>
          <cell r="J6">
            <v>177000</v>
          </cell>
          <cell r="K6">
            <v>474000</v>
          </cell>
          <cell r="N6" t="str">
            <v>I0Y1207</v>
          </cell>
          <cell r="O6">
            <v>43</v>
          </cell>
          <cell r="Q6">
            <v>158000</v>
          </cell>
          <cell r="U6">
            <v>1185</v>
          </cell>
          <cell r="AJ6">
            <v>40</v>
          </cell>
          <cell r="AK6">
            <v>2924200</v>
          </cell>
          <cell r="AN6">
            <v>187230000</v>
          </cell>
          <cell r="AO6">
            <v>6320000</v>
          </cell>
        </row>
        <row r="7">
          <cell r="A7" t="str">
            <v>Y</v>
          </cell>
          <cell r="B7" t="str">
            <v>I</v>
          </cell>
          <cell r="C7" t="str">
            <v>의류</v>
          </cell>
          <cell r="E7" t="str">
            <v>2</v>
          </cell>
          <cell r="F7" t="str">
            <v>1</v>
          </cell>
          <cell r="G7">
            <v>1</v>
          </cell>
          <cell r="H7">
            <v>10018872</v>
          </cell>
          <cell r="I7">
            <v>6</v>
          </cell>
          <cell r="J7">
            <v>294000</v>
          </cell>
          <cell r="K7">
            <v>708000</v>
          </cell>
          <cell r="N7" t="str">
            <v>I0Y1204</v>
          </cell>
          <cell r="O7">
            <v>66</v>
          </cell>
          <cell r="Q7">
            <v>118000</v>
          </cell>
          <cell r="U7">
            <v>681</v>
          </cell>
          <cell r="AJ7">
            <v>30</v>
          </cell>
          <cell r="AK7">
            <v>1614600</v>
          </cell>
          <cell r="AN7">
            <v>80358000</v>
          </cell>
          <cell r="AO7">
            <v>3540000</v>
          </cell>
        </row>
        <row r="8">
          <cell r="A8" t="str">
            <v>Y</v>
          </cell>
          <cell r="B8" t="str">
            <v>I</v>
          </cell>
          <cell r="C8" t="str">
            <v>의류</v>
          </cell>
          <cell r="E8" t="str">
            <v>2</v>
          </cell>
          <cell r="F8" t="str">
            <v>7</v>
          </cell>
          <cell r="G8">
            <v>1</v>
          </cell>
          <cell r="H8">
            <v>10849485</v>
          </cell>
          <cell r="I8">
            <v>9</v>
          </cell>
          <cell r="J8">
            <v>531000</v>
          </cell>
          <cell r="K8">
            <v>1062000</v>
          </cell>
          <cell r="N8" t="str">
            <v>I0Y7208</v>
          </cell>
          <cell r="O8">
            <v>34</v>
          </cell>
          <cell r="Q8">
            <v>118000</v>
          </cell>
          <cell r="U8">
            <v>813</v>
          </cell>
          <cell r="AJ8">
            <v>40</v>
          </cell>
          <cell r="AK8">
            <v>2324600</v>
          </cell>
          <cell r="AN8">
            <v>95934000</v>
          </cell>
          <cell r="AO8">
            <v>4720000</v>
          </cell>
        </row>
        <row r="9">
          <cell r="A9" t="str">
            <v>Y</v>
          </cell>
          <cell r="B9" t="str">
            <v>I</v>
          </cell>
          <cell r="C9" t="str">
            <v>의류</v>
          </cell>
          <cell r="E9" t="str">
            <v>2</v>
          </cell>
          <cell r="F9" t="str">
            <v>1</v>
          </cell>
          <cell r="G9">
            <v>0</v>
          </cell>
          <cell r="H9">
            <v>14683436</v>
          </cell>
          <cell r="I9">
            <v>10</v>
          </cell>
          <cell r="J9">
            <v>590000</v>
          </cell>
          <cell r="K9">
            <v>1580000</v>
          </cell>
          <cell r="N9" t="str">
            <v>I0Y1207</v>
          </cell>
          <cell r="O9">
            <v>66</v>
          </cell>
          <cell r="Q9">
            <v>158000</v>
          </cell>
          <cell r="U9">
            <v>838</v>
          </cell>
          <cell r="AJ9">
            <v>42</v>
          </cell>
          <cell r="AK9">
            <v>2994050</v>
          </cell>
          <cell r="AN9">
            <v>132404000</v>
          </cell>
          <cell r="AO9">
            <v>6636000</v>
          </cell>
        </row>
        <row r="10">
          <cell r="A10" t="str">
            <v>Y</v>
          </cell>
          <cell r="B10" t="str">
            <v>I</v>
          </cell>
          <cell r="C10" t="str">
            <v>의류</v>
          </cell>
          <cell r="E10" t="str">
            <v>2</v>
          </cell>
          <cell r="F10" t="str">
            <v>1</v>
          </cell>
          <cell r="G10">
            <v>1</v>
          </cell>
          <cell r="H10">
            <v>7852320</v>
          </cell>
          <cell r="I10">
            <v>6</v>
          </cell>
          <cell r="J10">
            <v>294000</v>
          </cell>
          <cell r="K10">
            <v>828000</v>
          </cell>
          <cell r="N10" t="str">
            <v>INY1203</v>
          </cell>
          <cell r="O10">
            <v>39</v>
          </cell>
          <cell r="Q10">
            <v>138000</v>
          </cell>
          <cell r="U10">
            <v>480</v>
          </cell>
          <cell r="AJ10">
            <v>25</v>
          </cell>
          <cell r="AK10">
            <v>1449800</v>
          </cell>
          <cell r="AN10">
            <v>66240000</v>
          </cell>
          <cell r="AO10">
            <v>3450000</v>
          </cell>
        </row>
        <row r="11">
          <cell r="A11" t="str">
            <v>Y</v>
          </cell>
          <cell r="B11" t="str">
            <v>P</v>
          </cell>
          <cell r="C11" t="str">
            <v>의류</v>
          </cell>
          <cell r="E11" t="str">
            <v>2</v>
          </cell>
          <cell r="F11" t="str">
            <v>7</v>
          </cell>
          <cell r="G11">
            <v>1</v>
          </cell>
          <cell r="H11">
            <v>11356492</v>
          </cell>
          <cell r="I11">
            <v>8</v>
          </cell>
          <cell r="J11">
            <v>552000</v>
          </cell>
          <cell r="K11">
            <v>1104000</v>
          </cell>
          <cell r="N11" t="str">
            <v>P0Y7208</v>
          </cell>
          <cell r="O11">
            <v>45</v>
          </cell>
          <cell r="Q11">
            <v>138000</v>
          </cell>
          <cell r="U11">
            <v>763</v>
          </cell>
          <cell r="AJ11">
            <v>40</v>
          </cell>
          <cell r="AK11">
            <v>2723100</v>
          </cell>
          <cell r="AN11">
            <v>105294000</v>
          </cell>
          <cell r="AO11">
            <v>5520000</v>
          </cell>
        </row>
        <row r="12">
          <cell r="A12" t="str">
            <v>Y</v>
          </cell>
          <cell r="B12" t="str">
            <v>I</v>
          </cell>
          <cell r="C12" t="str">
            <v>의류</v>
          </cell>
          <cell r="E12" t="str">
            <v>2</v>
          </cell>
          <cell r="F12" t="str">
            <v>1</v>
          </cell>
          <cell r="G12">
            <v>1</v>
          </cell>
          <cell r="H12">
            <v>12770108</v>
          </cell>
          <cell r="I12">
            <v>21</v>
          </cell>
          <cell r="J12">
            <v>1029000</v>
          </cell>
          <cell r="K12">
            <v>2898000</v>
          </cell>
          <cell r="N12" t="str">
            <v>ITY1203</v>
          </cell>
          <cell r="O12">
            <v>49</v>
          </cell>
          <cell r="Q12">
            <v>138000</v>
          </cell>
          <cell r="U12">
            <v>964</v>
          </cell>
          <cell r="AJ12">
            <v>53</v>
          </cell>
          <cell r="AK12">
            <v>3016300</v>
          </cell>
          <cell r="AN12">
            <v>133032000</v>
          </cell>
          <cell r="AO12">
            <v>7314000</v>
          </cell>
        </row>
        <row r="13">
          <cell r="A13" t="str">
            <v>Y</v>
          </cell>
          <cell r="B13" t="str">
            <v>P</v>
          </cell>
          <cell r="C13" t="str">
            <v>의류</v>
          </cell>
          <cell r="E13" t="str">
            <v>2</v>
          </cell>
          <cell r="F13" t="str">
            <v>1</v>
          </cell>
          <cell r="G13">
            <v>0</v>
          </cell>
          <cell r="H13">
            <v>17538138</v>
          </cell>
          <cell r="I13">
            <v>24</v>
          </cell>
          <cell r="J13">
            <v>1176000</v>
          </cell>
          <cell r="K13">
            <v>2352000</v>
          </cell>
          <cell r="N13" t="str">
            <v>P0Y1202</v>
          </cell>
          <cell r="O13">
            <v>32</v>
          </cell>
          <cell r="Q13">
            <v>98000</v>
          </cell>
          <cell r="U13">
            <v>1623</v>
          </cell>
          <cell r="AJ13">
            <v>90</v>
          </cell>
          <cell r="AK13">
            <v>4336500</v>
          </cell>
          <cell r="AN13">
            <v>159054000</v>
          </cell>
          <cell r="AO13">
            <v>8820000</v>
          </cell>
        </row>
        <row r="14">
          <cell r="A14" t="str">
            <v>Y</v>
          </cell>
          <cell r="B14" t="str">
            <v>I</v>
          </cell>
          <cell r="C14" t="str">
            <v>의류</v>
          </cell>
          <cell r="E14" t="str">
            <v>2</v>
          </cell>
          <cell r="F14" t="str">
            <v>1</v>
          </cell>
          <cell r="G14">
            <v>1</v>
          </cell>
          <cell r="H14">
            <v>15084322</v>
          </cell>
          <cell r="I14">
            <v>9</v>
          </cell>
          <cell r="J14">
            <v>711000</v>
          </cell>
          <cell r="K14">
            <v>1422000</v>
          </cell>
          <cell r="N14" t="str">
            <v>I0Y1209</v>
          </cell>
          <cell r="O14">
            <v>49</v>
          </cell>
          <cell r="Q14">
            <v>158000</v>
          </cell>
          <cell r="U14">
            <v>887</v>
          </cell>
          <cell r="AJ14">
            <v>50</v>
          </cell>
          <cell r="AK14">
            <v>3774700</v>
          </cell>
          <cell r="AN14">
            <v>140146000</v>
          </cell>
          <cell r="AO14">
            <v>7900000</v>
          </cell>
        </row>
        <row r="15">
          <cell r="A15" t="str">
            <v>Y</v>
          </cell>
          <cell r="B15" t="str">
            <v>P</v>
          </cell>
          <cell r="C15" t="str">
            <v>의류</v>
          </cell>
          <cell r="E15" t="str">
            <v>2</v>
          </cell>
          <cell r="F15" t="str">
            <v>7</v>
          </cell>
          <cell r="G15">
            <v>1</v>
          </cell>
          <cell r="H15">
            <v>6893427</v>
          </cell>
          <cell r="I15">
            <v>2</v>
          </cell>
          <cell r="J15">
            <v>138000</v>
          </cell>
          <cell r="K15">
            <v>276000</v>
          </cell>
          <cell r="N15" t="str">
            <v>PNY7203</v>
          </cell>
          <cell r="O15">
            <v>76</v>
          </cell>
          <cell r="Q15">
            <v>138000</v>
          </cell>
          <cell r="U15">
            <v>417</v>
          </cell>
          <cell r="AJ15">
            <v>24</v>
          </cell>
          <cell r="AK15">
            <v>1619100</v>
          </cell>
          <cell r="AN15">
            <v>57546000</v>
          </cell>
          <cell r="AO15">
            <v>3312000</v>
          </cell>
        </row>
        <row r="16">
          <cell r="A16" t="str">
            <v>Y</v>
          </cell>
          <cell r="B16" t="str">
            <v>I</v>
          </cell>
          <cell r="C16" t="str">
            <v>의류</v>
          </cell>
          <cell r="E16" t="str">
            <v>2</v>
          </cell>
          <cell r="F16" t="str">
            <v>7</v>
          </cell>
          <cell r="G16">
            <v>1</v>
          </cell>
          <cell r="H16">
            <v>12054008</v>
          </cell>
          <cell r="I16">
            <v>6</v>
          </cell>
          <cell r="J16">
            <v>414000</v>
          </cell>
          <cell r="K16">
            <v>828000</v>
          </cell>
          <cell r="N16" t="str">
            <v>I0Y7206</v>
          </cell>
          <cell r="O16">
            <v>45</v>
          </cell>
          <cell r="Q16">
            <v>138000</v>
          </cell>
          <cell r="U16">
            <v>772</v>
          </cell>
          <cell r="AJ16">
            <v>45</v>
          </cell>
          <cell r="AK16">
            <v>3056700</v>
          </cell>
          <cell r="AN16">
            <v>106536000</v>
          </cell>
          <cell r="AO16">
            <v>6210000</v>
          </cell>
        </row>
        <row r="17">
          <cell r="A17" t="str">
            <v>Y</v>
          </cell>
          <cell r="B17" t="str">
            <v>P</v>
          </cell>
          <cell r="C17" t="str">
            <v>의류</v>
          </cell>
          <cell r="E17" t="str">
            <v>2</v>
          </cell>
          <cell r="F17" t="str">
            <v>Q</v>
          </cell>
          <cell r="G17">
            <v>1</v>
          </cell>
          <cell r="H17">
            <v>3377934</v>
          </cell>
          <cell r="I17">
            <v>0</v>
          </cell>
          <cell r="J17">
            <v>0</v>
          </cell>
          <cell r="K17">
            <v>0</v>
          </cell>
          <cell r="N17" t="str">
            <v>P0YQ202</v>
          </cell>
          <cell r="O17">
            <v>63</v>
          </cell>
          <cell r="Q17">
            <v>198000</v>
          </cell>
          <cell r="U17">
            <v>171</v>
          </cell>
          <cell r="AJ17">
            <v>10</v>
          </cell>
          <cell r="AK17">
            <v>930600</v>
          </cell>
          <cell r="AN17">
            <v>33858000</v>
          </cell>
          <cell r="AO17">
            <v>1980000</v>
          </cell>
        </row>
        <row r="18">
          <cell r="A18" t="str">
            <v>Y</v>
          </cell>
          <cell r="B18" t="str">
            <v>P</v>
          </cell>
          <cell r="C18" t="str">
            <v>의류</v>
          </cell>
          <cell r="E18" t="str">
            <v>2</v>
          </cell>
          <cell r="F18" t="str">
            <v>1</v>
          </cell>
          <cell r="G18">
            <v>1</v>
          </cell>
          <cell r="H18">
            <v>8053715</v>
          </cell>
          <cell r="I18">
            <v>7</v>
          </cell>
          <cell r="J18">
            <v>483000</v>
          </cell>
          <cell r="K18">
            <v>966000</v>
          </cell>
          <cell r="N18" t="str">
            <v>P0Y1211</v>
          </cell>
          <cell r="O18">
            <v>41</v>
          </cell>
          <cell r="Q18">
            <v>138000</v>
          </cell>
          <cell r="U18">
            <v>563</v>
          </cell>
          <cell r="AJ18">
            <v>33</v>
          </cell>
          <cell r="AK18">
            <v>2273550</v>
          </cell>
          <cell r="AN18">
            <v>77694000</v>
          </cell>
          <cell r="AO18">
            <v>4554000</v>
          </cell>
        </row>
        <row r="19">
          <cell r="A19" t="str">
            <v>Y</v>
          </cell>
          <cell r="B19" t="str">
            <v>P</v>
          </cell>
          <cell r="C19" t="str">
            <v>의류</v>
          </cell>
          <cell r="E19" t="str">
            <v>2</v>
          </cell>
          <cell r="F19" t="str">
            <v>Q</v>
          </cell>
          <cell r="G19">
            <v>1</v>
          </cell>
          <cell r="H19">
            <v>9127740</v>
          </cell>
          <cell r="I19">
            <v>7</v>
          </cell>
          <cell r="J19">
            <v>693000</v>
          </cell>
          <cell r="K19">
            <v>1386000</v>
          </cell>
          <cell r="N19" t="str">
            <v>PNYQ201</v>
          </cell>
          <cell r="O19">
            <v>31</v>
          </cell>
          <cell r="Q19">
            <v>198000</v>
          </cell>
          <cell r="U19">
            <v>447</v>
          </cell>
          <cell r="AJ19">
            <v>27</v>
          </cell>
          <cell r="AK19">
            <v>2573700</v>
          </cell>
          <cell r="AN19">
            <v>88506000</v>
          </cell>
          <cell r="AO19">
            <v>5346000</v>
          </cell>
        </row>
        <row r="20">
          <cell r="A20" t="str">
            <v>Y</v>
          </cell>
          <cell r="B20" t="str">
            <v>I</v>
          </cell>
          <cell r="C20" t="str">
            <v>의류</v>
          </cell>
          <cell r="E20" t="str">
            <v>1</v>
          </cell>
          <cell r="F20" t="str">
            <v>7</v>
          </cell>
          <cell r="G20">
            <v>1</v>
          </cell>
          <cell r="H20">
            <v>8202600</v>
          </cell>
          <cell r="I20">
            <v>3</v>
          </cell>
          <cell r="J20">
            <v>237000</v>
          </cell>
          <cell r="K20">
            <v>594000</v>
          </cell>
          <cell r="N20" t="str">
            <v>INY7101</v>
          </cell>
          <cell r="O20">
            <v>76</v>
          </cell>
          <cell r="Q20">
            <v>198000</v>
          </cell>
          <cell r="U20">
            <v>378</v>
          </cell>
          <cell r="AJ20">
            <v>23</v>
          </cell>
          <cell r="AK20">
            <v>2001200</v>
          </cell>
          <cell r="AN20">
            <v>74844000</v>
          </cell>
          <cell r="AO20">
            <v>4554000</v>
          </cell>
        </row>
        <row r="21">
          <cell r="A21" t="str">
            <v>Y</v>
          </cell>
          <cell r="B21" t="str">
            <v>I</v>
          </cell>
          <cell r="C21" t="str">
            <v>의류</v>
          </cell>
          <cell r="E21" t="str">
            <v>2</v>
          </cell>
          <cell r="F21" t="str">
            <v>1</v>
          </cell>
          <cell r="G21">
            <v>0</v>
          </cell>
          <cell r="H21">
            <v>7189713</v>
          </cell>
          <cell r="I21">
            <v>8</v>
          </cell>
          <cell r="J21">
            <v>392000</v>
          </cell>
          <cell r="K21">
            <v>1104000</v>
          </cell>
          <cell r="N21" t="str">
            <v>INY1202</v>
          </cell>
          <cell r="O21">
            <v>31</v>
          </cell>
          <cell r="Q21">
            <v>138000</v>
          </cell>
          <cell r="U21">
            <v>491</v>
          </cell>
          <cell r="AJ21">
            <v>30</v>
          </cell>
          <cell r="AK21">
            <v>1830000</v>
          </cell>
          <cell r="AN21">
            <v>67758000</v>
          </cell>
          <cell r="AO21">
            <v>4140000</v>
          </cell>
        </row>
        <row r="22">
          <cell r="A22" t="str">
            <v>Y</v>
          </cell>
          <cell r="B22" t="str">
            <v>I</v>
          </cell>
          <cell r="C22" t="str">
            <v>의류</v>
          </cell>
          <cell r="E22" t="str">
            <v>2</v>
          </cell>
          <cell r="F22" t="str">
            <v>1</v>
          </cell>
          <cell r="G22">
            <v>1</v>
          </cell>
          <cell r="H22">
            <v>7112490</v>
          </cell>
          <cell r="I22">
            <v>3</v>
          </cell>
          <cell r="J22">
            <v>237000</v>
          </cell>
          <cell r="K22">
            <v>474000</v>
          </cell>
          <cell r="N22" t="str">
            <v>INY1208</v>
          </cell>
          <cell r="O22">
            <v>37</v>
          </cell>
          <cell r="Q22">
            <v>158000</v>
          </cell>
          <cell r="U22">
            <v>385</v>
          </cell>
          <cell r="AJ22">
            <v>24</v>
          </cell>
          <cell r="AK22">
            <v>1865980</v>
          </cell>
          <cell r="AN22">
            <v>60830000</v>
          </cell>
          <cell r="AO22">
            <v>3792000</v>
          </cell>
        </row>
        <row r="23">
          <cell r="A23" t="str">
            <v>Y</v>
          </cell>
          <cell r="B23" t="str">
            <v>I</v>
          </cell>
          <cell r="C23" t="str">
            <v>의류</v>
          </cell>
          <cell r="E23" t="str">
            <v>2</v>
          </cell>
          <cell r="F23" t="str">
            <v>1</v>
          </cell>
          <cell r="G23">
            <v>0</v>
          </cell>
          <cell r="H23">
            <v>6788985</v>
          </cell>
          <cell r="I23">
            <v>3</v>
          </cell>
          <cell r="J23">
            <v>147000</v>
          </cell>
          <cell r="K23">
            <v>414000</v>
          </cell>
          <cell r="N23" t="str">
            <v>INY1203</v>
          </cell>
          <cell r="O23">
            <v>76</v>
          </cell>
          <cell r="Q23">
            <v>138000</v>
          </cell>
          <cell r="U23">
            <v>415</v>
          </cell>
          <cell r="AJ23">
            <v>26</v>
          </cell>
          <cell r="AK23">
            <v>1626400</v>
          </cell>
          <cell r="AN23">
            <v>57270000</v>
          </cell>
          <cell r="AO23">
            <v>3588000</v>
          </cell>
        </row>
        <row r="24">
          <cell r="A24" t="str">
            <v>Y</v>
          </cell>
          <cell r="B24" t="str">
            <v>I</v>
          </cell>
          <cell r="C24" t="str">
            <v>의류</v>
          </cell>
          <cell r="E24" t="str">
            <v>2</v>
          </cell>
          <cell r="F24" t="str">
            <v>1</v>
          </cell>
          <cell r="G24">
            <v>0</v>
          </cell>
          <cell r="H24">
            <v>7788748</v>
          </cell>
          <cell r="I24">
            <v>12</v>
          </cell>
          <cell r="J24">
            <v>928000</v>
          </cell>
          <cell r="K24">
            <v>1896000</v>
          </cell>
          <cell r="N24" t="str">
            <v>I0Y1209</v>
          </cell>
          <cell r="O24">
            <v>43</v>
          </cell>
          <cell r="Q24">
            <v>158000</v>
          </cell>
          <cell r="U24">
            <v>458</v>
          </cell>
          <cell r="AJ24">
            <v>29</v>
          </cell>
          <cell r="AK24">
            <v>2205200</v>
          </cell>
          <cell r="AN24">
            <v>72364000</v>
          </cell>
          <cell r="AO24">
            <v>4582000</v>
          </cell>
        </row>
        <row r="25">
          <cell r="A25" t="str">
            <v>Y</v>
          </cell>
          <cell r="B25" t="str">
            <v>P</v>
          </cell>
          <cell r="C25" t="str">
            <v>의류</v>
          </cell>
          <cell r="E25" t="str">
            <v>2</v>
          </cell>
          <cell r="F25" t="str">
            <v>7</v>
          </cell>
          <cell r="G25">
            <v>0</v>
          </cell>
          <cell r="H25">
            <v>6697800</v>
          </cell>
          <cell r="I25">
            <v>2</v>
          </cell>
          <cell r="J25">
            <v>138000</v>
          </cell>
          <cell r="K25">
            <v>276000</v>
          </cell>
          <cell r="N25" t="str">
            <v>P0Y7208</v>
          </cell>
          <cell r="O25">
            <v>27</v>
          </cell>
          <cell r="Q25">
            <v>138000</v>
          </cell>
          <cell r="U25">
            <v>450</v>
          </cell>
          <cell r="AJ25">
            <v>29</v>
          </cell>
          <cell r="AK25">
            <v>1980300</v>
          </cell>
          <cell r="AN25">
            <v>62100000</v>
          </cell>
          <cell r="AO25">
            <v>4002000</v>
          </cell>
        </row>
        <row r="26">
          <cell r="A26" t="str">
            <v>Y</v>
          </cell>
          <cell r="B26" t="str">
            <v>P</v>
          </cell>
          <cell r="C26" t="str">
            <v>의류</v>
          </cell>
          <cell r="E26" t="str">
            <v>2</v>
          </cell>
          <cell r="F26" t="str">
            <v>1</v>
          </cell>
          <cell r="G26">
            <v>1</v>
          </cell>
          <cell r="H26">
            <v>3802863</v>
          </cell>
          <cell r="I26">
            <v>3</v>
          </cell>
          <cell r="J26">
            <v>177000</v>
          </cell>
          <cell r="K26">
            <v>354000</v>
          </cell>
          <cell r="N26" t="str">
            <v>PNY1201</v>
          </cell>
          <cell r="O26">
            <v>23</v>
          </cell>
          <cell r="Q26">
            <v>118000</v>
          </cell>
          <cell r="U26">
            <v>309</v>
          </cell>
          <cell r="AJ26">
            <v>20</v>
          </cell>
          <cell r="AK26">
            <v>1174100</v>
          </cell>
          <cell r="AN26">
            <v>36462000</v>
          </cell>
          <cell r="AO26">
            <v>2360000</v>
          </cell>
        </row>
        <row r="27">
          <cell r="A27" t="str">
            <v>Y</v>
          </cell>
          <cell r="B27" t="str">
            <v>P</v>
          </cell>
          <cell r="C27" t="str">
            <v>의류</v>
          </cell>
          <cell r="E27" t="str">
            <v>2</v>
          </cell>
          <cell r="F27" t="str">
            <v>7</v>
          </cell>
          <cell r="G27">
            <v>1</v>
          </cell>
          <cell r="H27">
            <v>7699419</v>
          </cell>
          <cell r="I27">
            <v>8</v>
          </cell>
          <cell r="J27">
            <v>472000</v>
          </cell>
          <cell r="K27">
            <v>944000</v>
          </cell>
          <cell r="N27" t="str">
            <v>PTY7203</v>
          </cell>
          <cell r="O27">
            <v>34</v>
          </cell>
          <cell r="Q27">
            <v>118000</v>
          </cell>
          <cell r="U27">
            <v>553</v>
          </cell>
          <cell r="AJ27">
            <v>36</v>
          </cell>
          <cell r="AK27">
            <v>2112200</v>
          </cell>
          <cell r="AN27">
            <v>65254000</v>
          </cell>
          <cell r="AO27">
            <v>4248000</v>
          </cell>
        </row>
        <row r="28">
          <cell r="A28" t="str">
            <v>Y</v>
          </cell>
          <cell r="B28" t="str">
            <v>I</v>
          </cell>
          <cell r="C28" t="str">
            <v>의류</v>
          </cell>
          <cell r="E28" t="str">
            <v>1</v>
          </cell>
          <cell r="F28" t="str">
            <v>6</v>
          </cell>
          <cell r="G28">
            <v>1</v>
          </cell>
          <cell r="H28">
            <v>12284640</v>
          </cell>
          <cell r="I28">
            <v>1</v>
          </cell>
          <cell r="J28">
            <v>119000</v>
          </cell>
          <cell r="K28">
            <v>318000</v>
          </cell>
          <cell r="N28" t="str">
            <v>INY6102</v>
          </cell>
          <cell r="O28">
            <v>21</v>
          </cell>
          <cell r="Q28">
            <v>318000</v>
          </cell>
          <cell r="U28">
            <v>380</v>
          </cell>
          <cell r="AJ28">
            <v>25</v>
          </cell>
          <cell r="AK28">
            <v>3346700</v>
          </cell>
          <cell r="AN28">
            <v>120840000</v>
          </cell>
          <cell r="AO28">
            <v>7950000</v>
          </cell>
        </row>
        <row r="29">
          <cell r="A29" t="str">
            <v>Y</v>
          </cell>
          <cell r="B29" t="str">
            <v>P</v>
          </cell>
          <cell r="C29" t="str">
            <v>의류</v>
          </cell>
          <cell r="E29" t="str">
            <v>2</v>
          </cell>
          <cell r="F29" t="str">
            <v>1</v>
          </cell>
          <cell r="G29">
            <v>0</v>
          </cell>
          <cell r="H29">
            <v>4504362</v>
          </cell>
          <cell r="I29">
            <v>2</v>
          </cell>
          <cell r="J29">
            <v>118000</v>
          </cell>
          <cell r="K29">
            <v>236000</v>
          </cell>
          <cell r="N29" t="str">
            <v>PNY1201</v>
          </cell>
          <cell r="O29">
            <v>71</v>
          </cell>
          <cell r="Q29">
            <v>118000</v>
          </cell>
          <cell r="U29">
            <v>366</v>
          </cell>
          <cell r="AJ29">
            <v>25</v>
          </cell>
          <cell r="AK29">
            <v>1475000</v>
          </cell>
          <cell r="AN29">
            <v>43188000</v>
          </cell>
          <cell r="AO29">
            <v>2950000</v>
          </cell>
        </row>
        <row r="30">
          <cell r="A30" t="str">
            <v>Y</v>
          </cell>
          <cell r="B30" t="str">
            <v>P</v>
          </cell>
          <cell r="C30" t="str">
            <v>의류</v>
          </cell>
          <cell r="E30" t="str">
            <v>2</v>
          </cell>
          <cell r="F30" t="str">
            <v>1</v>
          </cell>
          <cell r="G30">
            <v>1</v>
          </cell>
          <cell r="H30">
            <v>13199872</v>
          </cell>
          <cell r="I30">
            <v>9</v>
          </cell>
          <cell r="J30">
            <v>681000</v>
          </cell>
          <cell r="K30">
            <v>1422000</v>
          </cell>
          <cell r="N30" t="str">
            <v>P0Y1207</v>
          </cell>
          <cell r="O30">
            <v>63</v>
          </cell>
          <cell r="Q30">
            <v>158000</v>
          </cell>
          <cell r="U30">
            <v>812</v>
          </cell>
          <cell r="AJ30">
            <v>56</v>
          </cell>
          <cell r="AK30">
            <v>4171800</v>
          </cell>
          <cell r="AN30">
            <v>128296000</v>
          </cell>
          <cell r="AO30">
            <v>8848000</v>
          </cell>
        </row>
        <row r="31">
          <cell r="A31" t="str">
            <v>Y</v>
          </cell>
          <cell r="B31" t="str">
            <v>P</v>
          </cell>
          <cell r="C31" t="str">
            <v>의류</v>
          </cell>
          <cell r="E31" t="str">
            <v>2</v>
          </cell>
          <cell r="F31" t="str">
            <v>7</v>
          </cell>
          <cell r="G31">
            <v>0</v>
          </cell>
          <cell r="H31">
            <v>5367374</v>
          </cell>
          <cell r="I31">
            <v>0</v>
          </cell>
          <cell r="J31">
            <v>0</v>
          </cell>
          <cell r="K31">
            <v>0</v>
          </cell>
          <cell r="N31" t="str">
            <v>PNY7204</v>
          </cell>
          <cell r="O31">
            <v>31</v>
          </cell>
          <cell r="Q31">
            <v>138000</v>
          </cell>
          <cell r="U31">
            <v>362</v>
          </cell>
          <cell r="AJ31">
            <v>25</v>
          </cell>
          <cell r="AK31">
            <v>1704300</v>
          </cell>
          <cell r="AN31">
            <v>49956000</v>
          </cell>
          <cell r="AO31">
            <v>3450000</v>
          </cell>
        </row>
        <row r="32">
          <cell r="A32" t="str">
            <v>Y</v>
          </cell>
          <cell r="B32" t="str">
            <v>I</v>
          </cell>
          <cell r="C32" t="str">
            <v>의류</v>
          </cell>
          <cell r="E32" t="str">
            <v>2</v>
          </cell>
          <cell r="F32" t="str">
            <v>7</v>
          </cell>
          <cell r="G32">
            <v>1</v>
          </cell>
          <cell r="H32">
            <v>13397426</v>
          </cell>
          <cell r="I32">
            <v>15</v>
          </cell>
          <cell r="J32">
            <v>1035000</v>
          </cell>
          <cell r="K32">
            <v>2070000</v>
          </cell>
          <cell r="N32" t="str">
            <v>ITY7206</v>
          </cell>
          <cell r="O32">
            <v>37</v>
          </cell>
          <cell r="Q32">
            <v>138000</v>
          </cell>
          <cell r="U32">
            <v>982</v>
          </cell>
          <cell r="AJ32">
            <v>68</v>
          </cell>
          <cell r="AK32">
            <v>4657500</v>
          </cell>
          <cell r="AN32">
            <v>135516000</v>
          </cell>
          <cell r="AO32">
            <v>9384000</v>
          </cell>
        </row>
        <row r="33">
          <cell r="A33" t="str">
            <v>Y</v>
          </cell>
          <cell r="B33" t="str">
            <v>I</v>
          </cell>
          <cell r="C33" t="str">
            <v>의류</v>
          </cell>
          <cell r="E33" t="str">
            <v>2</v>
          </cell>
          <cell r="F33" t="str">
            <v>1</v>
          </cell>
          <cell r="G33">
            <v>1</v>
          </cell>
          <cell r="H33">
            <v>11055058</v>
          </cell>
          <cell r="I33">
            <v>20</v>
          </cell>
          <cell r="J33">
            <v>980000</v>
          </cell>
          <cell r="K33">
            <v>2760000</v>
          </cell>
          <cell r="N33" t="str">
            <v>INY1204</v>
          </cell>
          <cell r="O33">
            <v>31</v>
          </cell>
          <cell r="Q33">
            <v>138000</v>
          </cell>
          <cell r="U33">
            <v>634</v>
          </cell>
          <cell r="AJ33">
            <v>44</v>
          </cell>
          <cell r="AK33">
            <v>2392200</v>
          </cell>
          <cell r="AN33">
            <v>87492000</v>
          </cell>
          <cell r="AO33">
            <v>6072000</v>
          </cell>
        </row>
        <row r="34">
          <cell r="A34" t="str">
            <v>Y</v>
          </cell>
          <cell r="B34" t="str">
            <v>I</v>
          </cell>
          <cell r="C34" t="str">
            <v>의류</v>
          </cell>
          <cell r="E34" t="str">
            <v>2</v>
          </cell>
          <cell r="F34" t="str">
            <v>7</v>
          </cell>
          <cell r="G34">
            <v>1</v>
          </cell>
          <cell r="H34">
            <v>8944305</v>
          </cell>
          <cell r="I34">
            <v>5</v>
          </cell>
          <cell r="J34">
            <v>495000</v>
          </cell>
          <cell r="K34">
            <v>990000</v>
          </cell>
          <cell r="N34" t="str">
            <v>INY7201</v>
          </cell>
          <cell r="O34">
            <v>41</v>
          </cell>
          <cell r="Q34">
            <v>198000</v>
          </cell>
          <cell r="U34">
            <v>401</v>
          </cell>
          <cell r="AJ34">
            <v>30</v>
          </cell>
          <cell r="AK34">
            <v>2940300</v>
          </cell>
          <cell r="AN34">
            <v>79398000</v>
          </cell>
          <cell r="AO34">
            <v>5940000</v>
          </cell>
        </row>
        <row r="35">
          <cell r="A35" t="str">
            <v>Y</v>
          </cell>
          <cell r="B35" t="str">
            <v>I</v>
          </cell>
          <cell r="C35" t="str">
            <v>의류</v>
          </cell>
          <cell r="E35" t="str">
            <v>2</v>
          </cell>
          <cell r="F35" t="str">
            <v>7</v>
          </cell>
          <cell r="G35">
            <v>0</v>
          </cell>
          <cell r="H35">
            <v>18977413</v>
          </cell>
          <cell r="I35">
            <v>17</v>
          </cell>
          <cell r="J35">
            <v>1179900</v>
          </cell>
          <cell r="K35">
            <v>2346000</v>
          </cell>
          <cell r="N35" t="str">
            <v>ITY7206</v>
          </cell>
          <cell r="O35">
            <v>49</v>
          </cell>
          <cell r="Q35">
            <v>138000</v>
          </cell>
          <cell r="U35">
            <v>1391</v>
          </cell>
          <cell r="AJ35">
            <v>106</v>
          </cell>
          <cell r="AK35">
            <v>7238100</v>
          </cell>
          <cell r="AN35">
            <v>191958000</v>
          </cell>
          <cell r="AO35">
            <v>14628000</v>
          </cell>
        </row>
        <row r="36">
          <cell r="A36" t="str">
            <v>Y</v>
          </cell>
          <cell r="B36" t="str">
            <v>P</v>
          </cell>
          <cell r="C36" t="str">
            <v>의류</v>
          </cell>
          <cell r="E36" t="str">
            <v>2</v>
          </cell>
          <cell r="F36" t="str">
            <v>1</v>
          </cell>
          <cell r="G36">
            <v>1</v>
          </cell>
          <cell r="H36">
            <v>8485620</v>
          </cell>
          <cell r="I36">
            <v>16</v>
          </cell>
          <cell r="J36">
            <v>944000</v>
          </cell>
          <cell r="K36">
            <v>2528000</v>
          </cell>
          <cell r="N36" t="str">
            <v>P0Y1216</v>
          </cell>
          <cell r="O36">
            <v>76</v>
          </cell>
          <cell r="Q36">
            <v>158000</v>
          </cell>
          <cell r="U36">
            <v>598</v>
          </cell>
          <cell r="AJ36">
            <v>46</v>
          </cell>
          <cell r="AK36">
            <v>3084500</v>
          </cell>
          <cell r="AN36">
            <v>94484000</v>
          </cell>
          <cell r="AO36">
            <v>7268000</v>
          </cell>
        </row>
        <row r="37">
          <cell r="A37" t="str">
            <v>Y</v>
          </cell>
          <cell r="B37" t="str">
            <v>P</v>
          </cell>
          <cell r="C37" t="str">
            <v>의류</v>
          </cell>
          <cell r="E37" t="str">
            <v>2</v>
          </cell>
          <cell r="F37" t="str">
            <v>1</v>
          </cell>
          <cell r="G37">
            <v>0</v>
          </cell>
          <cell r="H37">
            <v>18288000</v>
          </cell>
          <cell r="I37">
            <v>18</v>
          </cell>
          <cell r="J37">
            <v>1422000</v>
          </cell>
          <cell r="K37">
            <v>2844000</v>
          </cell>
          <cell r="N37" t="str">
            <v>P0Y1207</v>
          </cell>
          <cell r="O37">
            <v>49</v>
          </cell>
          <cell r="Q37">
            <v>158000</v>
          </cell>
          <cell r="U37">
            <v>1125</v>
          </cell>
          <cell r="AJ37">
            <v>88</v>
          </cell>
          <cell r="AK37">
            <v>6675500</v>
          </cell>
          <cell r="AN37">
            <v>177750000</v>
          </cell>
          <cell r="AO37">
            <v>13904000</v>
          </cell>
        </row>
        <row r="38">
          <cell r="A38" t="str">
            <v>Y</v>
          </cell>
          <cell r="B38" t="str">
            <v>P</v>
          </cell>
          <cell r="C38" t="str">
            <v>의류</v>
          </cell>
          <cell r="E38" t="str">
            <v>2</v>
          </cell>
          <cell r="F38" t="str">
            <v>1</v>
          </cell>
          <cell r="G38">
            <v>1</v>
          </cell>
          <cell r="H38">
            <v>6338892</v>
          </cell>
          <cell r="I38">
            <v>6</v>
          </cell>
          <cell r="J38">
            <v>214000</v>
          </cell>
          <cell r="K38">
            <v>468000</v>
          </cell>
          <cell r="N38" t="str">
            <v>P0Y1201</v>
          </cell>
          <cell r="O38">
            <v>41</v>
          </cell>
          <cell r="Q38">
            <v>78000</v>
          </cell>
          <cell r="U38">
            <v>772</v>
          </cell>
          <cell r="AJ38">
            <v>62</v>
          </cell>
          <cell r="AK38">
            <v>2358500</v>
          </cell>
          <cell r="AN38">
            <v>60216000</v>
          </cell>
          <cell r="AO38">
            <v>4836000</v>
          </cell>
        </row>
        <row r="39">
          <cell r="A39" t="str">
            <v>Y</v>
          </cell>
          <cell r="B39" t="str">
            <v>P</v>
          </cell>
          <cell r="C39" t="str">
            <v>의류</v>
          </cell>
          <cell r="E39" t="str">
            <v>2</v>
          </cell>
          <cell r="F39" t="str">
            <v>7</v>
          </cell>
          <cell r="G39">
            <v>0</v>
          </cell>
          <cell r="H39">
            <v>10067379</v>
          </cell>
          <cell r="I39">
            <v>6</v>
          </cell>
          <cell r="J39">
            <v>414000</v>
          </cell>
          <cell r="K39">
            <v>828000</v>
          </cell>
          <cell r="N39" t="str">
            <v>PNY7203</v>
          </cell>
          <cell r="O39">
            <v>39</v>
          </cell>
          <cell r="Q39">
            <v>138000</v>
          </cell>
          <cell r="U39">
            <v>609</v>
          </cell>
          <cell r="AJ39">
            <v>49</v>
          </cell>
          <cell r="AK39">
            <v>3332700</v>
          </cell>
          <cell r="AN39">
            <v>84042000</v>
          </cell>
          <cell r="AO39">
            <v>6762000</v>
          </cell>
        </row>
        <row r="40">
          <cell r="A40" t="str">
            <v>Y</v>
          </cell>
          <cell r="B40" t="str">
            <v>I</v>
          </cell>
          <cell r="C40" t="str">
            <v>의류</v>
          </cell>
          <cell r="E40" t="str">
            <v>2</v>
          </cell>
          <cell r="F40" t="str">
            <v>1</v>
          </cell>
          <cell r="G40">
            <v>1</v>
          </cell>
          <cell r="H40">
            <v>11608521</v>
          </cell>
          <cell r="I40">
            <v>4</v>
          </cell>
          <cell r="J40">
            <v>236000</v>
          </cell>
          <cell r="K40">
            <v>632000</v>
          </cell>
          <cell r="N40" t="str">
            <v>I0Y1212</v>
          </cell>
          <cell r="O40">
            <v>45</v>
          </cell>
          <cell r="Q40">
            <v>158000</v>
          </cell>
          <cell r="U40">
            <v>733</v>
          </cell>
          <cell r="AJ40">
            <v>59</v>
          </cell>
          <cell r="AK40">
            <v>4274100</v>
          </cell>
          <cell r="AN40">
            <v>115814000</v>
          </cell>
          <cell r="AO40">
            <v>9322000</v>
          </cell>
        </row>
        <row r="41">
          <cell r="A41" t="str">
            <v>Y</v>
          </cell>
          <cell r="B41" t="str">
            <v>P</v>
          </cell>
          <cell r="C41" t="str">
            <v>의류</v>
          </cell>
          <cell r="E41" t="str">
            <v>2</v>
          </cell>
          <cell r="F41" t="str">
            <v>6</v>
          </cell>
          <cell r="G41">
            <v>1</v>
          </cell>
          <cell r="H41">
            <v>26198544</v>
          </cell>
          <cell r="I41">
            <v>8</v>
          </cell>
          <cell r="J41">
            <v>1192000</v>
          </cell>
          <cell r="K41">
            <v>2384000</v>
          </cell>
          <cell r="N41" t="str">
            <v>P0Y6202</v>
          </cell>
          <cell r="O41">
            <v>76</v>
          </cell>
          <cell r="Q41">
            <v>298000</v>
          </cell>
          <cell r="U41">
            <v>811</v>
          </cell>
          <cell r="AJ41">
            <v>67</v>
          </cell>
          <cell r="AK41">
            <v>9828700</v>
          </cell>
          <cell r="AN41">
            <v>241678000</v>
          </cell>
          <cell r="AO41">
            <v>19966000</v>
          </cell>
        </row>
        <row r="42">
          <cell r="A42" t="str">
            <v>Y</v>
          </cell>
          <cell r="B42" t="str">
            <v>I</v>
          </cell>
          <cell r="C42" t="str">
            <v>의류</v>
          </cell>
          <cell r="E42" t="str">
            <v>1</v>
          </cell>
          <cell r="F42" t="str">
            <v>6</v>
          </cell>
          <cell r="G42">
            <v>1</v>
          </cell>
          <cell r="H42">
            <v>18048500</v>
          </cell>
          <cell r="I42">
            <v>1</v>
          </cell>
          <cell r="J42">
            <v>129000</v>
          </cell>
          <cell r="K42">
            <v>318000</v>
          </cell>
          <cell r="N42" t="str">
            <v>INY6103</v>
          </cell>
          <cell r="O42">
            <v>36</v>
          </cell>
          <cell r="Q42">
            <v>318000</v>
          </cell>
          <cell r="U42">
            <v>500</v>
          </cell>
          <cell r="AJ42">
            <v>42</v>
          </cell>
          <cell r="AK42">
            <v>5966100</v>
          </cell>
          <cell r="AN42">
            <v>159000000</v>
          </cell>
          <cell r="AO42">
            <v>13356000</v>
          </cell>
        </row>
        <row r="43">
          <cell r="A43" t="str">
            <v>Y</v>
          </cell>
          <cell r="B43" t="str">
            <v>P</v>
          </cell>
          <cell r="C43" t="str">
            <v>의류</v>
          </cell>
          <cell r="E43" t="str">
            <v>2</v>
          </cell>
          <cell r="F43" t="str">
            <v>1</v>
          </cell>
          <cell r="G43">
            <v>1</v>
          </cell>
          <cell r="H43">
            <v>10276035</v>
          </cell>
          <cell r="I43">
            <v>9</v>
          </cell>
          <cell r="J43">
            <v>591000</v>
          </cell>
          <cell r="K43">
            <v>1242000</v>
          </cell>
          <cell r="N43" t="str">
            <v>PNY1205</v>
          </cell>
          <cell r="O43">
            <v>31</v>
          </cell>
          <cell r="Q43">
            <v>138000</v>
          </cell>
          <cell r="U43">
            <v>615</v>
          </cell>
          <cell r="AJ43">
            <v>52</v>
          </cell>
          <cell r="AK43">
            <v>3372400</v>
          </cell>
          <cell r="AN43">
            <v>84870000</v>
          </cell>
          <cell r="AO43">
            <v>7176000</v>
          </cell>
        </row>
        <row r="44">
          <cell r="A44" t="str">
            <v>Y</v>
          </cell>
          <cell r="B44" t="str">
            <v>I</v>
          </cell>
          <cell r="C44" t="str">
            <v>의류</v>
          </cell>
          <cell r="E44" t="str">
            <v>2</v>
          </cell>
          <cell r="F44" t="str">
            <v>7</v>
          </cell>
          <cell r="G44">
            <v>1</v>
          </cell>
          <cell r="H44">
            <v>13920200</v>
          </cell>
          <cell r="I44">
            <v>14</v>
          </cell>
          <cell r="J44">
            <v>686000</v>
          </cell>
          <cell r="K44">
            <v>1372000</v>
          </cell>
          <cell r="N44" t="str">
            <v>I0Y7205</v>
          </cell>
          <cell r="O44">
            <v>49</v>
          </cell>
          <cell r="Q44">
            <v>98000</v>
          </cell>
          <cell r="U44">
            <v>1304</v>
          </cell>
          <cell r="AJ44">
            <v>111</v>
          </cell>
          <cell r="AK44">
            <v>5473300</v>
          </cell>
          <cell r="AN44">
            <v>127792000</v>
          </cell>
          <cell r="AO44">
            <v>10878000</v>
          </cell>
        </row>
        <row r="45">
          <cell r="A45" t="str">
            <v>Y</v>
          </cell>
          <cell r="B45" t="str">
            <v>I</v>
          </cell>
          <cell r="C45" t="str">
            <v>의류</v>
          </cell>
          <cell r="E45" t="str">
            <v>2</v>
          </cell>
          <cell r="F45" t="str">
            <v>7</v>
          </cell>
          <cell r="G45">
            <v>0</v>
          </cell>
          <cell r="H45">
            <v>4259325</v>
          </cell>
          <cell r="I45">
            <v>7</v>
          </cell>
          <cell r="J45">
            <v>343000</v>
          </cell>
          <cell r="K45">
            <v>686000</v>
          </cell>
          <cell r="N45" t="str">
            <v>I0Y7205</v>
          </cell>
          <cell r="O45">
            <v>31</v>
          </cell>
          <cell r="Q45">
            <v>98000</v>
          </cell>
          <cell r="U45">
            <v>399</v>
          </cell>
          <cell r="AJ45">
            <v>34</v>
          </cell>
          <cell r="AK45">
            <v>1651300</v>
          </cell>
          <cell r="AN45">
            <v>39102000</v>
          </cell>
          <cell r="AO45">
            <v>3332000</v>
          </cell>
        </row>
        <row r="46">
          <cell r="A46" t="str">
            <v>Y</v>
          </cell>
          <cell r="B46" t="str">
            <v>P</v>
          </cell>
          <cell r="C46" t="str">
            <v>의류</v>
          </cell>
          <cell r="E46" t="str">
            <v>2</v>
          </cell>
          <cell r="F46" t="str">
            <v>1</v>
          </cell>
          <cell r="G46">
            <v>1</v>
          </cell>
          <cell r="H46">
            <v>14481246</v>
          </cell>
          <cell r="I46">
            <v>12</v>
          </cell>
          <cell r="J46">
            <v>708000</v>
          </cell>
          <cell r="K46">
            <v>1896000</v>
          </cell>
          <cell r="N46" t="str">
            <v>P0Y1206</v>
          </cell>
          <cell r="O46">
            <v>66</v>
          </cell>
          <cell r="Q46">
            <v>158000</v>
          </cell>
          <cell r="U46">
            <v>978</v>
          </cell>
          <cell r="AJ46">
            <v>84</v>
          </cell>
          <cell r="AK46">
            <v>5907295</v>
          </cell>
          <cell r="AN46">
            <v>154524000</v>
          </cell>
          <cell r="AO46">
            <v>13272000</v>
          </cell>
        </row>
        <row r="47">
          <cell r="A47" t="str">
            <v>Y</v>
          </cell>
          <cell r="B47" t="str">
            <v>P</v>
          </cell>
          <cell r="C47" t="str">
            <v>의류</v>
          </cell>
          <cell r="E47" t="str">
            <v>2</v>
          </cell>
          <cell r="F47" t="str">
            <v>1</v>
          </cell>
          <cell r="G47">
            <v>0</v>
          </cell>
          <cell r="H47">
            <v>15344520</v>
          </cell>
          <cell r="I47">
            <v>17</v>
          </cell>
          <cell r="J47">
            <v>813000</v>
          </cell>
          <cell r="K47">
            <v>1666000</v>
          </cell>
          <cell r="N47" t="str">
            <v>P0Y1202</v>
          </cell>
          <cell r="O47">
            <v>45</v>
          </cell>
          <cell r="Q47">
            <v>98000</v>
          </cell>
          <cell r="U47">
            <v>1420</v>
          </cell>
          <cell r="AJ47">
            <v>125</v>
          </cell>
          <cell r="AK47">
            <v>5937200</v>
          </cell>
          <cell r="AN47">
            <v>139160000</v>
          </cell>
          <cell r="AO47">
            <v>12250000</v>
          </cell>
        </row>
        <row r="48">
          <cell r="A48" t="str">
            <v>Y</v>
          </cell>
          <cell r="B48" t="str">
            <v>P</v>
          </cell>
          <cell r="C48" t="str">
            <v>의류</v>
          </cell>
          <cell r="E48" t="str">
            <v>2</v>
          </cell>
          <cell r="F48" t="str">
            <v>1</v>
          </cell>
          <cell r="G48">
            <v>1</v>
          </cell>
          <cell r="H48">
            <v>8523900</v>
          </cell>
          <cell r="I48">
            <v>17</v>
          </cell>
          <cell r="J48">
            <v>833000</v>
          </cell>
          <cell r="K48">
            <v>2006000</v>
          </cell>
          <cell r="N48" t="str">
            <v>P0Y1204</v>
          </cell>
          <cell r="O48">
            <v>76</v>
          </cell>
          <cell r="Q48">
            <v>118000</v>
          </cell>
          <cell r="U48">
            <v>700</v>
          </cell>
          <cell r="AJ48">
            <v>62</v>
          </cell>
          <cell r="AK48">
            <v>3314400</v>
          </cell>
          <cell r="AN48">
            <v>82600000</v>
          </cell>
          <cell r="AO48">
            <v>7316000</v>
          </cell>
        </row>
        <row r="49">
          <cell r="A49" t="str">
            <v>Y</v>
          </cell>
          <cell r="B49" t="str">
            <v>I</v>
          </cell>
          <cell r="C49" t="str">
            <v>의류</v>
          </cell>
          <cell r="E49" t="str">
            <v>2</v>
          </cell>
          <cell r="F49" t="str">
            <v>6</v>
          </cell>
          <cell r="G49">
            <v>1</v>
          </cell>
          <cell r="H49">
            <v>16312320</v>
          </cell>
          <cell r="I49">
            <v>1</v>
          </cell>
          <cell r="J49">
            <v>139000</v>
          </cell>
          <cell r="K49">
            <v>278000</v>
          </cell>
          <cell r="N49" t="str">
            <v>ITY6202</v>
          </cell>
          <cell r="O49">
            <v>38</v>
          </cell>
          <cell r="Q49">
            <v>278000</v>
          </cell>
          <cell r="U49">
            <v>531</v>
          </cell>
          <cell r="AJ49">
            <v>48</v>
          </cell>
          <cell r="AK49">
            <v>6563350</v>
          </cell>
          <cell r="AN49">
            <v>147618000</v>
          </cell>
          <cell r="AO49">
            <v>13344000</v>
          </cell>
        </row>
        <row r="50">
          <cell r="A50" t="str">
            <v>Y</v>
          </cell>
          <cell r="B50" t="str">
            <v>I</v>
          </cell>
          <cell r="C50" t="str">
            <v>의류</v>
          </cell>
          <cell r="E50" t="str">
            <v>2</v>
          </cell>
          <cell r="F50" t="str">
            <v>1</v>
          </cell>
          <cell r="G50">
            <v>0</v>
          </cell>
          <cell r="H50">
            <v>17507280</v>
          </cell>
          <cell r="I50">
            <v>28</v>
          </cell>
          <cell r="J50">
            <v>1372000</v>
          </cell>
          <cell r="K50">
            <v>3304000</v>
          </cell>
          <cell r="N50" t="str">
            <v>I0Y1204</v>
          </cell>
          <cell r="O50">
            <v>49</v>
          </cell>
          <cell r="Q50">
            <v>118000</v>
          </cell>
          <cell r="U50">
            <v>1190</v>
          </cell>
          <cell r="AJ50">
            <v>108</v>
          </cell>
          <cell r="AK50">
            <v>5827100</v>
          </cell>
          <cell r="AN50">
            <v>140420000</v>
          </cell>
          <cell r="AO50">
            <v>12744000</v>
          </cell>
        </row>
        <row r="51">
          <cell r="A51" t="str">
            <v>Y</v>
          </cell>
          <cell r="B51" t="str">
            <v>P</v>
          </cell>
          <cell r="C51" t="str">
            <v>의류</v>
          </cell>
          <cell r="E51" t="str">
            <v>2</v>
          </cell>
          <cell r="F51" t="str">
            <v>1</v>
          </cell>
          <cell r="G51">
            <v>1</v>
          </cell>
          <cell r="H51">
            <v>10740111</v>
          </cell>
          <cell r="I51">
            <v>15</v>
          </cell>
          <cell r="J51">
            <v>885000</v>
          </cell>
          <cell r="K51">
            <v>2070000</v>
          </cell>
          <cell r="N51" t="str">
            <v>P0Y1212</v>
          </cell>
          <cell r="O51">
            <v>66</v>
          </cell>
          <cell r="Q51">
            <v>138000</v>
          </cell>
          <cell r="U51">
            <v>893</v>
          </cell>
          <cell r="AJ51">
            <v>85</v>
          </cell>
          <cell r="AK51">
            <v>5353600</v>
          </cell>
          <cell r="AN51">
            <v>123234000</v>
          </cell>
          <cell r="AO51">
            <v>11730000</v>
          </cell>
        </row>
        <row r="52">
          <cell r="A52" t="str">
            <v>Y</v>
          </cell>
          <cell r="B52" t="str">
            <v>I</v>
          </cell>
          <cell r="C52" t="str">
            <v>의류</v>
          </cell>
          <cell r="E52" t="str">
            <v>2</v>
          </cell>
          <cell r="F52" t="str">
            <v>1</v>
          </cell>
          <cell r="G52">
            <v>0</v>
          </cell>
          <cell r="H52">
            <v>8809255</v>
          </cell>
          <cell r="I52">
            <v>16</v>
          </cell>
          <cell r="J52">
            <v>784000</v>
          </cell>
          <cell r="K52">
            <v>2208000</v>
          </cell>
          <cell r="N52" t="str">
            <v>ITY1203</v>
          </cell>
          <cell r="O52">
            <v>73</v>
          </cell>
          <cell r="Q52">
            <v>138000</v>
          </cell>
          <cell r="U52">
            <v>665</v>
          </cell>
          <cell r="AJ52">
            <v>64</v>
          </cell>
          <cell r="AK52">
            <v>3893900</v>
          </cell>
          <cell r="AN52">
            <v>91770000</v>
          </cell>
          <cell r="AO52">
            <v>8832000</v>
          </cell>
        </row>
        <row r="53">
          <cell r="A53" t="str">
            <v>Y</v>
          </cell>
          <cell r="B53" t="str">
            <v>P</v>
          </cell>
          <cell r="C53" t="str">
            <v>의류</v>
          </cell>
          <cell r="E53" t="str">
            <v>1</v>
          </cell>
          <cell r="F53" t="str">
            <v>1</v>
          </cell>
          <cell r="G53">
            <v>1</v>
          </cell>
          <cell r="H53">
            <v>7764540</v>
          </cell>
          <cell r="I53">
            <v>1</v>
          </cell>
          <cell r="J53">
            <v>49000</v>
          </cell>
          <cell r="K53">
            <v>138000</v>
          </cell>
          <cell r="N53" t="str">
            <v>PNY1102</v>
          </cell>
          <cell r="O53">
            <v>31</v>
          </cell>
          <cell r="Q53">
            <v>138000</v>
          </cell>
          <cell r="U53">
            <v>532</v>
          </cell>
          <cell r="AJ53">
            <v>52</v>
          </cell>
          <cell r="AK53">
            <v>2890000</v>
          </cell>
          <cell r="AN53">
            <v>73416000</v>
          </cell>
          <cell r="AO53">
            <v>7176000</v>
          </cell>
        </row>
        <row r="54">
          <cell r="A54" t="str">
            <v>Y</v>
          </cell>
          <cell r="B54" t="str">
            <v>P</v>
          </cell>
          <cell r="C54" t="str">
            <v>의류</v>
          </cell>
          <cell r="E54" t="str">
            <v>2</v>
          </cell>
          <cell r="F54" t="str">
            <v>Q</v>
          </cell>
          <cell r="G54">
            <v>1</v>
          </cell>
          <cell r="H54">
            <v>8556426</v>
          </cell>
          <cell r="I54">
            <v>15</v>
          </cell>
          <cell r="J54">
            <v>1485000</v>
          </cell>
          <cell r="K54">
            <v>2970000</v>
          </cell>
          <cell r="N54" t="str">
            <v>PNYQ202</v>
          </cell>
          <cell r="O54">
            <v>37</v>
          </cell>
          <cell r="Q54">
            <v>198000</v>
          </cell>
          <cell r="U54">
            <v>477</v>
          </cell>
          <cell r="AJ54">
            <v>47</v>
          </cell>
          <cell r="AK54">
            <v>4653000</v>
          </cell>
          <cell r="AN54">
            <v>94446000</v>
          </cell>
          <cell r="AO54">
            <v>9306000</v>
          </cell>
        </row>
        <row r="55">
          <cell r="A55" t="str">
            <v>Y</v>
          </cell>
          <cell r="B55" t="str">
            <v>P</v>
          </cell>
          <cell r="C55" t="str">
            <v>의류</v>
          </cell>
          <cell r="E55" t="str">
            <v>2</v>
          </cell>
          <cell r="F55" t="str">
            <v>1</v>
          </cell>
          <cell r="G55">
            <v>0</v>
          </cell>
          <cell r="H55">
            <v>15599019</v>
          </cell>
          <cell r="I55">
            <v>37</v>
          </cell>
          <cell r="J55">
            <v>2183000</v>
          </cell>
          <cell r="K55">
            <v>5106000</v>
          </cell>
          <cell r="N55" t="str">
            <v>P0Y1212</v>
          </cell>
          <cell r="O55">
            <v>31</v>
          </cell>
          <cell r="Q55">
            <v>138000</v>
          </cell>
          <cell r="U55">
            <v>1297</v>
          </cell>
          <cell r="AJ55">
            <v>128</v>
          </cell>
          <cell r="AK55">
            <v>8032300</v>
          </cell>
          <cell r="AN55">
            <v>178986000</v>
          </cell>
          <cell r="AO55">
            <v>17664000</v>
          </cell>
        </row>
        <row r="56">
          <cell r="A56" t="str">
            <v>Y</v>
          </cell>
          <cell r="B56" t="str">
            <v>P</v>
          </cell>
          <cell r="C56" t="str">
            <v>의류</v>
          </cell>
          <cell r="E56" t="str">
            <v>2</v>
          </cell>
          <cell r="F56" t="str">
            <v>7</v>
          </cell>
          <cell r="G56">
            <v>1</v>
          </cell>
          <cell r="H56">
            <v>17712055</v>
          </cell>
          <cell r="I56">
            <v>10</v>
          </cell>
          <cell r="J56">
            <v>1046400</v>
          </cell>
          <cell r="K56">
            <v>2180000</v>
          </cell>
          <cell r="N56" t="str">
            <v>PNY7202</v>
          </cell>
          <cell r="O56">
            <v>31</v>
          </cell>
          <cell r="Q56">
            <v>218000</v>
          </cell>
          <cell r="U56">
            <v>635</v>
          </cell>
          <cell r="AJ56">
            <v>63</v>
          </cell>
          <cell r="AK56">
            <v>6728000</v>
          </cell>
          <cell r="AN56">
            <v>138430000</v>
          </cell>
          <cell r="AO56">
            <v>13734000</v>
          </cell>
        </row>
        <row r="57">
          <cell r="A57" t="str">
            <v>Y</v>
          </cell>
          <cell r="B57" t="str">
            <v>I</v>
          </cell>
          <cell r="C57" t="str">
            <v>의류</v>
          </cell>
          <cell r="E57" t="str">
            <v>2</v>
          </cell>
          <cell r="F57" t="str">
            <v>7</v>
          </cell>
          <cell r="G57">
            <v>1</v>
          </cell>
          <cell r="H57">
            <v>20112792</v>
          </cell>
          <cell r="I57">
            <v>17</v>
          </cell>
          <cell r="J57">
            <v>1343000</v>
          </cell>
          <cell r="K57">
            <v>3366000</v>
          </cell>
          <cell r="N57" t="str">
            <v>I0Y7203</v>
          </cell>
          <cell r="O57">
            <v>34</v>
          </cell>
          <cell r="Q57">
            <v>198000</v>
          </cell>
          <cell r="U57">
            <v>1064</v>
          </cell>
          <cell r="AJ57">
            <v>106</v>
          </cell>
          <cell r="AK57">
            <v>9699250</v>
          </cell>
          <cell r="AN57">
            <v>210672000</v>
          </cell>
          <cell r="AO57">
            <v>20988000</v>
          </cell>
        </row>
        <row r="58">
          <cell r="A58" t="str">
            <v>Y</v>
          </cell>
          <cell r="B58" t="str">
            <v>I</v>
          </cell>
          <cell r="C58" t="str">
            <v>의류</v>
          </cell>
          <cell r="E58" t="str">
            <v>2</v>
          </cell>
          <cell r="F58" t="str">
            <v>1</v>
          </cell>
          <cell r="G58">
            <v>1</v>
          </cell>
          <cell r="H58">
            <v>6742272</v>
          </cell>
          <cell r="I58">
            <v>8</v>
          </cell>
          <cell r="J58">
            <v>282000</v>
          </cell>
          <cell r="K58">
            <v>624000</v>
          </cell>
          <cell r="N58" t="str">
            <v>I0Y1201</v>
          </cell>
          <cell r="O58">
            <v>73</v>
          </cell>
          <cell r="Q58">
            <v>78000</v>
          </cell>
          <cell r="U58">
            <v>768</v>
          </cell>
          <cell r="AJ58">
            <v>78</v>
          </cell>
          <cell r="AK58">
            <v>2956900</v>
          </cell>
          <cell r="AN58">
            <v>59904000</v>
          </cell>
          <cell r="AO58">
            <v>6084000</v>
          </cell>
        </row>
        <row r="59">
          <cell r="A59" t="str">
            <v>Y</v>
          </cell>
          <cell r="B59" t="str">
            <v>P</v>
          </cell>
          <cell r="C59" t="str">
            <v>의류</v>
          </cell>
          <cell r="E59" t="str">
            <v>2</v>
          </cell>
          <cell r="F59" t="str">
            <v>7</v>
          </cell>
          <cell r="G59">
            <v>1</v>
          </cell>
          <cell r="H59">
            <v>22514833</v>
          </cell>
          <cell r="I59">
            <v>11</v>
          </cell>
          <cell r="J59">
            <v>739000</v>
          </cell>
          <cell r="K59">
            <v>1518000</v>
          </cell>
          <cell r="N59" t="str">
            <v>PTY7205</v>
          </cell>
          <cell r="O59">
            <v>39</v>
          </cell>
          <cell r="Q59">
            <v>138000</v>
          </cell>
          <cell r="U59">
            <v>1177</v>
          </cell>
          <cell r="AJ59">
            <v>120</v>
          </cell>
          <cell r="AK59">
            <v>8060300</v>
          </cell>
          <cell r="AN59">
            <v>162426000</v>
          </cell>
          <cell r="AO59">
            <v>16560000</v>
          </cell>
        </row>
        <row r="60">
          <cell r="A60" t="str">
            <v>Y</v>
          </cell>
          <cell r="B60" t="str">
            <v>P</v>
          </cell>
          <cell r="C60" t="str">
            <v>의류</v>
          </cell>
          <cell r="E60" t="str">
            <v>1</v>
          </cell>
          <cell r="F60" t="str">
            <v>8</v>
          </cell>
          <cell r="G60">
            <v>1</v>
          </cell>
          <cell r="H60">
            <v>11262706</v>
          </cell>
          <cell r="I60">
            <v>1</v>
          </cell>
          <cell r="J60">
            <v>89000</v>
          </cell>
          <cell r="K60">
            <v>178000</v>
          </cell>
          <cell r="N60" t="str">
            <v>PTY8102</v>
          </cell>
          <cell r="O60">
            <v>73</v>
          </cell>
          <cell r="Q60">
            <v>178000</v>
          </cell>
          <cell r="U60">
            <v>494</v>
          </cell>
          <cell r="AJ60">
            <v>51</v>
          </cell>
          <cell r="AK60">
            <v>4479000</v>
          </cell>
          <cell r="AN60">
            <v>87932000</v>
          </cell>
          <cell r="AO60">
            <v>9078000</v>
          </cell>
        </row>
        <row r="61">
          <cell r="A61" t="str">
            <v>Y</v>
          </cell>
          <cell r="B61" t="str">
            <v>P</v>
          </cell>
          <cell r="C61" t="str">
            <v>의류</v>
          </cell>
          <cell r="E61" t="str">
            <v>1</v>
          </cell>
          <cell r="F61" t="str">
            <v>Q</v>
          </cell>
          <cell r="G61">
            <v>1</v>
          </cell>
          <cell r="H61">
            <v>3616101</v>
          </cell>
          <cell r="I61">
            <v>1</v>
          </cell>
          <cell r="J61">
            <v>99000</v>
          </cell>
          <cell r="K61">
            <v>198000</v>
          </cell>
          <cell r="N61" t="str">
            <v>PNYQ101</v>
          </cell>
          <cell r="O61">
            <v>31</v>
          </cell>
          <cell r="Q61">
            <v>198000</v>
          </cell>
          <cell r="U61">
            <v>213</v>
          </cell>
          <cell r="AJ61">
            <v>22</v>
          </cell>
          <cell r="AK61">
            <v>2069100</v>
          </cell>
          <cell r="AN61">
            <v>42174000</v>
          </cell>
          <cell r="AO61">
            <v>4356000</v>
          </cell>
        </row>
        <row r="62">
          <cell r="A62" t="str">
            <v>Y</v>
          </cell>
          <cell r="B62" t="str">
            <v>I</v>
          </cell>
          <cell r="C62" t="str">
            <v>의류</v>
          </cell>
          <cell r="E62" t="str">
            <v>2</v>
          </cell>
          <cell r="F62" t="str">
            <v>1</v>
          </cell>
          <cell r="G62">
            <v>1</v>
          </cell>
          <cell r="H62">
            <v>12253968</v>
          </cell>
          <cell r="I62">
            <v>21</v>
          </cell>
          <cell r="J62">
            <v>609000</v>
          </cell>
          <cell r="K62">
            <v>1218000</v>
          </cell>
          <cell r="N62" t="str">
            <v>ITY1205</v>
          </cell>
          <cell r="O62">
            <v>43</v>
          </cell>
          <cell r="Q62">
            <v>58000</v>
          </cell>
          <cell r="U62">
            <v>1548</v>
          </cell>
          <cell r="AJ62">
            <v>160</v>
          </cell>
          <cell r="AK62">
            <v>4570400</v>
          </cell>
          <cell r="AN62">
            <v>89784000</v>
          </cell>
          <cell r="AO62">
            <v>9280000</v>
          </cell>
        </row>
        <row r="63">
          <cell r="A63" t="str">
            <v>Y</v>
          </cell>
          <cell r="B63" t="str">
            <v>I</v>
          </cell>
          <cell r="C63" t="str">
            <v>의류</v>
          </cell>
          <cell r="E63" t="str">
            <v>2</v>
          </cell>
          <cell r="F63" t="str">
            <v>6</v>
          </cell>
          <cell r="G63">
            <v>1</v>
          </cell>
          <cell r="H63">
            <v>9366710</v>
          </cell>
          <cell r="I63">
            <v>2</v>
          </cell>
          <cell r="J63">
            <v>258000</v>
          </cell>
          <cell r="K63">
            <v>516000</v>
          </cell>
          <cell r="N63" t="str">
            <v>INY6202</v>
          </cell>
          <cell r="O63">
            <v>77</v>
          </cell>
          <cell r="Q63">
            <v>258000</v>
          </cell>
          <cell r="U63">
            <v>290</v>
          </cell>
          <cell r="AJ63">
            <v>30</v>
          </cell>
          <cell r="AK63">
            <v>3863550</v>
          </cell>
          <cell r="AN63">
            <v>74820000</v>
          </cell>
          <cell r="AO63">
            <v>7740000</v>
          </cell>
        </row>
        <row r="64">
          <cell r="A64" t="str">
            <v>Y</v>
          </cell>
          <cell r="B64" t="str">
            <v>I</v>
          </cell>
          <cell r="C64" t="str">
            <v>의류</v>
          </cell>
          <cell r="E64" t="str">
            <v>2</v>
          </cell>
          <cell r="F64" t="str">
            <v>1</v>
          </cell>
          <cell r="G64">
            <v>1</v>
          </cell>
          <cell r="H64">
            <v>11879892</v>
          </cell>
          <cell r="I64">
            <v>11</v>
          </cell>
          <cell r="J64">
            <v>649000</v>
          </cell>
          <cell r="K64">
            <v>1738000</v>
          </cell>
          <cell r="N64" t="str">
            <v>I0Y1205</v>
          </cell>
          <cell r="O64">
            <v>31</v>
          </cell>
          <cell r="Q64">
            <v>158000</v>
          </cell>
          <cell r="U64">
            <v>694</v>
          </cell>
          <cell r="AJ64">
            <v>72</v>
          </cell>
          <cell r="AK64">
            <v>5095200</v>
          </cell>
          <cell r="AN64">
            <v>109652000</v>
          </cell>
          <cell r="AO64">
            <v>11376000</v>
          </cell>
        </row>
        <row r="65">
          <cell r="A65" t="str">
            <v>Y</v>
          </cell>
          <cell r="B65" t="str">
            <v>I</v>
          </cell>
          <cell r="C65" t="str">
            <v>의류</v>
          </cell>
          <cell r="E65" t="str">
            <v>2</v>
          </cell>
          <cell r="F65" t="str">
            <v>1</v>
          </cell>
          <cell r="G65">
            <v>1</v>
          </cell>
          <cell r="H65">
            <v>16755672</v>
          </cell>
          <cell r="I65">
            <v>18</v>
          </cell>
          <cell r="J65">
            <v>1062000</v>
          </cell>
          <cell r="K65">
            <v>2844000</v>
          </cell>
          <cell r="N65" t="str">
            <v>I0Y1213</v>
          </cell>
          <cell r="O65">
            <v>76</v>
          </cell>
          <cell r="Q65">
            <v>158000</v>
          </cell>
          <cell r="U65">
            <v>888</v>
          </cell>
          <cell r="AJ65">
            <v>93</v>
          </cell>
          <cell r="AK65">
            <v>6635900</v>
          </cell>
          <cell r="AN65">
            <v>140304000</v>
          </cell>
          <cell r="AO65">
            <v>14694000</v>
          </cell>
        </row>
        <row r="66">
          <cell r="A66" t="str">
            <v>Y</v>
          </cell>
          <cell r="B66" t="str">
            <v>I</v>
          </cell>
          <cell r="C66" t="str">
            <v>의류</v>
          </cell>
          <cell r="E66" t="str">
            <v>2</v>
          </cell>
          <cell r="F66" t="str">
            <v>1</v>
          </cell>
          <cell r="G66">
            <v>1</v>
          </cell>
          <cell r="H66">
            <v>20397698</v>
          </cell>
          <cell r="I66">
            <v>17</v>
          </cell>
          <cell r="J66">
            <v>1173000</v>
          </cell>
          <cell r="K66">
            <v>2346000</v>
          </cell>
          <cell r="N66" t="str">
            <v>I0Y1210</v>
          </cell>
          <cell r="O66">
            <v>49</v>
          </cell>
          <cell r="Q66">
            <v>138000</v>
          </cell>
          <cell r="U66">
            <v>1402</v>
          </cell>
          <cell r="AJ66">
            <v>147</v>
          </cell>
          <cell r="AK66">
            <v>9599995</v>
          </cell>
          <cell r="AN66">
            <v>193476000</v>
          </cell>
          <cell r="AO66">
            <v>20286000</v>
          </cell>
        </row>
        <row r="67">
          <cell r="A67" t="str">
            <v>Y</v>
          </cell>
          <cell r="B67" t="str">
            <v>I</v>
          </cell>
          <cell r="C67" t="str">
            <v>의류</v>
          </cell>
          <cell r="E67" t="str">
            <v>2</v>
          </cell>
          <cell r="F67" t="str">
            <v>1</v>
          </cell>
          <cell r="G67">
            <v>0</v>
          </cell>
          <cell r="H67">
            <v>15554940</v>
          </cell>
          <cell r="I67">
            <v>22</v>
          </cell>
          <cell r="J67">
            <v>638000</v>
          </cell>
          <cell r="K67">
            <v>1276000</v>
          </cell>
          <cell r="N67" t="str">
            <v>ITY1205</v>
          </cell>
          <cell r="O67">
            <v>34</v>
          </cell>
          <cell r="Q67">
            <v>58000</v>
          </cell>
          <cell r="U67">
            <v>1965</v>
          </cell>
          <cell r="AJ67">
            <v>207</v>
          </cell>
          <cell r="AK67">
            <v>5900200</v>
          </cell>
          <cell r="AN67">
            <v>113970000</v>
          </cell>
          <cell r="AO67">
            <v>12006000</v>
          </cell>
        </row>
        <row r="68">
          <cell r="A68" t="str">
            <v>Y</v>
          </cell>
          <cell r="B68" t="str">
            <v>I</v>
          </cell>
          <cell r="C68" t="str">
            <v>의류</v>
          </cell>
          <cell r="E68" t="str">
            <v>2</v>
          </cell>
          <cell r="F68" t="str">
            <v>1</v>
          </cell>
          <cell r="G68">
            <v>1</v>
          </cell>
          <cell r="H68">
            <v>11442978</v>
          </cell>
          <cell r="I68">
            <v>17</v>
          </cell>
          <cell r="J68">
            <v>1003000</v>
          </cell>
          <cell r="K68">
            <v>2686000</v>
          </cell>
          <cell r="N68" t="str">
            <v>INY1205</v>
          </cell>
          <cell r="O68">
            <v>34</v>
          </cell>
          <cell r="Q68">
            <v>158000</v>
          </cell>
          <cell r="U68">
            <v>722</v>
          </cell>
          <cell r="AJ68">
            <v>76</v>
          </cell>
          <cell r="AK68">
            <v>5069700</v>
          </cell>
          <cell r="AN68">
            <v>114076000</v>
          </cell>
          <cell r="AO68">
            <v>12008000</v>
          </cell>
        </row>
        <row r="69">
          <cell r="A69" t="str">
            <v>Y</v>
          </cell>
          <cell r="B69" t="str">
            <v>I</v>
          </cell>
          <cell r="C69" t="str">
            <v>의류</v>
          </cell>
          <cell r="E69" t="str">
            <v>2</v>
          </cell>
          <cell r="F69" t="str">
            <v>1</v>
          </cell>
          <cell r="G69">
            <v>0</v>
          </cell>
          <cell r="H69">
            <v>12048967</v>
          </cell>
          <cell r="I69">
            <v>19</v>
          </cell>
          <cell r="J69">
            <v>931000</v>
          </cell>
          <cell r="K69">
            <v>2622000</v>
          </cell>
          <cell r="N69" t="str">
            <v>INY1204</v>
          </cell>
          <cell r="O69">
            <v>39</v>
          </cell>
          <cell r="Q69">
            <v>138000</v>
          </cell>
          <cell r="U69">
            <v>691</v>
          </cell>
          <cell r="AJ69">
            <v>73</v>
          </cell>
          <cell r="AK69">
            <v>4154900</v>
          </cell>
          <cell r="AN69">
            <v>95358000</v>
          </cell>
          <cell r="AO69">
            <v>10074000</v>
          </cell>
        </row>
        <row r="70">
          <cell r="A70" t="str">
            <v>Y</v>
          </cell>
          <cell r="B70" t="str">
            <v>P</v>
          </cell>
          <cell r="C70" t="str">
            <v>의류</v>
          </cell>
          <cell r="E70" t="str">
            <v>2</v>
          </cell>
          <cell r="F70" t="str">
            <v>1</v>
          </cell>
          <cell r="G70">
            <v>0</v>
          </cell>
          <cell r="H70">
            <v>10308924</v>
          </cell>
          <cell r="I70">
            <v>14</v>
          </cell>
          <cell r="J70">
            <v>686000</v>
          </cell>
          <cell r="K70">
            <v>1372000</v>
          </cell>
          <cell r="N70" t="str">
            <v>P0Y1202</v>
          </cell>
          <cell r="O70">
            <v>66</v>
          </cell>
          <cell r="Q70">
            <v>98000</v>
          </cell>
          <cell r="U70">
            <v>954</v>
          </cell>
          <cell r="AJ70">
            <v>101</v>
          </cell>
          <cell r="AK70">
            <v>4855500</v>
          </cell>
          <cell r="AN70">
            <v>93492000</v>
          </cell>
          <cell r="AO70">
            <v>9898000</v>
          </cell>
        </row>
        <row r="71">
          <cell r="A71" t="str">
            <v>Y</v>
          </cell>
          <cell r="B71" t="str">
            <v>I</v>
          </cell>
          <cell r="C71" t="str">
            <v>의류</v>
          </cell>
          <cell r="E71" t="str">
            <v>2</v>
          </cell>
          <cell r="F71" t="str">
            <v>8</v>
          </cell>
          <cell r="G71">
            <v>1</v>
          </cell>
          <cell r="H71">
            <v>7285332</v>
          </cell>
          <cell r="I71">
            <v>10</v>
          </cell>
          <cell r="J71">
            <v>690000</v>
          </cell>
          <cell r="K71">
            <v>1780000</v>
          </cell>
          <cell r="N71" t="str">
            <v>ITY8202</v>
          </cell>
          <cell r="O71">
            <v>49</v>
          </cell>
          <cell r="Q71">
            <v>178000</v>
          </cell>
          <cell r="U71">
            <v>404</v>
          </cell>
          <cell r="AJ71">
            <v>43</v>
          </cell>
          <cell r="AK71">
            <v>3286800</v>
          </cell>
          <cell r="AN71">
            <v>71912000</v>
          </cell>
          <cell r="AO71">
            <v>7654000</v>
          </cell>
        </row>
        <row r="72">
          <cell r="A72" t="str">
            <v>Y</v>
          </cell>
          <cell r="B72" t="str">
            <v>P</v>
          </cell>
          <cell r="C72" t="str">
            <v>의류</v>
          </cell>
          <cell r="E72" t="str">
            <v>2</v>
          </cell>
          <cell r="F72" t="str">
            <v>Q</v>
          </cell>
          <cell r="G72">
            <v>0</v>
          </cell>
          <cell r="H72">
            <v>5819700</v>
          </cell>
          <cell r="I72">
            <v>4</v>
          </cell>
          <cell r="J72">
            <v>376000</v>
          </cell>
          <cell r="K72">
            <v>792000</v>
          </cell>
          <cell r="N72" t="str">
            <v>PNYQ201</v>
          </cell>
          <cell r="O72">
            <v>41</v>
          </cell>
          <cell r="Q72">
            <v>198000</v>
          </cell>
          <cell r="U72">
            <v>285</v>
          </cell>
          <cell r="AJ72">
            <v>31</v>
          </cell>
          <cell r="AK72">
            <v>2954350</v>
          </cell>
          <cell r="AN72">
            <v>56430000</v>
          </cell>
          <cell r="AO72">
            <v>6138000</v>
          </cell>
        </row>
        <row r="73">
          <cell r="A73" t="str">
            <v>Y</v>
          </cell>
          <cell r="B73" t="str">
            <v>I</v>
          </cell>
          <cell r="C73" t="str">
            <v>의류</v>
          </cell>
          <cell r="E73" t="str">
            <v>2</v>
          </cell>
          <cell r="F73" t="str">
            <v>7</v>
          </cell>
          <cell r="G73">
            <v>0</v>
          </cell>
          <cell r="H73">
            <v>7120225</v>
          </cell>
          <cell r="I73">
            <v>13</v>
          </cell>
          <cell r="J73">
            <v>637000</v>
          </cell>
          <cell r="K73">
            <v>1274000</v>
          </cell>
          <cell r="N73" t="str">
            <v>I0Y7205</v>
          </cell>
          <cell r="O73">
            <v>53</v>
          </cell>
          <cell r="Q73">
            <v>98000</v>
          </cell>
          <cell r="U73">
            <v>667</v>
          </cell>
          <cell r="AJ73">
            <v>73</v>
          </cell>
          <cell r="AK73">
            <v>3557400</v>
          </cell>
          <cell r="AN73">
            <v>65366000</v>
          </cell>
          <cell r="AO73">
            <v>7154000</v>
          </cell>
        </row>
        <row r="74">
          <cell r="A74" t="str">
            <v>Y</v>
          </cell>
          <cell r="B74" t="str">
            <v>I</v>
          </cell>
          <cell r="C74" t="str">
            <v>의류</v>
          </cell>
          <cell r="E74" t="str">
            <v>1</v>
          </cell>
          <cell r="F74" t="str">
            <v>7</v>
          </cell>
          <cell r="G74">
            <v>0</v>
          </cell>
          <cell r="H74">
            <v>14148400</v>
          </cell>
          <cell r="I74">
            <v>9</v>
          </cell>
          <cell r="J74">
            <v>711000</v>
          </cell>
          <cell r="K74">
            <v>1782000</v>
          </cell>
          <cell r="N74" t="str">
            <v>INY7101</v>
          </cell>
          <cell r="O74">
            <v>31</v>
          </cell>
          <cell r="Q74">
            <v>198000</v>
          </cell>
          <cell r="U74">
            <v>652</v>
          </cell>
          <cell r="AJ74">
            <v>72</v>
          </cell>
          <cell r="AK74">
            <v>6180100</v>
          </cell>
          <cell r="AN74">
            <v>129096000</v>
          </cell>
          <cell r="AO74">
            <v>14256000</v>
          </cell>
        </row>
        <row r="75">
          <cell r="A75" t="str">
            <v>Y</v>
          </cell>
          <cell r="B75" t="str">
            <v>P</v>
          </cell>
          <cell r="C75" t="str">
            <v>의류</v>
          </cell>
          <cell r="E75" t="str">
            <v>2</v>
          </cell>
          <cell r="F75" t="str">
            <v>1</v>
          </cell>
          <cell r="G75">
            <v>1</v>
          </cell>
          <cell r="H75">
            <v>14420898</v>
          </cell>
          <cell r="I75">
            <v>34</v>
          </cell>
          <cell r="J75">
            <v>2326000</v>
          </cell>
          <cell r="K75">
            <v>4692000</v>
          </cell>
          <cell r="N75" t="str">
            <v>P0Y1205</v>
          </cell>
          <cell r="O75">
            <v>49</v>
          </cell>
          <cell r="Q75">
            <v>138000</v>
          </cell>
          <cell r="U75">
            <v>1062</v>
          </cell>
          <cell r="AJ75">
            <v>118</v>
          </cell>
          <cell r="AK75">
            <v>7898800</v>
          </cell>
          <cell r="AN75">
            <v>146556000</v>
          </cell>
          <cell r="AO75">
            <v>16284000</v>
          </cell>
        </row>
        <row r="76">
          <cell r="A76" t="str">
            <v>Y</v>
          </cell>
          <cell r="B76" t="str">
            <v>P</v>
          </cell>
          <cell r="C76" t="str">
            <v>의류</v>
          </cell>
          <cell r="E76" t="str">
            <v>2</v>
          </cell>
          <cell r="F76" t="str">
            <v>1</v>
          </cell>
          <cell r="G76">
            <v>1</v>
          </cell>
          <cell r="H76">
            <v>23711275</v>
          </cell>
          <cell r="I76">
            <v>28</v>
          </cell>
          <cell r="J76">
            <v>1652000</v>
          </cell>
          <cell r="K76">
            <v>3864000</v>
          </cell>
          <cell r="N76" t="str">
            <v>P0Y1210</v>
          </cell>
          <cell r="O76">
            <v>66</v>
          </cell>
          <cell r="Q76">
            <v>138000</v>
          </cell>
          <cell r="U76">
            <v>1505</v>
          </cell>
          <cell r="AJ76">
            <v>169</v>
          </cell>
          <cell r="AK76">
            <v>10677800</v>
          </cell>
          <cell r="AN76">
            <v>207690000</v>
          </cell>
          <cell r="AO76">
            <v>23322000</v>
          </cell>
        </row>
        <row r="77">
          <cell r="A77" t="str">
            <v>Y</v>
          </cell>
          <cell r="B77" t="str">
            <v>P</v>
          </cell>
          <cell r="C77" t="str">
            <v>의류</v>
          </cell>
          <cell r="E77" t="str">
            <v>2</v>
          </cell>
          <cell r="F77" t="str">
            <v>7</v>
          </cell>
          <cell r="G77">
            <v>1</v>
          </cell>
          <cell r="H77">
            <v>8464665</v>
          </cell>
          <cell r="I77">
            <v>5</v>
          </cell>
          <cell r="J77">
            <v>395000</v>
          </cell>
          <cell r="K77">
            <v>790000</v>
          </cell>
          <cell r="N77" t="str">
            <v>P0Y7207</v>
          </cell>
          <cell r="O77">
            <v>76</v>
          </cell>
          <cell r="Q77">
            <v>158000</v>
          </cell>
          <cell r="U77">
            <v>435</v>
          </cell>
          <cell r="AJ77">
            <v>49</v>
          </cell>
          <cell r="AK77">
            <v>3522400</v>
          </cell>
          <cell r="AN77">
            <v>68730000</v>
          </cell>
          <cell r="AO77">
            <v>7742000</v>
          </cell>
        </row>
        <row r="78">
          <cell r="A78" t="str">
            <v>Y</v>
          </cell>
          <cell r="B78" t="str">
            <v>P</v>
          </cell>
          <cell r="C78" t="str">
            <v>의류</v>
          </cell>
          <cell r="E78" t="str">
            <v>2</v>
          </cell>
          <cell r="F78" t="str">
            <v>1</v>
          </cell>
          <cell r="G78">
            <v>1</v>
          </cell>
          <cell r="H78">
            <v>6265679</v>
          </cell>
          <cell r="I78">
            <v>5</v>
          </cell>
          <cell r="J78">
            <v>295000</v>
          </cell>
          <cell r="K78">
            <v>590000</v>
          </cell>
          <cell r="N78" t="str">
            <v>PNY1203</v>
          </cell>
          <cell r="O78">
            <v>39</v>
          </cell>
          <cell r="Q78">
            <v>118000</v>
          </cell>
          <cell r="U78">
            <v>497</v>
          </cell>
          <cell r="AJ78">
            <v>56</v>
          </cell>
          <cell r="AK78">
            <v>3206800</v>
          </cell>
          <cell r="AN78">
            <v>58646000</v>
          </cell>
          <cell r="AO78">
            <v>6608000</v>
          </cell>
        </row>
        <row r="79">
          <cell r="A79" t="str">
            <v>Y</v>
          </cell>
          <cell r="B79" t="str">
            <v>P</v>
          </cell>
          <cell r="C79" t="str">
            <v>의류</v>
          </cell>
          <cell r="E79" t="str">
            <v>1</v>
          </cell>
          <cell r="F79" t="str">
            <v>6</v>
          </cell>
          <cell r="G79">
            <v>1</v>
          </cell>
          <cell r="H79">
            <v>14231100</v>
          </cell>
          <cell r="I79">
            <v>0</v>
          </cell>
          <cell r="J79">
            <v>0</v>
          </cell>
          <cell r="K79">
            <v>0</v>
          </cell>
          <cell r="N79" t="str">
            <v>P0Y6102</v>
          </cell>
          <cell r="O79">
            <v>49</v>
          </cell>
          <cell r="Q79">
            <v>318000</v>
          </cell>
          <cell r="U79">
            <v>390</v>
          </cell>
          <cell r="AJ79">
            <v>44</v>
          </cell>
          <cell r="AK79">
            <v>6398400</v>
          </cell>
          <cell r="AN79">
            <v>124020000</v>
          </cell>
          <cell r="AO79">
            <v>13992000</v>
          </cell>
        </row>
        <row r="80">
          <cell r="A80" t="str">
            <v>Y</v>
          </cell>
          <cell r="B80" t="str">
            <v>I</v>
          </cell>
          <cell r="C80" t="str">
            <v>의류</v>
          </cell>
          <cell r="E80" t="str">
            <v>1</v>
          </cell>
          <cell r="F80" t="str">
            <v>7</v>
          </cell>
          <cell r="G80">
            <v>0</v>
          </cell>
          <cell r="H80">
            <v>21135800</v>
          </cell>
          <cell r="I80">
            <v>4</v>
          </cell>
          <cell r="J80">
            <v>316000</v>
          </cell>
          <cell r="K80">
            <v>792000</v>
          </cell>
          <cell r="N80" t="str">
            <v>INY7101</v>
          </cell>
          <cell r="O80">
            <v>39</v>
          </cell>
          <cell r="Q80">
            <v>198000</v>
          </cell>
          <cell r="U80">
            <v>974</v>
          </cell>
          <cell r="AJ80">
            <v>110</v>
          </cell>
          <cell r="AK80">
            <v>9634100</v>
          </cell>
          <cell r="AN80">
            <v>192852000</v>
          </cell>
          <cell r="AO80">
            <v>21780000</v>
          </cell>
        </row>
        <row r="81">
          <cell r="A81" t="str">
            <v>Y</v>
          </cell>
          <cell r="B81" t="str">
            <v>I</v>
          </cell>
          <cell r="C81" t="str">
            <v>의류</v>
          </cell>
          <cell r="E81" t="str">
            <v>1</v>
          </cell>
          <cell r="F81" t="str">
            <v>7</v>
          </cell>
          <cell r="G81">
            <v>1</v>
          </cell>
          <cell r="H81">
            <v>15920406</v>
          </cell>
          <cell r="I81">
            <v>1</v>
          </cell>
          <cell r="J81">
            <v>79000</v>
          </cell>
          <cell r="K81">
            <v>158000</v>
          </cell>
          <cell r="N81" t="str">
            <v>I0Y7102</v>
          </cell>
          <cell r="O81">
            <v>54</v>
          </cell>
          <cell r="Q81">
            <v>158000</v>
          </cell>
          <cell r="U81">
            <v>921</v>
          </cell>
          <cell r="AJ81">
            <v>104</v>
          </cell>
          <cell r="AK81">
            <v>7961700</v>
          </cell>
          <cell r="AN81">
            <v>145518000</v>
          </cell>
          <cell r="AO81">
            <v>16432000</v>
          </cell>
        </row>
        <row r="82">
          <cell r="A82" t="str">
            <v>Y</v>
          </cell>
          <cell r="B82" t="str">
            <v>P</v>
          </cell>
          <cell r="C82" t="str">
            <v>의류</v>
          </cell>
          <cell r="E82" t="str">
            <v>2</v>
          </cell>
          <cell r="F82" t="str">
            <v>7</v>
          </cell>
          <cell r="G82">
            <v>1</v>
          </cell>
          <cell r="H82">
            <v>14687360</v>
          </cell>
          <cell r="I82">
            <v>14</v>
          </cell>
          <cell r="J82">
            <v>1106000</v>
          </cell>
          <cell r="K82">
            <v>2212000</v>
          </cell>
          <cell r="N82" t="str">
            <v>P0Y7201</v>
          </cell>
          <cell r="O82">
            <v>53</v>
          </cell>
          <cell r="Q82">
            <v>158000</v>
          </cell>
          <cell r="U82">
            <v>866</v>
          </cell>
          <cell r="AJ82">
            <v>98</v>
          </cell>
          <cell r="AK82">
            <v>7663000</v>
          </cell>
          <cell r="AN82">
            <v>136828000</v>
          </cell>
          <cell r="AO82">
            <v>15484000</v>
          </cell>
        </row>
        <row r="83">
          <cell r="A83" t="str">
            <v>Y</v>
          </cell>
          <cell r="B83" t="str">
            <v>P</v>
          </cell>
          <cell r="C83" t="str">
            <v>의류</v>
          </cell>
          <cell r="E83" t="str">
            <v>1</v>
          </cell>
          <cell r="F83" t="str">
            <v>5</v>
          </cell>
          <cell r="G83">
            <v>1</v>
          </cell>
          <cell r="H83">
            <v>11917320</v>
          </cell>
          <cell r="I83">
            <v>0</v>
          </cell>
          <cell r="J83">
            <v>0</v>
          </cell>
          <cell r="K83">
            <v>0</v>
          </cell>
          <cell r="N83" t="str">
            <v>P0Y5101</v>
          </cell>
          <cell r="O83">
            <v>31</v>
          </cell>
          <cell r="Q83">
            <v>338000</v>
          </cell>
          <cell r="U83">
            <v>282</v>
          </cell>
          <cell r="AJ83">
            <v>32</v>
          </cell>
          <cell r="AK83">
            <v>4982700</v>
          </cell>
          <cell r="AN83">
            <v>95316000</v>
          </cell>
          <cell r="AO83">
            <v>10816000</v>
          </cell>
        </row>
        <row r="84">
          <cell r="A84" t="str">
            <v>Y</v>
          </cell>
          <cell r="B84" t="str">
            <v>P</v>
          </cell>
          <cell r="C84" t="str">
            <v>의류</v>
          </cell>
          <cell r="E84" t="str">
            <v>2</v>
          </cell>
          <cell r="F84" t="str">
            <v>7</v>
          </cell>
          <cell r="G84">
            <v>1</v>
          </cell>
          <cell r="H84">
            <v>7911856</v>
          </cell>
          <cell r="I84">
            <v>15</v>
          </cell>
          <cell r="J84">
            <v>1035000</v>
          </cell>
          <cell r="K84">
            <v>2070000</v>
          </cell>
          <cell r="N84" t="str">
            <v>P0Y7206</v>
          </cell>
          <cell r="O84">
            <v>31</v>
          </cell>
          <cell r="Q84">
            <v>138000</v>
          </cell>
          <cell r="U84">
            <v>478</v>
          </cell>
          <cell r="AJ84">
            <v>55</v>
          </cell>
          <cell r="AK84">
            <v>3682200</v>
          </cell>
          <cell r="AN84">
            <v>65964000</v>
          </cell>
          <cell r="AO84">
            <v>7590000</v>
          </cell>
        </row>
        <row r="85">
          <cell r="A85" t="str">
            <v>Y</v>
          </cell>
          <cell r="B85" t="str">
            <v>P</v>
          </cell>
          <cell r="C85" t="str">
            <v>의류</v>
          </cell>
          <cell r="E85" t="str">
            <v>2</v>
          </cell>
          <cell r="F85" t="str">
            <v>1</v>
          </cell>
          <cell r="G85">
            <v>0</v>
          </cell>
          <cell r="H85">
            <v>7910665</v>
          </cell>
          <cell r="I85">
            <v>8</v>
          </cell>
          <cell r="J85">
            <v>552000</v>
          </cell>
          <cell r="K85">
            <v>1104000</v>
          </cell>
          <cell r="N85" t="str">
            <v>P0Y1211</v>
          </cell>
          <cell r="O85">
            <v>71</v>
          </cell>
          <cell r="Q85">
            <v>138000</v>
          </cell>
          <cell r="U85">
            <v>553</v>
          </cell>
          <cell r="AJ85">
            <v>64</v>
          </cell>
          <cell r="AK85">
            <v>4303900</v>
          </cell>
          <cell r="AN85">
            <v>76314000</v>
          </cell>
          <cell r="AO85">
            <v>8832000</v>
          </cell>
        </row>
        <row r="86">
          <cell r="A86" t="str">
            <v>Y</v>
          </cell>
          <cell r="B86" t="str">
            <v>P</v>
          </cell>
          <cell r="C86" t="str">
            <v>의류</v>
          </cell>
          <cell r="E86" t="str">
            <v>2</v>
          </cell>
          <cell r="F86" t="str">
            <v>7</v>
          </cell>
          <cell r="G86">
            <v>0</v>
          </cell>
          <cell r="H86">
            <v>11500398</v>
          </cell>
          <cell r="I86">
            <v>19</v>
          </cell>
          <cell r="J86">
            <v>1091000</v>
          </cell>
          <cell r="K86">
            <v>2242000</v>
          </cell>
          <cell r="N86" t="str">
            <v>PTY7203</v>
          </cell>
          <cell r="O86">
            <v>39</v>
          </cell>
          <cell r="Q86">
            <v>118000</v>
          </cell>
          <cell r="U86">
            <v>826</v>
          </cell>
          <cell r="AJ86">
            <v>96</v>
          </cell>
          <cell r="AK86">
            <v>5516800</v>
          </cell>
          <cell r="AN86">
            <v>97468000</v>
          </cell>
          <cell r="AO86">
            <v>11328000</v>
          </cell>
        </row>
        <row r="87">
          <cell r="A87" t="str">
            <v>Y</v>
          </cell>
          <cell r="B87" t="str">
            <v>I</v>
          </cell>
          <cell r="C87" t="str">
            <v>의류</v>
          </cell>
          <cell r="E87" t="str">
            <v>2</v>
          </cell>
          <cell r="F87" t="str">
            <v>1</v>
          </cell>
          <cell r="G87">
            <v>1</v>
          </cell>
          <cell r="H87">
            <v>17045314</v>
          </cell>
          <cell r="I87">
            <v>15</v>
          </cell>
          <cell r="J87">
            <v>1185000</v>
          </cell>
          <cell r="K87">
            <v>2370000</v>
          </cell>
          <cell r="N87" t="str">
            <v>I0Y1203</v>
          </cell>
          <cell r="O87">
            <v>34</v>
          </cell>
          <cell r="Q87">
            <v>158000</v>
          </cell>
          <cell r="U87">
            <v>1114</v>
          </cell>
          <cell r="AJ87">
            <v>130</v>
          </cell>
          <cell r="AK87">
            <v>10030400</v>
          </cell>
          <cell r="AN87">
            <v>176012000</v>
          </cell>
          <cell r="AO87">
            <v>20540000</v>
          </cell>
        </row>
        <row r="88">
          <cell r="A88" t="str">
            <v>Y</v>
          </cell>
          <cell r="B88" t="str">
            <v>P</v>
          </cell>
          <cell r="C88" t="str">
            <v>의류</v>
          </cell>
          <cell r="E88" t="str">
            <v>2</v>
          </cell>
          <cell r="F88" t="str">
            <v>7</v>
          </cell>
          <cell r="G88">
            <v>1</v>
          </cell>
          <cell r="H88">
            <v>5080966</v>
          </cell>
          <cell r="I88">
            <v>8</v>
          </cell>
          <cell r="J88">
            <v>472000</v>
          </cell>
          <cell r="K88">
            <v>944000</v>
          </cell>
          <cell r="N88" t="str">
            <v>PTY7201</v>
          </cell>
          <cell r="O88">
            <v>54</v>
          </cell>
          <cell r="Q88">
            <v>118000</v>
          </cell>
          <cell r="U88">
            <v>473</v>
          </cell>
          <cell r="AJ88">
            <v>58</v>
          </cell>
          <cell r="AK88">
            <v>3303000</v>
          </cell>
          <cell r="AN88">
            <v>55814000</v>
          </cell>
          <cell r="AO88">
            <v>6844000</v>
          </cell>
        </row>
        <row r="89">
          <cell r="A89" t="str">
            <v>Y</v>
          </cell>
          <cell r="B89" t="str">
            <v>P</v>
          </cell>
          <cell r="C89" t="str">
            <v>의류</v>
          </cell>
          <cell r="E89" t="str">
            <v>2</v>
          </cell>
          <cell r="F89" t="str">
            <v>7</v>
          </cell>
          <cell r="G89">
            <v>0</v>
          </cell>
          <cell r="H89">
            <v>8157760</v>
          </cell>
          <cell r="I89">
            <v>8</v>
          </cell>
          <cell r="J89">
            <v>639900</v>
          </cell>
          <cell r="K89">
            <v>1264000</v>
          </cell>
          <cell r="N89" t="str">
            <v>P0Y7201</v>
          </cell>
          <cell r="O89">
            <v>76</v>
          </cell>
          <cell r="Q89">
            <v>158000</v>
          </cell>
          <cell r="U89">
            <v>481</v>
          </cell>
          <cell r="AJ89">
            <v>59</v>
          </cell>
          <cell r="AK89">
            <v>4569900</v>
          </cell>
          <cell r="AN89">
            <v>75998000</v>
          </cell>
          <cell r="AO89">
            <v>9322000</v>
          </cell>
        </row>
        <row r="90">
          <cell r="A90" t="str">
            <v>Y</v>
          </cell>
          <cell r="B90" t="str">
            <v>I</v>
          </cell>
          <cell r="C90" t="str">
            <v>의류</v>
          </cell>
          <cell r="E90" t="str">
            <v>2</v>
          </cell>
          <cell r="F90" t="str">
            <v>7</v>
          </cell>
          <cell r="G90">
            <v>1</v>
          </cell>
          <cell r="H90">
            <v>25511668</v>
          </cell>
          <cell r="I90">
            <v>43</v>
          </cell>
          <cell r="J90">
            <v>2537000</v>
          </cell>
          <cell r="K90">
            <v>6794000</v>
          </cell>
          <cell r="N90" t="str">
            <v>I0Y7201</v>
          </cell>
          <cell r="O90">
            <v>32</v>
          </cell>
          <cell r="Q90">
            <v>158000</v>
          </cell>
          <cell r="U90">
            <v>1526</v>
          </cell>
          <cell r="AJ90">
            <v>188</v>
          </cell>
          <cell r="AK90">
            <v>13071450</v>
          </cell>
          <cell r="AN90">
            <v>241108000</v>
          </cell>
          <cell r="AO90">
            <v>29704000</v>
          </cell>
        </row>
        <row r="91">
          <cell r="A91" t="str">
            <v>Y</v>
          </cell>
          <cell r="B91" t="str">
            <v>I</v>
          </cell>
          <cell r="C91" t="str">
            <v>의류</v>
          </cell>
          <cell r="E91" t="str">
            <v>2</v>
          </cell>
          <cell r="F91" t="str">
            <v>1</v>
          </cell>
          <cell r="G91">
            <v>0</v>
          </cell>
          <cell r="H91">
            <v>24022570</v>
          </cell>
          <cell r="I91">
            <v>23</v>
          </cell>
          <cell r="J91">
            <v>1817000</v>
          </cell>
          <cell r="K91">
            <v>3634000</v>
          </cell>
          <cell r="N91" t="str">
            <v>I0Y1203</v>
          </cell>
          <cell r="O91">
            <v>49</v>
          </cell>
          <cell r="Q91">
            <v>158000</v>
          </cell>
          <cell r="U91">
            <v>1570</v>
          </cell>
          <cell r="AJ91">
            <v>194</v>
          </cell>
          <cell r="AK91">
            <v>15110350</v>
          </cell>
          <cell r="AN91">
            <v>248060000</v>
          </cell>
          <cell r="AO91">
            <v>30652000</v>
          </cell>
        </row>
        <row r="92">
          <cell r="A92" t="str">
            <v>Y</v>
          </cell>
          <cell r="B92" t="str">
            <v>I</v>
          </cell>
          <cell r="C92" t="str">
            <v>의류</v>
          </cell>
          <cell r="E92" t="str">
            <v>2</v>
          </cell>
          <cell r="F92" t="str">
            <v>7</v>
          </cell>
          <cell r="G92">
            <v>0</v>
          </cell>
          <cell r="H92">
            <v>16280900</v>
          </cell>
          <cell r="I92">
            <v>37</v>
          </cell>
          <cell r="J92">
            <v>2153000</v>
          </cell>
          <cell r="K92">
            <v>4366000</v>
          </cell>
          <cell r="N92" t="str">
            <v>I0Y7208</v>
          </cell>
          <cell r="O92">
            <v>49</v>
          </cell>
          <cell r="Q92">
            <v>118000</v>
          </cell>
          <cell r="U92">
            <v>1220</v>
          </cell>
          <cell r="AJ92">
            <v>151</v>
          </cell>
          <cell r="AK92">
            <v>8718700</v>
          </cell>
          <cell r="AN92">
            <v>143960000</v>
          </cell>
          <cell r="AO92">
            <v>17818000</v>
          </cell>
        </row>
        <row r="93">
          <cell r="A93" t="str">
            <v>Y</v>
          </cell>
          <cell r="B93" t="str">
            <v>I</v>
          </cell>
          <cell r="C93" t="str">
            <v>의류</v>
          </cell>
          <cell r="E93" t="str">
            <v>2</v>
          </cell>
          <cell r="F93" t="str">
            <v>1</v>
          </cell>
          <cell r="G93">
            <v>0</v>
          </cell>
          <cell r="H93">
            <v>15628734</v>
          </cell>
          <cell r="I93">
            <v>17</v>
          </cell>
          <cell r="J93">
            <v>1003000</v>
          </cell>
          <cell r="K93">
            <v>2686000</v>
          </cell>
          <cell r="N93" t="str">
            <v>I0Y1205</v>
          </cell>
          <cell r="O93">
            <v>34</v>
          </cell>
          <cell r="Q93">
            <v>158000</v>
          </cell>
          <cell r="U93">
            <v>913</v>
          </cell>
          <cell r="AJ93">
            <v>114</v>
          </cell>
          <cell r="AK93">
            <v>7917300</v>
          </cell>
          <cell r="AN93">
            <v>144254000</v>
          </cell>
          <cell r="AO93">
            <v>18012000</v>
          </cell>
        </row>
        <row r="94">
          <cell r="A94" t="str">
            <v>Y</v>
          </cell>
          <cell r="B94" t="str">
            <v>P</v>
          </cell>
          <cell r="C94" t="str">
            <v>의류</v>
          </cell>
          <cell r="E94" t="str">
            <v>2</v>
          </cell>
          <cell r="F94" t="str">
            <v>1</v>
          </cell>
          <cell r="G94">
            <v>0</v>
          </cell>
          <cell r="H94">
            <v>8514000</v>
          </cell>
          <cell r="I94">
            <v>16</v>
          </cell>
          <cell r="J94">
            <v>944000</v>
          </cell>
          <cell r="K94">
            <v>2528000</v>
          </cell>
          <cell r="N94" t="str">
            <v>P0Y1216</v>
          </cell>
          <cell r="O94">
            <v>22</v>
          </cell>
          <cell r="Q94">
            <v>158000</v>
          </cell>
          <cell r="U94">
            <v>600</v>
          </cell>
          <cell r="AJ94">
            <v>75</v>
          </cell>
          <cell r="AK94">
            <v>5146000</v>
          </cell>
          <cell r="AN94">
            <v>94800000</v>
          </cell>
          <cell r="AO94">
            <v>11850000</v>
          </cell>
        </row>
        <row r="95">
          <cell r="A95" t="str">
            <v>Y</v>
          </cell>
          <cell r="B95" t="str">
            <v>I</v>
          </cell>
          <cell r="C95" t="str">
            <v>의류</v>
          </cell>
          <cell r="E95" t="str">
            <v>2</v>
          </cell>
          <cell r="F95" t="str">
            <v>1</v>
          </cell>
          <cell r="G95">
            <v>0</v>
          </cell>
          <cell r="H95">
            <v>12483532</v>
          </cell>
          <cell r="I95">
            <v>17</v>
          </cell>
          <cell r="J95">
            <v>493000</v>
          </cell>
          <cell r="K95">
            <v>986000</v>
          </cell>
          <cell r="N95" t="str">
            <v>ITY1205</v>
          </cell>
          <cell r="O95">
            <v>73</v>
          </cell>
          <cell r="Q95">
            <v>58000</v>
          </cell>
          <cell r="U95">
            <v>1577</v>
          </cell>
          <cell r="AJ95">
            <v>198</v>
          </cell>
          <cell r="AK95">
            <v>5714450</v>
          </cell>
          <cell r="AN95">
            <v>91466000</v>
          </cell>
          <cell r="AO95">
            <v>11484000</v>
          </cell>
        </row>
        <row r="96">
          <cell r="A96" t="str">
            <v>Y</v>
          </cell>
          <cell r="B96" t="str">
            <v>P</v>
          </cell>
          <cell r="C96" t="str">
            <v>의류</v>
          </cell>
          <cell r="E96" t="str">
            <v>1</v>
          </cell>
          <cell r="F96" t="str">
            <v>7</v>
          </cell>
          <cell r="G96">
            <v>1</v>
          </cell>
          <cell r="H96">
            <v>12158230</v>
          </cell>
          <cell r="I96">
            <v>5</v>
          </cell>
          <cell r="J96">
            <v>495000</v>
          </cell>
          <cell r="K96">
            <v>990000</v>
          </cell>
          <cell r="N96" t="str">
            <v>P0Y7104</v>
          </cell>
          <cell r="O96">
            <v>31</v>
          </cell>
          <cell r="Q96">
            <v>198000</v>
          </cell>
          <cell r="U96">
            <v>595</v>
          </cell>
          <cell r="AJ96">
            <v>75</v>
          </cell>
          <cell r="AK96">
            <v>7098300</v>
          </cell>
          <cell r="AN96">
            <v>117810000</v>
          </cell>
          <cell r="AO96">
            <v>14850000</v>
          </cell>
        </row>
        <row r="97">
          <cell r="A97" t="str">
            <v>Y</v>
          </cell>
          <cell r="B97" t="str">
            <v>P</v>
          </cell>
          <cell r="C97" t="str">
            <v>의류</v>
          </cell>
          <cell r="E97" t="str">
            <v>1</v>
          </cell>
          <cell r="F97" t="str">
            <v>6</v>
          </cell>
          <cell r="G97">
            <v>1</v>
          </cell>
          <cell r="H97">
            <v>8658276</v>
          </cell>
          <cell r="I97">
            <v>2</v>
          </cell>
          <cell r="J97">
            <v>298000</v>
          </cell>
          <cell r="K97">
            <v>596000</v>
          </cell>
          <cell r="N97" t="str">
            <v>PNY6101</v>
          </cell>
          <cell r="O97">
            <v>39</v>
          </cell>
          <cell r="Q97">
            <v>298000</v>
          </cell>
          <cell r="U97">
            <v>268</v>
          </cell>
          <cell r="AJ97">
            <v>34</v>
          </cell>
          <cell r="AK97">
            <v>4946600</v>
          </cell>
          <cell r="AN97">
            <v>79864000</v>
          </cell>
          <cell r="AO97">
            <v>10132000</v>
          </cell>
        </row>
        <row r="98">
          <cell r="A98" t="str">
            <v>Y</v>
          </cell>
          <cell r="B98" t="str">
            <v>P</v>
          </cell>
          <cell r="C98" t="str">
            <v>의류</v>
          </cell>
          <cell r="E98" t="str">
            <v>2</v>
          </cell>
          <cell r="F98" t="str">
            <v>1</v>
          </cell>
          <cell r="G98">
            <v>0</v>
          </cell>
          <cell r="H98">
            <v>20166400</v>
          </cell>
          <cell r="I98">
            <v>30</v>
          </cell>
          <cell r="J98">
            <v>1760000</v>
          </cell>
          <cell r="K98">
            <v>4140000</v>
          </cell>
          <cell r="N98" t="str">
            <v>P0Y1210</v>
          </cell>
          <cell r="O98">
            <v>73</v>
          </cell>
          <cell r="Q98">
            <v>138000</v>
          </cell>
          <cell r="U98">
            <v>1280</v>
          </cell>
          <cell r="AJ98">
            <v>166</v>
          </cell>
          <cell r="AK98">
            <v>10669100</v>
          </cell>
          <cell r="AN98">
            <v>176640000</v>
          </cell>
          <cell r="AO98">
            <v>22908000</v>
          </cell>
        </row>
        <row r="99">
          <cell r="A99" t="str">
            <v>Y</v>
          </cell>
          <cell r="B99" t="str">
            <v>I</v>
          </cell>
          <cell r="C99" t="str">
            <v>의류</v>
          </cell>
          <cell r="E99" t="str">
            <v>2</v>
          </cell>
          <cell r="F99" t="str">
            <v>7</v>
          </cell>
          <cell r="G99">
            <v>0</v>
          </cell>
          <cell r="H99">
            <v>30794556</v>
          </cell>
          <cell r="I99">
            <v>52</v>
          </cell>
          <cell r="J99">
            <v>3068000</v>
          </cell>
          <cell r="K99">
            <v>8216000</v>
          </cell>
          <cell r="N99" t="str">
            <v>I0Y7201</v>
          </cell>
          <cell r="O99">
            <v>43</v>
          </cell>
          <cell r="Q99">
            <v>158000</v>
          </cell>
          <cell r="U99">
            <v>1842</v>
          </cell>
          <cell r="AJ99">
            <v>239</v>
          </cell>
          <cell r="AK99">
            <v>16570950</v>
          </cell>
          <cell r="AN99">
            <v>291036000</v>
          </cell>
          <cell r="AO99">
            <v>37762000</v>
          </cell>
        </row>
        <row r="100">
          <cell r="A100" t="str">
            <v>Y</v>
          </cell>
          <cell r="B100" t="str">
            <v>I</v>
          </cell>
          <cell r="C100" t="str">
            <v>의류</v>
          </cell>
          <cell r="E100" t="str">
            <v>1</v>
          </cell>
          <cell r="F100" t="str">
            <v>9</v>
          </cell>
          <cell r="G100">
            <v>1</v>
          </cell>
          <cell r="H100">
            <v>20372174</v>
          </cell>
          <cell r="I100">
            <v>-1</v>
          </cell>
          <cell r="J100">
            <v>-139000</v>
          </cell>
          <cell r="K100">
            <v>-358000</v>
          </cell>
          <cell r="N100" t="str">
            <v>ITY9101</v>
          </cell>
          <cell r="O100">
            <v>34</v>
          </cell>
          <cell r="Q100">
            <v>358000</v>
          </cell>
          <cell r="U100">
            <v>499</v>
          </cell>
          <cell r="AJ100">
            <v>65</v>
          </cell>
          <cell r="AK100">
            <v>10488550</v>
          </cell>
          <cell r="AN100">
            <v>178642000</v>
          </cell>
          <cell r="AO100">
            <v>23270000</v>
          </cell>
        </row>
        <row r="101">
          <cell r="A101" t="str">
            <v>Y</v>
          </cell>
          <cell r="B101" t="str">
            <v>I</v>
          </cell>
          <cell r="C101" t="str">
            <v>의류</v>
          </cell>
          <cell r="E101" t="str">
            <v>2</v>
          </cell>
          <cell r="F101" t="str">
            <v>7</v>
          </cell>
          <cell r="G101">
            <v>0</v>
          </cell>
          <cell r="H101">
            <v>13037690</v>
          </cell>
          <cell r="I101">
            <v>24</v>
          </cell>
          <cell r="J101">
            <v>1586000</v>
          </cell>
          <cell r="K101">
            <v>3312000</v>
          </cell>
          <cell r="N101" t="str">
            <v>I0Y7206</v>
          </cell>
          <cell r="O101">
            <v>49</v>
          </cell>
          <cell r="Q101">
            <v>138000</v>
          </cell>
          <cell r="U101">
            <v>835</v>
          </cell>
          <cell r="AJ101">
            <v>109</v>
          </cell>
          <cell r="AK101">
            <v>7372350</v>
          </cell>
          <cell r="AN101">
            <v>115230000</v>
          </cell>
          <cell r="AO101">
            <v>15042000</v>
          </cell>
        </row>
        <row r="102">
          <cell r="A102" t="str">
            <v>Y</v>
          </cell>
          <cell r="B102" t="str">
            <v>I</v>
          </cell>
          <cell r="C102" t="str">
            <v>의류</v>
          </cell>
          <cell r="E102" t="str">
            <v>2</v>
          </cell>
          <cell r="F102" t="str">
            <v>1</v>
          </cell>
          <cell r="G102">
            <v>0</v>
          </cell>
          <cell r="H102">
            <v>16908576</v>
          </cell>
          <cell r="I102">
            <v>46</v>
          </cell>
          <cell r="J102">
            <v>1334000</v>
          </cell>
          <cell r="K102">
            <v>2668000</v>
          </cell>
          <cell r="N102" t="str">
            <v>ITY1205</v>
          </cell>
          <cell r="O102">
            <v>49</v>
          </cell>
          <cell r="Q102">
            <v>58000</v>
          </cell>
          <cell r="U102">
            <v>2136</v>
          </cell>
          <cell r="AJ102">
            <v>283</v>
          </cell>
          <cell r="AK102">
            <v>8095495</v>
          </cell>
          <cell r="AN102">
            <v>123888000</v>
          </cell>
          <cell r="AO102">
            <v>16414000</v>
          </cell>
        </row>
        <row r="103">
          <cell r="A103" t="str">
            <v>Y</v>
          </cell>
          <cell r="B103" t="str">
            <v>P</v>
          </cell>
          <cell r="C103" t="str">
            <v>의류</v>
          </cell>
          <cell r="E103" t="str">
            <v>2</v>
          </cell>
          <cell r="F103" t="str">
            <v>1</v>
          </cell>
          <cell r="G103">
            <v>0</v>
          </cell>
          <cell r="H103">
            <v>11134116</v>
          </cell>
          <cell r="I103">
            <v>20</v>
          </cell>
          <cell r="J103">
            <v>780000</v>
          </cell>
          <cell r="K103">
            <v>1560000</v>
          </cell>
          <cell r="N103" t="str">
            <v>P0Y1201</v>
          </cell>
          <cell r="O103">
            <v>49</v>
          </cell>
          <cell r="Q103">
            <v>78000</v>
          </cell>
          <cell r="U103">
            <v>1356</v>
          </cell>
          <cell r="AJ103">
            <v>181</v>
          </cell>
          <cell r="AK103">
            <v>6927600</v>
          </cell>
          <cell r="AN103">
            <v>105768000</v>
          </cell>
          <cell r="AO103">
            <v>14118000</v>
          </cell>
        </row>
        <row r="104">
          <cell r="A104" t="str">
            <v>Y</v>
          </cell>
          <cell r="B104" t="str">
            <v>I</v>
          </cell>
          <cell r="C104" t="str">
            <v>의류</v>
          </cell>
          <cell r="E104" t="str">
            <v>2</v>
          </cell>
          <cell r="F104" t="str">
            <v>6</v>
          </cell>
          <cell r="G104">
            <v>1</v>
          </cell>
          <cell r="H104">
            <v>19742268</v>
          </cell>
          <cell r="I104">
            <v>8</v>
          </cell>
          <cell r="J104">
            <v>1112000</v>
          </cell>
          <cell r="K104">
            <v>2224000</v>
          </cell>
          <cell r="N104" t="str">
            <v>I0Y6201</v>
          </cell>
          <cell r="O104">
            <v>63</v>
          </cell>
          <cell r="Q104">
            <v>278000</v>
          </cell>
          <cell r="U104">
            <v>606</v>
          </cell>
          <cell r="AJ104">
            <v>81</v>
          </cell>
          <cell r="AK104">
            <v>10599600</v>
          </cell>
          <cell r="AN104">
            <v>168468000</v>
          </cell>
          <cell r="AO104">
            <v>22518000</v>
          </cell>
        </row>
        <row r="105">
          <cell r="A105" t="str">
            <v>Y</v>
          </cell>
          <cell r="B105" t="str">
            <v>P</v>
          </cell>
          <cell r="C105" t="str">
            <v>의류</v>
          </cell>
          <cell r="E105" t="str">
            <v>2</v>
          </cell>
          <cell r="F105" t="str">
            <v>1</v>
          </cell>
          <cell r="G105">
            <v>0</v>
          </cell>
          <cell r="H105">
            <v>10983654</v>
          </cell>
          <cell r="I105">
            <v>35</v>
          </cell>
          <cell r="J105">
            <v>1715000</v>
          </cell>
          <cell r="K105">
            <v>4130000</v>
          </cell>
          <cell r="N105" t="str">
            <v>P0Y1204</v>
          </cell>
          <cell r="O105">
            <v>49</v>
          </cell>
          <cell r="Q105">
            <v>118000</v>
          </cell>
          <cell r="U105">
            <v>902</v>
          </cell>
          <cell r="AJ105">
            <v>121</v>
          </cell>
          <cell r="AK105">
            <v>6330410</v>
          </cell>
          <cell r="AN105">
            <v>106436000</v>
          </cell>
          <cell r="AO105">
            <v>14278000</v>
          </cell>
        </row>
        <row r="106">
          <cell r="A106" t="str">
            <v>Y</v>
          </cell>
          <cell r="B106" t="str">
            <v>I</v>
          </cell>
          <cell r="C106" t="str">
            <v>의류</v>
          </cell>
          <cell r="E106" t="str">
            <v>2</v>
          </cell>
          <cell r="F106" t="str">
            <v>1</v>
          </cell>
          <cell r="G106">
            <v>0</v>
          </cell>
          <cell r="H106">
            <v>8366387</v>
          </cell>
          <cell r="I106">
            <v>21</v>
          </cell>
          <cell r="J106">
            <v>819000</v>
          </cell>
          <cell r="K106">
            <v>1638000</v>
          </cell>
          <cell r="N106" t="str">
            <v>I0Y1201</v>
          </cell>
          <cell r="O106">
            <v>43</v>
          </cell>
          <cell r="Q106">
            <v>78000</v>
          </cell>
          <cell r="U106">
            <v>953</v>
          </cell>
          <cell r="AJ106">
            <v>128</v>
          </cell>
          <cell r="AK106">
            <v>4897900</v>
          </cell>
          <cell r="AN106">
            <v>74334000</v>
          </cell>
          <cell r="AO106">
            <v>9984000</v>
          </cell>
        </row>
        <row r="107">
          <cell r="A107" t="str">
            <v>Y</v>
          </cell>
          <cell r="B107" t="str">
            <v>P</v>
          </cell>
          <cell r="C107" t="str">
            <v>의류</v>
          </cell>
          <cell r="E107" t="str">
            <v>2</v>
          </cell>
          <cell r="F107" t="str">
            <v>9</v>
          </cell>
          <cell r="G107">
            <v>1</v>
          </cell>
          <cell r="H107">
            <v>25707663</v>
          </cell>
          <cell r="I107">
            <v>0</v>
          </cell>
          <cell r="J107">
            <v>0</v>
          </cell>
          <cell r="K107">
            <v>0</v>
          </cell>
          <cell r="N107" t="str">
            <v>PTY9201</v>
          </cell>
          <cell r="O107">
            <v>36</v>
          </cell>
          <cell r="Q107">
            <v>358000</v>
          </cell>
          <cell r="U107">
            <v>669</v>
          </cell>
          <cell r="AJ107">
            <v>90</v>
          </cell>
          <cell r="AK107">
            <v>15856800</v>
          </cell>
          <cell r="AN107">
            <v>239502000</v>
          </cell>
          <cell r="AO107">
            <v>32220000</v>
          </cell>
        </row>
        <row r="108">
          <cell r="A108" t="str">
            <v>Y</v>
          </cell>
          <cell r="B108" t="str">
            <v>P</v>
          </cell>
          <cell r="C108" t="str">
            <v>의류</v>
          </cell>
          <cell r="E108" t="str">
            <v>2</v>
          </cell>
          <cell r="F108" t="str">
            <v>1</v>
          </cell>
          <cell r="G108">
            <v>1</v>
          </cell>
          <cell r="H108">
            <v>9438405</v>
          </cell>
          <cell r="I108">
            <v>11</v>
          </cell>
          <cell r="J108">
            <v>649000</v>
          </cell>
          <cell r="K108">
            <v>1298000</v>
          </cell>
          <cell r="N108" t="str">
            <v>P0Y1222</v>
          </cell>
          <cell r="O108">
            <v>73</v>
          </cell>
          <cell r="Q108">
            <v>118000</v>
          </cell>
          <cell r="U108">
            <v>615</v>
          </cell>
          <cell r="AJ108">
            <v>83</v>
          </cell>
          <cell r="AK108">
            <v>4693100</v>
          </cell>
          <cell r="AN108">
            <v>72570000</v>
          </cell>
          <cell r="AO108">
            <v>9794000</v>
          </cell>
        </row>
        <row r="109">
          <cell r="A109" t="str">
            <v>Y</v>
          </cell>
          <cell r="B109" t="str">
            <v>I</v>
          </cell>
          <cell r="C109" t="str">
            <v>의류</v>
          </cell>
          <cell r="E109" t="str">
            <v>2</v>
          </cell>
          <cell r="F109" t="str">
            <v>7</v>
          </cell>
          <cell r="G109">
            <v>1</v>
          </cell>
          <cell r="H109">
            <v>28016436</v>
          </cell>
          <cell r="I109">
            <v>30</v>
          </cell>
          <cell r="J109">
            <v>2070000</v>
          </cell>
          <cell r="K109">
            <v>5340000</v>
          </cell>
          <cell r="N109" t="str">
            <v>I0Y7204</v>
          </cell>
          <cell r="O109">
            <v>37</v>
          </cell>
          <cell r="Q109">
            <v>178000</v>
          </cell>
          <cell r="U109">
            <v>1302</v>
          </cell>
          <cell r="AJ109">
            <v>177</v>
          </cell>
          <cell r="AK109">
            <v>14361300</v>
          </cell>
          <cell r="AN109">
            <v>231756000</v>
          </cell>
          <cell r="AO109">
            <v>31506000</v>
          </cell>
        </row>
        <row r="110">
          <cell r="A110" t="str">
            <v>Y</v>
          </cell>
          <cell r="B110" t="str">
            <v>P</v>
          </cell>
          <cell r="C110" t="str">
            <v>의류</v>
          </cell>
          <cell r="E110" t="str">
            <v>2</v>
          </cell>
          <cell r="F110" t="str">
            <v>1</v>
          </cell>
          <cell r="G110">
            <v>0</v>
          </cell>
          <cell r="H110">
            <v>4450271</v>
          </cell>
          <cell r="I110">
            <v>3</v>
          </cell>
          <cell r="J110">
            <v>177000</v>
          </cell>
          <cell r="K110">
            <v>354000</v>
          </cell>
          <cell r="N110" t="str">
            <v>PNY1203</v>
          </cell>
          <cell r="O110">
            <v>31</v>
          </cell>
          <cell r="Q110">
            <v>118000</v>
          </cell>
          <cell r="U110">
            <v>353</v>
          </cell>
          <cell r="AJ110">
            <v>48</v>
          </cell>
          <cell r="AK110">
            <v>2747100</v>
          </cell>
          <cell r="AN110">
            <v>41654000</v>
          </cell>
          <cell r="AO110">
            <v>5664000</v>
          </cell>
        </row>
        <row r="111">
          <cell r="A111" t="str">
            <v>Y</v>
          </cell>
          <cell r="B111" t="str">
            <v>I</v>
          </cell>
          <cell r="C111" t="str">
            <v>의류</v>
          </cell>
          <cell r="E111" t="str">
            <v>2</v>
          </cell>
          <cell r="F111" t="str">
            <v>1</v>
          </cell>
          <cell r="G111">
            <v>0</v>
          </cell>
          <cell r="H111">
            <v>9384105</v>
          </cell>
          <cell r="I111">
            <v>6</v>
          </cell>
          <cell r="J111">
            <v>414000</v>
          </cell>
          <cell r="K111">
            <v>828000</v>
          </cell>
          <cell r="N111" t="str">
            <v>I0Y1210</v>
          </cell>
          <cell r="O111">
            <v>73</v>
          </cell>
          <cell r="Q111">
            <v>138000</v>
          </cell>
          <cell r="U111">
            <v>645</v>
          </cell>
          <cell r="AJ111">
            <v>88</v>
          </cell>
          <cell r="AK111">
            <v>5708050</v>
          </cell>
          <cell r="AN111">
            <v>89010000</v>
          </cell>
          <cell r="AO111">
            <v>12144000</v>
          </cell>
        </row>
        <row r="112">
          <cell r="A112" t="str">
            <v>Y</v>
          </cell>
          <cell r="B112" t="str">
            <v>P</v>
          </cell>
          <cell r="C112" t="str">
            <v>의류</v>
          </cell>
          <cell r="E112" t="str">
            <v>1</v>
          </cell>
          <cell r="F112" t="str">
            <v>7</v>
          </cell>
          <cell r="G112">
            <v>1</v>
          </cell>
          <cell r="H112">
            <v>7125651</v>
          </cell>
          <cell r="I112">
            <v>1</v>
          </cell>
          <cell r="J112">
            <v>89000</v>
          </cell>
          <cell r="K112">
            <v>178000</v>
          </cell>
          <cell r="N112" t="str">
            <v>PNY7101</v>
          </cell>
          <cell r="O112">
            <v>76</v>
          </cell>
          <cell r="Q112">
            <v>178000</v>
          </cell>
          <cell r="U112">
            <v>351</v>
          </cell>
          <cell r="AJ112">
            <v>48</v>
          </cell>
          <cell r="AK112">
            <v>4158600</v>
          </cell>
          <cell r="AN112">
            <v>62478000</v>
          </cell>
          <cell r="AO112">
            <v>8544000</v>
          </cell>
        </row>
        <row r="113">
          <cell r="A113" t="str">
            <v>Y</v>
          </cell>
          <cell r="B113" t="str">
            <v>I</v>
          </cell>
          <cell r="C113" t="str">
            <v>의류</v>
          </cell>
          <cell r="E113" t="str">
            <v>1</v>
          </cell>
          <cell r="F113" t="str">
            <v>7</v>
          </cell>
          <cell r="G113">
            <v>1</v>
          </cell>
          <cell r="H113">
            <v>12782952</v>
          </cell>
          <cell r="I113">
            <v>1</v>
          </cell>
          <cell r="J113">
            <v>89000</v>
          </cell>
          <cell r="K113">
            <v>238000</v>
          </cell>
          <cell r="N113" t="str">
            <v>INY7102</v>
          </cell>
          <cell r="O113">
            <v>31</v>
          </cell>
          <cell r="Q113">
            <v>238000</v>
          </cell>
          <cell r="U113">
            <v>468</v>
          </cell>
          <cell r="AJ113">
            <v>65</v>
          </cell>
          <cell r="AK113">
            <v>6795400</v>
          </cell>
          <cell r="AN113">
            <v>111384000</v>
          </cell>
          <cell r="AO113">
            <v>15470000</v>
          </cell>
        </row>
        <row r="114">
          <cell r="A114" t="str">
            <v>Y</v>
          </cell>
          <cell r="B114" t="str">
            <v>P</v>
          </cell>
          <cell r="C114" t="str">
            <v>의류</v>
          </cell>
          <cell r="E114" t="str">
            <v>2</v>
          </cell>
          <cell r="F114" t="str">
            <v>7</v>
          </cell>
          <cell r="G114">
            <v>0</v>
          </cell>
          <cell r="H114">
            <v>18018878</v>
          </cell>
          <cell r="I114">
            <v>6</v>
          </cell>
          <cell r="J114">
            <v>634000</v>
          </cell>
          <cell r="K114">
            <v>1308000</v>
          </cell>
          <cell r="N114" t="str">
            <v>PNY7202</v>
          </cell>
          <cell r="O114">
            <v>34</v>
          </cell>
          <cell r="Q114">
            <v>218000</v>
          </cell>
          <cell r="U114">
            <v>646</v>
          </cell>
          <cell r="AJ114">
            <v>90</v>
          </cell>
          <cell r="AK114">
            <v>9367500</v>
          </cell>
          <cell r="AN114">
            <v>140828000</v>
          </cell>
          <cell r="AO114">
            <v>19620000</v>
          </cell>
        </row>
        <row r="115">
          <cell r="A115" t="str">
            <v>Y</v>
          </cell>
          <cell r="B115" t="str">
            <v>P</v>
          </cell>
          <cell r="C115" t="str">
            <v>의류</v>
          </cell>
          <cell r="E115" t="str">
            <v>2</v>
          </cell>
          <cell r="F115" t="str">
            <v>7</v>
          </cell>
          <cell r="G115">
            <v>0</v>
          </cell>
          <cell r="H115">
            <v>7132688</v>
          </cell>
          <cell r="I115">
            <v>16</v>
          </cell>
          <cell r="J115">
            <v>944000</v>
          </cell>
          <cell r="K115">
            <v>1888000</v>
          </cell>
          <cell r="N115" t="str">
            <v>PTY7201</v>
          </cell>
          <cell r="O115">
            <v>49</v>
          </cell>
          <cell r="Q115">
            <v>118000</v>
          </cell>
          <cell r="U115">
            <v>664</v>
          </cell>
          <cell r="AJ115">
            <v>93</v>
          </cell>
          <cell r="AK115">
            <v>5304400</v>
          </cell>
          <cell r="AN115">
            <v>78352000</v>
          </cell>
          <cell r="AO115">
            <v>10974000</v>
          </cell>
        </row>
        <row r="116">
          <cell r="A116" t="str">
            <v>Y</v>
          </cell>
          <cell r="B116" t="str">
            <v>I</v>
          </cell>
          <cell r="C116" t="str">
            <v>의류</v>
          </cell>
          <cell r="E116" t="str">
            <v>1</v>
          </cell>
          <cell r="F116" t="str">
            <v>6</v>
          </cell>
          <cell r="G116">
            <v>0</v>
          </cell>
          <cell r="H116">
            <v>12672576</v>
          </cell>
          <cell r="I116">
            <v>3</v>
          </cell>
          <cell r="J116">
            <v>357000</v>
          </cell>
          <cell r="K116">
            <v>954000</v>
          </cell>
          <cell r="N116" t="str">
            <v>INY6102</v>
          </cell>
          <cell r="O116">
            <v>32</v>
          </cell>
          <cell r="Q116">
            <v>318000</v>
          </cell>
          <cell r="U116">
            <v>392</v>
          </cell>
          <cell r="AJ116">
            <v>55</v>
          </cell>
          <cell r="AK116">
            <v>6901300</v>
          </cell>
          <cell r="AN116">
            <v>124656000</v>
          </cell>
          <cell r="AO116">
            <v>17490000</v>
          </cell>
        </row>
        <row r="117">
          <cell r="A117" t="str">
            <v>Y</v>
          </cell>
          <cell r="B117" t="str">
            <v>P</v>
          </cell>
          <cell r="C117" t="str">
            <v>의류</v>
          </cell>
          <cell r="E117" t="str">
            <v>2</v>
          </cell>
          <cell r="F117" t="str">
            <v>8</v>
          </cell>
          <cell r="G117">
            <v>1</v>
          </cell>
          <cell r="H117">
            <v>11888182</v>
          </cell>
          <cell r="I117">
            <v>11</v>
          </cell>
          <cell r="J117">
            <v>959000</v>
          </cell>
          <cell r="K117">
            <v>1958000</v>
          </cell>
          <cell r="N117" t="str">
            <v>PTY8205</v>
          </cell>
          <cell r="O117">
            <v>61</v>
          </cell>
          <cell r="Q117">
            <v>178000</v>
          </cell>
          <cell r="U117">
            <v>586</v>
          </cell>
          <cell r="AJ117">
            <v>84</v>
          </cell>
          <cell r="AK117">
            <v>7332700</v>
          </cell>
          <cell r="AN117">
            <v>104308000</v>
          </cell>
          <cell r="AO117">
            <v>14952000</v>
          </cell>
        </row>
        <row r="118">
          <cell r="A118" t="str">
            <v>Y</v>
          </cell>
          <cell r="B118" t="str">
            <v>I</v>
          </cell>
          <cell r="C118" t="str">
            <v>의류</v>
          </cell>
          <cell r="E118" t="str">
            <v>1</v>
          </cell>
          <cell r="F118" t="str">
            <v>9</v>
          </cell>
          <cell r="G118">
            <v>1</v>
          </cell>
          <cell r="H118">
            <v>22229500</v>
          </cell>
          <cell r="I118">
            <v>4</v>
          </cell>
          <cell r="J118">
            <v>756000</v>
          </cell>
          <cell r="K118">
            <v>1512000</v>
          </cell>
          <cell r="N118" t="str">
            <v>ITY9103</v>
          </cell>
          <cell r="O118">
            <v>37</v>
          </cell>
          <cell r="Q118">
            <v>378000</v>
          </cell>
          <cell r="U118">
            <v>500</v>
          </cell>
          <cell r="AJ118">
            <v>72</v>
          </cell>
          <cell r="AK118">
            <v>13241340</v>
          </cell>
          <cell r="AN118">
            <v>189000000</v>
          </cell>
          <cell r="AO118">
            <v>27216000</v>
          </cell>
        </row>
        <row r="119">
          <cell r="A119" t="str">
            <v>Y</v>
          </cell>
          <cell r="B119" t="str">
            <v>I</v>
          </cell>
          <cell r="C119" t="str">
            <v>의류</v>
          </cell>
          <cell r="E119" t="str">
            <v>2</v>
          </cell>
          <cell r="F119" t="str">
            <v>1</v>
          </cell>
          <cell r="G119">
            <v>0</v>
          </cell>
          <cell r="H119">
            <v>8025076</v>
          </cell>
          <cell r="I119">
            <v>4</v>
          </cell>
          <cell r="J119">
            <v>236000</v>
          </cell>
          <cell r="K119">
            <v>632000</v>
          </cell>
          <cell r="N119" t="str">
            <v>I0Y1207</v>
          </cell>
          <cell r="O119">
            <v>63</v>
          </cell>
          <cell r="Q119">
            <v>158000</v>
          </cell>
          <cell r="U119">
            <v>458</v>
          </cell>
          <cell r="AJ119">
            <v>66</v>
          </cell>
          <cell r="AK119">
            <v>4870800</v>
          </cell>
          <cell r="AN119">
            <v>72364000</v>
          </cell>
          <cell r="AO119">
            <v>10428000</v>
          </cell>
        </row>
        <row r="120">
          <cell r="A120" t="str">
            <v>Y</v>
          </cell>
          <cell r="B120" t="str">
            <v>I</v>
          </cell>
          <cell r="C120" t="str">
            <v>의류</v>
          </cell>
          <cell r="E120" t="str">
            <v>1</v>
          </cell>
          <cell r="F120" t="str">
            <v>6</v>
          </cell>
          <cell r="G120">
            <v>0</v>
          </cell>
          <cell r="H120">
            <v>14438800</v>
          </cell>
          <cell r="I120">
            <v>0</v>
          </cell>
          <cell r="J120">
            <v>0</v>
          </cell>
          <cell r="K120">
            <v>0</v>
          </cell>
          <cell r="N120" t="str">
            <v>INY6103</v>
          </cell>
          <cell r="O120">
            <v>77</v>
          </cell>
          <cell r="Q120">
            <v>318000</v>
          </cell>
          <cell r="U120">
            <v>400</v>
          </cell>
          <cell r="AJ120">
            <v>58</v>
          </cell>
          <cell r="AK120">
            <v>8287300</v>
          </cell>
          <cell r="AN120">
            <v>127200000</v>
          </cell>
          <cell r="AO120">
            <v>18444000</v>
          </cell>
        </row>
        <row r="121">
          <cell r="A121" t="str">
            <v>Y</v>
          </cell>
          <cell r="B121" t="str">
            <v>I</v>
          </cell>
          <cell r="C121" t="str">
            <v>의류</v>
          </cell>
          <cell r="E121" t="str">
            <v>2</v>
          </cell>
          <cell r="F121" t="str">
            <v>1</v>
          </cell>
          <cell r="G121">
            <v>0</v>
          </cell>
          <cell r="H121">
            <v>13847405</v>
          </cell>
          <cell r="I121">
            <v>13</v>
          </cell>
          <cell r="J121">
            <v>1027000</v>
          </cell>
          <cell r="K121">
            <v>2054000</v>
          </cell>
          <cell r="N121" t="str">
            <v>I0Y1203</v>
          </cell>
          <cell r="O121">
            <v>22</v>
          </cell>
          <cell r="Q121">
            <v>158000</v>
          </cell>
          <cell r="U121">
            <v>905</v>
          </cell>
          <cell r="AJ121">
            <v>132</v>
          </cell>
          <cell r="AK121">
            <v>10181850</v>
          </cell>
          <cell r="AN121">
            <v>142990000</v>
          </cell>
          <cell r="AO121">
            <v>20856000</v>
          </cell>
        </row>
        <row r="122">
          <cell r="A122" t="str">
            <v>Y</v>
          </cell>
          <cell r="B122" t="str">
            <v>P</v>
          </cell>
          <cell r="C122" t="str">
            <v>의류</v>
          </cell>
          <cell r="E122" t="str">
            <v>1</v>
          </cell>
          <cell r="F122" t="str">
            <v>7</v>
          </cell>
          <cell r="G122">
            <v>1</v>
          </cell>
          <cell r="H122">
            <v>6909735</v>
          </cell>
          <cell r="I122">
            <v>0</v>
          </cell>
          <cell r="J122">
            <v>0</v>
          </cell>
          <cell r="K122">
            <v>0</v>
          </cell>
          <cell r="N122" t="str">
            <v>P0Y7103</v>
          </cell>
          <cell r="O122">
            <v>73</v>
          </cell>
          <cell r="Q122">
            <v>178000</v>
          </cell>
          <cell r="U122">
            <v>395</v>
          </cell>
          <cell r="AJ122">
            <v>58</v>
          </cell>
          <cell r="AK122">
            <v>4575100</v>
          </cell>
          <cell r="AN122">
            <v>70310000</v>
          </cell>
          <cell r="AO122">
            <v>10324000</v>
          </cell>
        </row>
        <row r="123">
          <cell r="A123" t="str">
            <v>Y</v>
          </cell>
          <cell r="B123" t="str">
            <v>P</v>
          </cell>
          <cell r="C123" t="str">
            <v>의류</v>
          </cell>
          <cell r="E123" t="str">
            <v>2</v>
          </cell>
          <cell r="F123" t="str">
            <v>7</v>
          </cell>
          <cell r="G123">
            <v>1</v>
          </cell>
          <cell r="H123">
            <v>7610889</v>
          </cell>
          <cell r="I123">
            <v>17</v>
          </cell>
          <cell r="J123">
            <v>1513000</v>
          </cell>
          <cell r="K123">
            <v>3026000</v>
          </cell>
          <cell r="N123" t="str">
            <v>P0Y7204</v>
          </cell>
          <cell r="O123">
            <v>73</v>
          </cell>
          <cell r="Q123">
            <v>178000</v>
          </cell>
          <cell r="U123">
            <v>429</v>
          </cell>
          <cell r="AJ123">
            <v>63</v>
          </cell>
          <cell r="AK123">
            <v>5523600</v>
          </cell>
          <cell r="AN123">
            <v>76362000</v>
          </cell>
          <cell r="AO123">
            <v>11214000</v>
          </cell>
        </row>
        <row r="124">
          <cell r="A124" t="str">
            <v>Y</v>
          </cell>
          <cell r="B124" t="str">
            <v>P</v>
          </cell>
          <cell r="C124" t="str">
            <v>의류</v>
          </cell>
          <cell r="E124" t="str">
            <v>2</v>
          </cell>
          <cell r="F124" t="str">
            <v>1</v>
          </cell>
          <cell r="G124">
            <v>0</v>
          </cell>
          <cell r="H124">
            <v>6350412</v>
          </cell>
          <cell r="I124">
            <v>8</v>
          </cell>
          <cell r="J124">
            <v>472000</v>
          </cell>
          <cell r="K124">
            <v>944000</v>
          </cell>
          <cell r="N124" t="str">
            <v>PNY1201</v>
          </cell>
          <cell r="O124">
            <v>39</v>
          </cell>
          <cell r="Q124">
            <v>118000</v>
          </cell>
          <cell r="U124">
            <v>516</v>
          </cell>
          <cell r="AJ124">
            <v>76</v>
          </cell>
          <cell r="AK124">
            <v>4400900</v>
          </cell>
          <cell r="AN124">
            <v>60888000</v>
          </cell>
          <cell r="AO124">
            <v>8968000</v>
          </cell>
        </row>
        <row r="125">
          <cell r="A125" t="str">
            <v>Y</v>
          </cell>
          <cell r="B125" t="str">
            <v>P</v>
          </cell>
          <cell r="C125" t="str">
            <v>의류</v>
          </cell>
          <cell r="E125" t="str">
            <v>1</v>
          </cell>
          <cell r="F125" t="str">
            <v>1</v>
          </cell>
          <cell r="G125">
            <v>0</v>
          </cell>
          <cell r="H125">
            <v>7998060</v>
          </cell>
          <cell r="I125">
            <v>0</v>
          </cell>
          <cell r="J125">
            <v>0</v>
          </cell>
          <cell r="K125">
            <v>0</v>
          </cell>
          <cell r="N125" t="str">
            <v>PNY1102</v>
          </cell>
          <cell r="O125">
            <v>76</v>
          </cell>
          <cell r="Q125">
            <v>138000</v>
          </cell>
          <cell r="U125">
            <v>548</v>
          </cell>
          <cell r="AJ125">
            <v>81</v>
          </cell>
          <cell r="AK125">
            <v>4575800</v>
          </cell>
          <cell r="AN125">
            <v>75624000</v>
          </cell>
          <cell r="AO125">
            <v>11178000</v>
          </cell>
        </row>
        <row r="126">
          <cell r="A126" t="str">
            <v>Y</v>
          </cell>
          <cell r="B126" t="str">
            <v>P</v>
          </cell>
          <cell r="C126" t="str">
            <v>의류</v>
          </cell>
          <cell r="E126" t="str">
            <v>1</v>
          </cell>
          <cell r="F126" t="str">
            <v>6</v>
          </cell>
          <cell r="G126">
            <v>0</v>
          </cell>
          <cell r="H126">
            <v>11092960</v>
          </cell>
          <cell r="I126">
            <v>0</v>
          </cell>
          <cell r="J126">
            <v>0</v>
          </cell>
          <cell r="K126">
            <v>0</v>
          </cell>
          <cell r="N126" t="str">
            <v>P0Y6102</v>
          </cell>
          <cell r="O126">
            <v>31</v>
          </cell>
          <cell r="Q126">
            <v>318000</v>
          </cell>
          <cell r="U126">
            <v>304</v>
          </cell>
          <cell r="AJ126">
            <v>45</v>
          </cell>
          <cell r="AK126">
            <v>6479250</v>
          </cell>
          <cell r="AN126">
            <v>96672000</v>
          </cell>
          <cell r="AO126">
            <v>14310000</v>
          </cell>
        </row>
        <row r="127">
          <cell r="A127" t="str">
            <v>Y</v>
          </cell>
          <cell r="B127" t="str">
            <v>P</v>
          </cell>
          <cell r="C127" t="str">
            <v>의류</v>
          </cell>
          <cell r="E127" t="str">
            <v>1</v>
          </cell>
          <cell r="F127" t="str">
            <v>7</v>
          </cell>
          <cell r="G127">
            <v>1</v>
          </cell>
          <cell r="H127">
            <v>24852968</v>
          </cell>
          <cell r="I127">
            <v>1</v>
          </cell>
          <cell r="J127">
            <v>89000</v>
          </cell>
          <cell r="K127">
            <v>178000</v>
          </cell>
          <cell r="N127" t="str">
            <v>P0Y7101</v>
          </cell>
          <cell r="O127">
            <v>49</v>
          </cell>
          <cell r="Q127">
            <v>178000</v>
          </cell>
          <cell r="U127">
            <v>1204</v>
          </cell>
          <cell r="AJ127">
            <v>180</v>
          </cell>
          <cell r="AK127">
            <v>15477350</v>
          </cell>
          <cell r="AN127">
            <v>214312000</v>
          </cell>
          <cell r="AO127">
            <v>32040000</v>
          </cell>
        </row>
        <row r="128">
          <cell r="A128" t="str">
            <v>Y</v>
          </cell>
          <cell r="B128" t="str">
            <v>P</v>
          </cell>
          <cell r="C128" t="str">
            <v>의류</v>
          </cell>
          <cell r="E128" t="str">
            <v>2</v>
          </cell>
          <cell r="F128" t="str">
            <v>Q</v>
          </cell>
          <cell r="G128">
            <v>0</v>
          </cell>
          <cell r="H128">
            <v>9402904</v>
          </cell>
          <cell r="I128">
            <v>10</v>
          </cell>
          <cell r="J128">
            <v>960000</v>
          </cell>
          <cell r="K128">
            <v>1980000</v>
          </cell>
          <cell r="N128" t="str">
            <v>P0YQ202</v>
          </cell>
          <cell r="O128">
            <v>76</v>
          </cell>
          <cell r="Q128">
            <v>198000</v>
          </cell>
          <cell r="U128">
            <v>476</v>
          </cell>
          <cell r="AJ128">
            <v>72</v>
          </cell>
          <cell r="AK128">
            <v>6895050</v>
          </cell>
          <cell r="AN128">
            <v>94248000</v>
          </cell>
          <cell r="AO128">
            <v>14256000</v>
          </cell>
        </row>
        <row r="129">
          <cell r="A129" t="str">
            <v>Y</v>
          </cell>
          <cell r="B129" t="str">
            <v>P</v>
          </cell>
          <cell r="C129" t="str">
            <v>의류</v>
          </cell>
          <cell r="E129" t="str">
            <v>1</v>
          </cell>
          <cell r="F129" t="str">
            <v>7</v>
          </cell>
          <cell r="G129">
            <v>0</v>
          </cell>
          <cell r="H129">
            <v>5072970</v>
          </cell>
          <cell r="I129">
            <v>0</v>
          </cell>
          <cell r="J129">
            <v>0</v>
          </cell>
          <cell r="K129">
            <v>0</v>
          </cell>
          <cell r="N129" t="str">
            <v>P0Y7103</v>
          </cell>
          <cell r="O129">
            <v>63</v>
          </cell>
          <cell r="Q129">
            <v>178000</v>
          </cell>
          <cell r="U129">
            <v>290</v>
          </cell>
          <cell r="AJ129">
            <v>44</v>
          </cell>
          <cell r="AK129">
            <v>3416000</v>
          </cell>
          <cell r="AN129">
            <v>51620000</v>
          </cell>
          <cell r="AO129">
            <v>7832000</v>
          </cell>
        </row>
        <row r="130">
          <cell r="A130" t="str">
            <v>Y</v>
          </cell>
          <cell r="B130" t="str">
            <v>P</v>
          </cell>
          <cell r="C130" t="str">
            <v>의류</v>
          </cell>
          <cell r="E130" t="str">
            <v>1</v>
          </cell>
          <cell r="F130" t="str">
            <v>Q</v>
          </cell>
          <cell r="G130">
            <v>1</v>
          </cell>
          <cell r="H130">
            <v>9277767</v>
          </cell>
          <cell r="I130">
            <v>3</v>
          </cell>
          <cell r="J130">
            <v>257400</v>
          </cell>
          <cell r="K130">
            <v>594000</v>
          </cell>
          <cell r="N130" t="str">
            <v>P0YQ102</v>
          </cell>
          <cell r="O130">
            <v>34</v>
          </cell>
          <cell r="Q130">
            <v>198000</v>
          </cell>
          <cell r="U130">
            <v>369</v>
          </cell>
          <cell r="AJ130">
            <v>56</v>
          </cell>
          <cell r="AK130">
            <v>5454900</v>
          </cell>
          <cell r="AN130">
            <v>73062000</v>
          </cell>
          <cell r="AO130">
            <v>11088000</v>
          </cell>
        </row>
        <row r="131">
          <cell r="A131" t="str">
            <v>Y</v>
          </cell>
          <cell r="B131" t="str">
            <v>P</v>
          </cell>
          <cell r="C131" t="str">
            <v>의류</v>
          </cell>
          <cell r="E131" t="str">
            <v>2</v>
          </cell>
          <cell r="F131" t="str">
            <v>Q</v>
          </cell>
          <cell r="G131">
            <v>1</v>
          </cell>
          <cell r="H131">
            <v>11716614</v>
          </cell>
          <cell r="I131">
            <v>11</v>
          </cell>
          <cell r="J131">
            <v>1089000</v>
          </cell>
          <cell r="K131">
            <v>2178000</v>
          </cell>
          <cell r="N131" t="str">
            <v>P0YQ201</v>
          </cell>
          <cell r="O131">
            <v>49</v>
          </cell>
          <cell r="Q131">
            <v>198000</v>
          </cell>
          <cell r="U131">
            <v>546</v>
          </cell>
          <cell r="AJ131">
            <v>83</v>
          </cell>
          <cell r="AK131">
            <v>8057900</v>
          </cell>
          <cell r="AN131">
            <v>108108000</v>
          </cell>
          <cell r="AO131">
            <v>16434000</v>
          </cell>
        </row>
        <row r="132">
          <cell r="A132" t="str">
            <v>Y</v>
          </cell>
          <cell r="B132" t="str">
            <v>P</v>
          </cell>
          <cell r="C132" t="str">
            <v>의류</v>
          </cell>
          <cell r="E132" t="str">
            <v>2</v>
          </cell>
          <cell r="F132" t="str">
            <v>1</v>
          </cell>
          <cell r="G132">
            <v>1</v>
          </cell>
          <cell r="H132">
            <v>14846412</v>
          </cell>
          <cell r="I132">
            <v>69</v>
          </cell>
          <cell r="J132">
            <v>3351000</v>
          </cell>
          <cell r="K132">
            <v>6762000</v>
          </cell>
          <cell r="N132" t="str">
            <v>PTY1202</v>
          </cell>
          <cell r="O132">
            <v>49</v>
          </cell>
          <cell r="Q132">
            <v>98000</v>
          </cell>
          <cell r="U132">
            <v>1372</v>
          </cell>
          <cell r="AJ132">
            <v>209</v>
          </cell>
          <cell r="AK132">
            <v>10077300</v>
          </cell>
          <cell r="AN132">
            <v>134456000</v>
          </cell>
          <cell r="AO132">
            <v>20482000</v>
          </cell>
        </row>
        <row r="133">
          <cell r="A133" t="str">
            <v>Y</v>
          </cell>
          <cell r="B133" t="str">
            <v>I</v>
          </cell>
          <cell r="C133" t="str">
            <v>의류</v>
          </cell>
          <cell r="E133" t="str">
            <v>1</v>
          </cell>
          <cell r="F133" t="str">
            <v>1</v>
          </cell>
          <cell r="G133">
            <v>1</v>
          </cell>
          <cell r="H133">
            <v>6121716</v>
          </cell>
          <cell r="I133">
            <v>0</v>
          </cell>
          <cell r="J133">
            <v>0</v>
          </cell>
          <cell r="K133">
            <v>0</v>
          </cell>
          <cell r="N133" t="str">
            <v>INY1101</v>
          </cell>
          <cell r="O133">
            <v>21</v>
          </cell>
          <cell r="Q133">
            <v>138000</v>
          </cell>
          <cell r="U133">
            <v>366</v>
          </cell>
          <cell r="AJ133">
            <v>56</v>
          </cell>
          <cell r="AK133">
            <v>3881950</v>
          </cell>
          <cell r="AN133">
            <v>50508000</v>
          </cell>
          <cell r="AO133">
            <v>7728000</v>
          </cell>
        </row>
        <row r="134">
          <cell r="A134" t="str">
            <v>Y</v>
          </cell>
          <cell r="B134" t="str">
            <v>I</v>
          </cell>
          <cell r="C134" t="str">
            <v>의류</v>
          </cell>
          <cell r="E134" t="str">
            <v>2</v>
          </cell>
          <cell r="F134" t="str">
            <v>1</v>
          </cell>
          <cell r="G134">
            <v>1</v>
          </cell>
          <cell r="H134">
            <v>16375085</v>
          </cell>
          <cell r="I134">
            <v>16</v>
          </cell>
          <cell r="J134">
            <v>1234000</v>
          </cell>
          <cell r="K134">
            <v>2528000</v>
          </cell>
          <cell r="N134" t="str">
            <v>I0Y1214</v>
          </cell>
          <cell r="O134">
            <v>34</v>
          </cell>
          <cell r="Q134">
            <v>158000</v>
          </cell>
          <cell r="U134">
            <v>965</v>
          </cell>
          <cell r="AJ134">
            <v>149</v>
          </cell>
          <cell r="AK134">
            <v>11244900</v>
          </cell>
          <cell r="AN134">
            <v>152470000</v>
          </cell>
          <cell r="AO134">
            <v>23542000</v>
          </cell>
        </row>
        <row r="135">
          <cell r="A135" t="str">
            <v>Y</v>
          </cell>
          <cell r="B135" t="str">
            <v>I</v>
          </cell>
          <cell r="C135" t="str">
            <v>의류</v>
          </cell>
          <cell r="E135" t="str">
            <v>2</v>
          </cell>
          <cell r="F135" t="str">
            <v>7</v>
          </cell>
          <cell r="G135">
            <v>1</v>
          </cell>
          <cell r="H135">
            <v>17142450</v>
          </cell>
          <cell r="I135">
            <v>27</v>
          </cell>
          <cell r="J135">
            <v>2643000</v>
          </cell>
          <cell r="K135">
            <v>5346000</v>
          </cell>
          <cell r="N135" t="str">
            <v>ITY7202</v>
          </cell>
          <cell r="O135">
            <v>43</v>
          </cell>
          <cell r="Q135">
            <v>198000</v>
          </cell>
          <cell r="U135">
            <v>885</v>
          </cell>
          <cell r="AJ135">
            <v>137</v>
          </cell>
          <cell r="AK135">
            <v>13244800</v>
          </cell>
          <cell r="AN135">
            <v>175230000</v>
          </cell>
          <cell r="AO135">
            <v>27126000</v>
          </cell>
        </row>
        <row r="136">
          <cell r="A136" t="str">
            <v>Y</v>
          </cell>
          <cell r="B136" t="str">
            <v>I</v>
          </cell>
          <cell r="C136" t="str">
            <v>의류</v>
          </cell>
          <cell r="E136" t="str">
            <v>2</v>
          </cell>
          <cell r="F136" t="str">
            <v>1</v>
          </cell>
          <cell r="G136">
            <v>0</v>
          </cell>
          <cell r="H136">
            <v>7953774</v>
          </cell>
          <cell r="I136">
            <v>10</v>
          </cell>
          <cell r="J136">
            <v>390000</v>
          </cell>
          <cell r="K136">
            <v>780000</v>
          </cell>
          <cell r="N136" t="str">
            <v>I0Y1201</v>
          </cell>
          <cell r="O136">
            <v>76</v>
          </cell>
          <cell r="Q136">
            <v>78000</v>
          </cell>
          <cell r="U136">
            <v>906</v>
          </cell>
          <cell r="AJ136">
            <v>141</v>
          </cell>
          <cell r="AK136">
            <v>5350800</v>
          </cell>
          <cell r="AN136">
            <v>70668000</v>
          </cell>
          <cell r="AO136">
            <v>10998000</v>
          </cell>
        </row>
        <row r="137">
          <cell r="A137" t="str">
            <v>Y</v>
          </cell>
          <cell r="B137" t="str">
            <v>P</v>
          </cell>
          <cell r="C137" t="str">
            <v>의류</v>
          </cell>
          <cell r="E137" t="str">
            <v>2</v>
          </cell>
          <cell r="F137" t="str">
            <v>1</v>
          </cell>
          <cell r="G137">
            <v>1</v>
          </cell>
          <cell r="H137">
            <v>7671105</v>
          </cell>
          <cell r="I137">
            <v>10</v>
          </cell>
          <cell r="J137">
            <v>890000</v>
          </cell>
          <cell r="K137">
            <v>1780000</v>
          </cell>
          <cell r="N137" t="str">
            <v>P0Y1224</v>
          </cell>
          <cell r="O137">
            <v>79</v>
          </cell>
          <cell r="Q137">
            <v>178000</v>
          </cell>
          <cell r="U137">
            <v>405</v>
          </cell>
          <cell r="AJ137">
            <v>63</v>
          </cell>
          <cell r="AK137">
            <v>5455700</v>
          </cell>
          <cell r="AN137">
            <v>72090000</v>
          </cell>
          <cell r="AO137">
            <v>11214000</v>
          </cell>
        </row>
        <row r="138">
          <cell r="A138" t="str">
            <v>Y</v>
          </cell>
          <cell r="B138" t="str">
            <v>I</v>
          </cell>
          <cell r="C138" t="str">
            <v>의류</v>
          </cell>
          <cell r="E138" t="str">
            <v>1</v>
          </cell>
          <cell r="F138" t="str">
            <v>7</v>
          </cell>
          <cell r="G138">
            <v>1</v>
          </cell>
          <cell r="H138">
            <v>7575834</v>
          </cell>
          <cell r="I138">
            <v>0</v>
          </cell>
          <cell r="J138">
            <v>0</v>
          </cell>
          <cell r="K138">
            <v>0</v>
          </cell>
          <cell r="N138" t="str">
            <v>I0Y7101</v>
          </cell>
          <cell r="O138">
            <v>37</v>
          </cell>
          <cell r="Q138">
            <v>178000</v>
          </cell>
          <cell r="U138">
            <v>366</v>
          </cell>
          <cell r="AJ138">
            <v>57</v>
          </cell>
          <cell r="AK138">
            <v>4920700</v>
          </cell>
          <cell r="AN138">
            <v>65148000</v>
          </cell>
          <cell r="AO138">
            <v>10146000</v>
          </cell>
        </row>
        <row r="139">
          <cell r="A139" t="str">
            <v>Y</v>
          </cell>
          <cell r="B139" t="str">
            <v>I</v>
          </cell>
          <cell r="C139" t="str">
            <v>의류</v>
          </cell>
          <cell r="E139" t="str">
            <v>2</v>
          </cell>
          <cell r="F139" t="str">
            <v>7</v>
          </cell>
          <cell r="G139">
            <v>1</v>
          </cell>
          <cell r="H139">
            <v>45794826</v>
          </cell>
          <cell r="I139">
            <v>51</v>
          </cell>
          <cell r="J139">
            <v>4029000</v>
          </cell>
          <cell r="K139">
            <v>10098000</v>
          </cell>
          <cell r="N139" t="str">
            <v>ITY7201</v>
          </cell>
          <cell r="O139">
            <v>49</v>
          </cell>
          <cell r="Q139">
            <v>198000</v>
          </cell>
          <cell r="U139">
            <v>2442</v>
          </cell>
          <cell r="AJ139">
            <v>385</v>
          </cell>
          <cell r="AK139">
            <v>35584850</v>
          </cell>
          <cell r="AN139">
            <v>483516000</v>
          </cell>
          <cell r="AO139">
            <v>76230000</v>
          </cell>
        </row>
        <row r="140">
          <cell r="A140" t="str">
            <v>Y</v>
          </cell>
          <cell r="B140" t="str">
            <v>I</v>
          </cell>
          <cell r="C140" t="str">
            <v>의류</v>
          </cell>
          <cell r="E140" t="str">
            <v>2</v>
          </cell>
          <cell r="F140" t="str">
            <v>1</v>
          </cell>
          <cell r="G140">
            <v>1</v>
          </cell>
          <cell r="H140">
            <v>11787492</v>
          </cell>
          <cell r="I140">
            <v>9</v>
          </cell>
          <cell r="J140">
            <v>711000</v>
          </cell>
          <cell r="K140">
            <v>1422000</v>
          </cell>
          <cell r="N140" t="str">
            <v>I0Y1206</v>
          </cell>
          <cell r="O140">
            <v>31</v>
          </cell>
          <cell r="Q140">
            <v>158000</v>
          </cell>
          <cell r="U140">
            <v>708</v>
          </cell>
          <cell r="AJ140">
            <v>112</v>
          </cell>
          <cell r="AK140">
            <v>8764300</v>
          </cell>
          <cell r="AN140">
            <v>111864000</v>
          </cell>
          <cell r="AO140">
            <v>17696000</v>
          </cell>
        </row>
        <row r="141">
          <cell r="A141" t="str">
            <v>Y</v>
          </cell>
          <cell r="B141" t="str">
            <v>I</v>
          </cell>
          <cell r="C141" t="str">
            <v>의류</v>
          </cell>
          <cell r="E141" t="str">
            <v>2</v>
          </cell>
          <cell r="F141" t="str">
            <v>1</v>
          </cell>
          <cell r="G141">
            <v>0</v>
          </cell>
          <cell r="H141">
            <v>16717934</v>
          </cell>
          <cell r="I141">
            <v>31</v>
          </cell>
          <cell r="J141">
            <v>1829000</v>
          </cell>
          <cell r="K141">
            <v>4898000</v>
          </cell>
          <cell r="N141" t="str">
            <v>I0Y1213</v>
          </cell>
          <cell r="O141">
            <v>49</v>
          </cell>
          <cell r="Q141">
            <v>158000</v>
          </cell>
          <cell r="U141">
            <v>886</v>
          </cell>
          <cell r="AJ141">
            <v>141</v>
          </cell>
          <cell r="AK141">
            <v>9740500</v>
          </cell>
          <cell r="AN141">
            <v>139988000</v>
          </cell>
          <cell r="AO141">
            <v>22278000</v>
          </cell>
        </row>
        <row r="142">
          <cell r="A142" t="str">
            <v>Y</v>
          </cell>
          <cell r="B142" t="str">
            <v>P</v>
          </cell>
          <cell r="C142" t="str">
            <v>의류</v>
          </cell>
          <cell r="E142" t="str">
            <v>1</v>
          </cell>
          <cell r="F142" t="str">
            <v>6</v>
          </cell>
          <cell r="G142">
            <v>1</v>
          </cell>
          <cell r="H142">
            <v>19481448</v>
          </cell>
          <cell r="I142">
            <v>4</v>
          </cell>
          <cell r="J142">
            <v>556000</v>
          </cell>
          <cell r="K142">
            <v>1432000</v>
          </cell>
          <cell r="N142" t="str">
            <v>PNY6102</v>
          </cell>
          <cell r="O142">
            <v>39</v>
          </cell>
          <cell r="Q142">
            <v>358000</v>
          </cell>
          <cell r="U142">
            <v>488</v>
          </cell>
          <cell r="AJ142">
            <v>78</v>
          </cell>
          <cell r="AK142">
            <v>12293900</v>
          </cell>
          <cell r="AN142">
            <v>174704000</v>
          </cell>
          <cell r="AO142">
            <v>27924000</v>
          </cell>
        </row>
        <row r="143">
          <cell r="A143" t="str">
            <v>Y</v>
          </cell>
          <cell r="B143" t="str">
            <v>I</v>
          </cell>
          <cell r="C143" t="str">
            <v>의류</v>
          </cell>
          <cell r="E143" t="str">
            <v>1</v>
          </cell>
          <cell r="F143" t="str">
            <v>4</v>
          </cell>
          <cell r="G143">
            <v>1</v>
          </cell>
          <cell r="H143">
            <v>16010978</v>
          </cell>
          <cell r="I143">
            <v>1</v>
          </cell>
          <cell r="J143">
            <v>149000</v>
          </cell>
          <cell r="K143">
            <v>298000</v>
          </cell>
          <cell r="N143" t="str">
            <v>I0Y4101</v>
          </cell>
          <cell r="O143">
            <v>49</v>
          </cell>
          <cell r="Q143">
            <v>298000</v>
          </cell>
          <cell r="U143">
            <v>394</v>
          </cell>
          <cell r="AJ143">
            <v>63</v>
          </cell>
          <cell r="AK143">
            <v>9225050</v>
          </cell>
          <cell r="AN143">
            <v>117412000</v>
          </cell>
          <cell r="AO143">
            <v>18774000</v>
          </cell>
        </row>
        <row r="144">
          <cell r="A144" t="str">
            <v>Y</v>
          </cell>
          <cell r="B144" t="str">
            <v>P</v>
          </cell>
          <cell r="C144" t="str">
            <v>의류</v>
          </cell>
          <cell r="E144" t="str">
            <v>2</v>
          </cell>
          <cell r="F144" t="str">
            <v>1</v>
          </cell>
          <cell r="G144">
            <v>1</v>
          </cell>
          <cell r="H144">
            <v>8305631</v>
          </cell>
          <cell r="I144">
            <v>11</v>
          </cell>
          <cell r="J144">
            <v>539000</v>
          </cell>
          <cell r="K144">
            <v>1298000</v>
          </cell>
          <cell r="N144" t="str">
            <v>P0Y1203</v>
          </cell>
          <cell r="O144">
            <v>31</v>
          </cell>
          <cell r="Q144">
            <v>118000</v>
          </cell>
          <cell r="U144">
            <v>643</v>
          </cell>
          <cell r="AJ144">
            <v>103</v>
          </cell>
          <cell r="AK144">
            <v>5636700</v>
          </cell>
          <cell r="AN144">
            <v>75874000</v>
          </cell>
          <cell r="AO144">
            <v>12154000</v>
          </cell>
        </row>
        <row r="145">
          <cell r="A145" t="str">
            <v>Y</v>
          </cell>
          <cell r="B145" t="str">
            <v>P</v>
          </cell>
          <cell r="C145" t="str">
            <v>의류</v>
          </cell>
          <cell r="E145" t="str">
            <v>2</v>
          </cell>
          <cell r="F145" t="str">
            <v>7</v>
          </cell>
          <cell r="G145">
            <v>0</v>
          </cell>
          <cell r="H145">
            <v>16909871</v>
          </cell>
          <cell r="I145">
            <v>22</v>
          </cell>
          <cell r="J145">
            <v>1738000</v>
          </cell>
          <cell r="K145">
            <v>3476000</v>
          </cell>
          <cell r="N145" t="str">
            <v>P0Y7207</v>
          </cell>
          <cell r="O145">
            <v>49</v>
          </cell>
          <cell r="Q145">
            <v>158000</v>
          </cell>
          <cell r="U145">
            <v>869</v>
          </cell>
          <cell r="AJ145">
            <v>140</v>
          </cell>
          <cell r="AK145">
            <v>10602650</v>
          </cell>
          <cell r="AN145">
            <v>137302000</v>
          </cell>
          <cell r="AO145">
            <v>22120000</v>
          </cell>
        </row>
        <row r="146">
          <cell r="A146" t="str">
            <v>Y</v>
          </cell>
          <cell r="B146" t="str">
            <v>I</v>
          </cell>
          <cell r="C146" t="str">
            <v>의류</v>
          </cell>
          <cell r="E146" t="str">
            <v>1</v>
          </cell>
          <cell r="F146" t="str">
            <v>1</v>
          </cell>
          <cell r="G146">
            <v>0</v>
          </cell>
          <cell r="H146">
            <v>7041646</v>
          </cell>
          <cell r="I146">
            <v>-1</v>
          </cell>
          <cell r="J146">
            <v>-69000</v>
          </cell>
          <cell r="K146">
            <v>-138000</v>
          </cell>
          <cell r="N146" t="str">
            <v>INY1101</v>
          </cell>
          <cell r="O146">
            <v>39</v>
          </cell>
          <cell r="Q146">
            <v>138000</v>
          </cell>
          <cell r="U146">
            <v>421</v>
          </cell>
          <cell r="AJ146">
            <v>68</v>
          </cell>
          <cell r="AK146">
            <v>4611300</v>
          </cell>
          <cell r="AN146">
            <v>58098000</v>
          </cell>
          <cell r="AO146">
            <v>9384000</v>
          </cell>
        </row>
        <row r="147">
          <cell r="A147" t="str">
            <v>Y</v>
          </cell>
          <cell r="B147" t="str">
            <v>I</v>
          </cell>
          <cell r="C147" t="str">
            <v>의류</v>
          </cell>
          <cell r="E147" t="str">
            <v>2</v>
          </cell>
          <cell r="F147" t="str">
            <v>1</v>
          </cell>
          <cell r="G147">
            <v>1</v>
          </cell>
          <cell r="H147">
            <v>6385464</v>
          </cell>
          <cell r="I147">
            <v>13</v>
          </cell>
          <cell r="J147">
            <v>507000</v>
          </cell>
          <cell r="K147">
            <v>1014000</v>
          </cell>
          <cell r="N147" t="str">
            <v>ITY1204</v>
          </cell>
          <cell r="O147">
            <v>34</v>
          </cell>
          <cell r="Q147">
            <v>78000</v>
          </cell>
          <cell r="U147">
            <v>786</v>
          </cell>
          <cell r="AJ147">
            <v>127</v>
          </cell>
          <cell r="AK147">
            <v>4921800</v>
          </cell>
          <cell r="AN147">
            <v>61308000</v>
          </cell>
          <cell r="AO147">
            <v>9906000</v>
          </cell>
        </row>
        <row r="148">
          <cell r="A148" t="str">
            <v>Y</v>
          </cell>
          <cell r="B148" t="str">
            <v>P</v>
          </cell>
          <cell r="C148" t="str">
            <v>의류</v>
          </cell>
          <cell r="E148" t="str">
            <v>2</v>
          </cell>
          <cell r="F148" t="str">
            <v>7</v>
          </cell>
          <cell r="G148">
            <v>0</v>
          </cell>
          <cell r="H148">
            <v>18058232</v>
          </cell>
          <cell r="I148">
            <v>49</v>
          </cell>
          <cell r="J148">
            <v>3271000</v>
          </cell>
          <cell r="K148">
            <v>6762000</v>
          </cell>
          <cell r="N148" t="str">
            <v>P0Y7206</v>
          </cell>
          <cell r="O148">
            <v>49</v>
          </cell>
          <cell r="Q148">
            <v>138000</v>
          </cell>
          <cell r="U148">
            <v>1091</v>
          </cell>
          <cell r="AJ148">
            <v>177</v>
          </cell>
          <cell r="AK148">
            <v>11841500</v>
          </cell>
          <cell r="AN148">
            <v>150558000</v>
          </cell>
          <cell r="AO148">
            <v>24426000</v>
          </cell>
        </row>
        <row r="149">
          <cell r="A149" t="str">
            <v>Y</v>
          </cell>
          <cell r="B149" t="str">
            <v>I</v>
          </cell>
          <cell r="C149" t="str">
            <v>의류</v>
          </cell>
          <cell r="E149" t="str">
            <v>1</v>
          </cell>
          <cell r="F149" t="str">
            <v>7</v>
          </cell>
          <cell r="G149">
            <v>1</v>
          </cell>
          <cell r="H149">
            <v>11095634</v>
          </cell>
          <cell r="I149">
            <v>6</v>
          </cell>
          <cell r="J149">
            <v>534000</v>
          </cell>
          <cell r="K149">
            <v>1068000</v>
          </cell>
          <cell r="N149" t="str">
            <v>I0Y7104</v>
          </cell>
          <cell r="O149">
            <v>32</v>
          </cell>
          <cell r="Q149">
            <v>178000</v>
          </cell>
          <cell r="U149">
            <v>634</v>
          </cell>
          <cell r="AJ149">
            <v>103</v>
          </cell>
          <cell r="AK149">
            <v>8994600</v>
          </cell>
          <cell r="AN149">
            <v>112852000</v>
          </cell>
          <cell r="AO149">
            <v>18334000</v>
          </cell>
        </row>
        <row r="150">
          <cell r="A150" t="str">
            <v>Y</v>
          </cell>
          <cell r="B150" t="str">
            <v>I</v>
          </cell>
          <cell r="C150" t="str">
            <v>의류</v>
          </cell>
          <cell r="E150" t="str">
            <v>2</v>
          </cell>
          <cell r="F150" t="str">
            <v>7</v>
          </cell>
          <cell r="G150">
            <v>1</v>
          </cell>
          <cell r="H150">
            <v>15542430</v>
          </cell>
          <cell r="I150">
            <v>13</v>
          </cell>
          <cell r="J150">
            <v>1387000</v>
          </cell>
          <cell r="K150">
            <v>2834000</v>
          </cell>
          <cell r="N150" t="str">
            <v>INY7203</v>
          </cell>
          <cell r="O150">
            <v>39</v>
          </cell>
          <cell r="Q150">
            <v>218000</v>
          </cell>
          <cell r="U150">
            <v>705</v>
          </cell>
          <cell r="AJ150">
            <v>116</v>
          </cell>
          <cell r="AK150">
            <v>12264200</v>
          </cell>
          <cell r="AN150">
            <v>153690000</v>
          </cell>
          <cell r="AO150">
            <v>25288000</v>
          </cell>
        </row>
        <row r="151">
          <cell r="A151" t="str">
            <v>Y</v>
          </cell>
          <cell r="B151" t="str">
            <v>I</v>
          </cell>
          <cell r="C151" t="str">
            <v>의류</v>
          </cell>
          <cell r="E151" t="str">
            <v>2</v>
          </cell>
          <cell r="F151" t="str">
            <v>1</v>
          </cell>
          <cell r="G151">
            <v>1</v>
          </cell>
          <cell r="H151">
            <v>18238664</v>
          </cell>
          <cell r="I151">
            <v>18</v>
          </cell>
          <cell r="J151">
            <v>1402000</v>
          </cell>
          <cell r="K151">
            <v>2844000</v>
          </cell>
          <cell r="N151" t="str">
            <v>I0Y1202</v>
          </cell>
          <cell r="O151">
            <v>49</v>
          </cell>
          <cell r="Q151">
            <v>158000</v>
          </cell>
          <cell r="U151">
            <v>1004</v>
          </cell>
          <cell r="AJ151">
            <v>167</v>
          </cell>
          <cell r="AK151">
            <v>12755900</v>
          </cell>
          <cell r="AN151">
            <v>158632000</v>
          </cell>
          <cell r="AO151">
            <v>26386000</v>
          </cell>
        </row>
        <row r="152">
          <cell r="A152" t="str">
            <v>Y</v>
          </cell>
          <cell r="B152" t="str">
            <v>P</v>
          </cell>
          <cell r="C152" t="str">
            <v>의류</v>
          </cell>
          <cell r="E152" t="str">
            <v>2</v>
          </cell>
          <cell r="F152" t="str">
            <v>Q</v>
          </cell>
          <cell r="G152">
            <v>0</v>
          </cell>
          <cell r="H152">
            <v>10708041</v>
          </cell>
          <cell r="I152">
            <v>16</v>
          </cell>
          <cell r="J152">
            <v>1584000</v>
          </cell>
          <cell r="K152">
            <v>3168000</v>
          </cell>
          <cell r="N152" t="str">
            <v>P0YQ201</v>
          </cell>
          <cell r="O152">
            <v>31</v>
          </cell>
          <cell r="Q152">
            <v>198000</v>
          </cell>
          <cell r="U152">
            <v>499</v>
          </cell>
          <cell r="AJ152">
            <v>83</v>
          </cell>
          <cell r="AK152">
            <v>8077700</v>
          </cell>
          <cell r="AN152">
            <v>98802000</v>
          </cell>
          <cell r="AO152">
            <v>16434000</v>
          </cell>
        </row>
        <row r="153">
          <cell r="A153" t="str">
            <v>Y</v>
          </cell>
          <cell r="B153" t="str">
            <v>I</v>
          </cell>
          <cell r="C153" t="str">
            <v>의류</v>
          </cell>
          <cell r="E153" t="str">
            <v>1</v>
          </cell>
          <cell r="F153" t="str">
            <v>7</v>
          </cell>
          <cell r="G153">
            <v>1</v>
          </cell>
          <cell r="H153">
            <v>16059945</v>
          </cell>
          <cell r="I153">
            <v>6</v>
          </cell>
          <cell r="J153">
            <v>624000</v>
          </cell>
          <cell r="K153">
            <v>1308000</v>
          </cell>
          <cell r="N153" t="str">
            <v>I0Y7105</v>
          </cell>
          <cell r="O153">
            <v>39</v>
          </cell>
          <cell r="Q153">
            <v>218000</v>
          </cell>
          <cell r="U153">
            <v>655</v>
          </cell>
          <cell r="AJ153">
            <v>110</v>
          </cell>
          <cell r="AK153">
            <v>11908200</v>
          </cell>
          <cell r="AN153">
            <v>142790000</v>
          </cell>
          <cell r="AO153">
            <v>23980000</v>
          </cell>
        </row>
        <row r="154">
          <cell r="A154" t="str">
            <v>Y</v>
          </cell>
          <cell r="B154" t="str">
            <v>I</v>
          </cell>
          <cell r="C154" t="str">
            <v>의류</v>
          </cell>
          <cell r="E154" t="str">
            <v>2</v>
          </cell>
          <cell r="F154" t="str">
            <v>1</v>
          </cell>
          <cell r="G154">
            <v>1</v>
          </cell>
          <cell r="H154">
            <v>18544170</v>
          </cell>
          <cell r="I154">
            <v>45</v>
          </cell>
          <cell r="J154">
            <v>2205000</v>
          </cell>
          <cell r="K154">
            <v>4410000</v>
          </cell>
          <cell r="N154" t="str">
            <v>ITY1201</v>
          </cell>
          <cell r="O154">
            <v>76</v>
          </cell>
          <cell r="Q154">
            <v>98000</v>
          </cell>
          <cell r="U154">
            <v>1590</v>
          </cell>
          <cell r="AJ154">
            <v>269</v>
          </cell>
          <cell r="AK154">
            <v>12960500</v>
          </cell>
          <cell r="AN154">
            <v>155820000</v>
          </cell>
          <cell r="AO154">
            <v>26362000</v>
          </cell>
        </row>
        <row r="155">
          <cell r="A155" t="str">
            <v>Y</v>
          </cell>
          <cell r="B155" t="str">
            <v>I</v>
          </cell>
          <cell r="C155" t="str">
            <v>의류</v>
          </cell>
          <cell r="E155" t="str">
            <v>2</v>
          </cell>
          <cell r="F155" t="str">
            <v>6</v>
          </cell>
          <cell r="G155">
            <v>0</v>
          </cell>
          <cell r="H155">
            <v>10497175</v>
          </cell>
          <cell r="I155">
            <v>5</v>
          </cell>
          <cell r="J155">
            <v>645000</v>
          </cell>
          <cell r="K155">
            <v>1290000</v>
          </cell>
          <cell r="N155" t="str">
            <v>INY6202</v>
          </cell>
          <cell r="O155">
            <v>38</v>
          </cell>
          <cell r="Q155">
            <v>258000</v>
          </cell>
          <cell r="U155">
            <v>325</v>
          </cell>
          <cell r="AJ155">
            <v>55</v>
          </cell>
          <cell r="AK155">
            <v>6937600</v>
          </cell>
          <cell r="AN155">
            <v>83850000</v>
          </cell>
          <cell r="AO155">
            <v>14190000</v>
          </cell>
        </row>
        <row r="156">
          <cell r="A156" t="str">
            <v>Y</v>
          </cell>
          <cell r="B156" t="str">
            <v>P</v>
          </cell>
          <cell r="C156" t="str">
            <v>의류</v>
          </cell>
          <cell r="E156" t="str">
            <v>2</v>
          </cell>
          <cell r="F156" t="str">
            <v>1</v>
          </cell>
          <cell r="G156">
            <v>0</v>
          </cell>
          <cell r="H156">
            <v>11686597</v>
          </cell>
          <cell r="I156">
            <v>15</v>
          </cell>
          <cell r="J156">
            <v>1269400</v>
          </cell>
          <cell r="K156">
            <v>2670000</v>
          </cell>
          <cell r="N156" t="str">
            <v>P0Y1224</v>
          </cell>
          <cell r="O156">
            <v>49</v>
          </cell>
          <cell r="Q156">
            <v>178000</v>
          </cell>
          <cell r="U156">
            <v>617</v>
          </cell>
          <cell r="AJ156">
            <v>105</v>
          </cell>
          <cell r="AK156">
            <v>8905600</v>
          </cell>
          <cell r="AN156">
            <v>109826000</v>
          </cell>
          <cell r="AO156">
            <v>18690000</v>
          </cell>
        </row>
        <row r="157">
          <cell r="A157" t="str">
            <v>Y</v>
          </cell>
          <cell r="B157" t="str">
            <v>I</v>
          </cell>
          <cell r="C157" t="str">
            <v>의류</v>
          </cell>
          <cell r="E157" t="str">
            <v>2</v>
          </cell>
          <cell r="F157" t="str">
            <v>6</v>
          </cell>
          <cell r="G157">
            <v>1</v>
          </cell>
          <cell r="H157">
            <v>12334620</v>
          </cell>
          <cell r="I157">
            <v>2</v>
          </cell>
          <cell r="J157">
            <v>248000</v>
          </cell>
          <cell r="K157">
            <v>596000</v>
          </cell>
          <cell r="N157" t="str">
            <v>INY6201</v>
          </cell>
          <cell r="O157">
            <v>41</v>
          </cell>
          <cell r="Q157">
            <v>298000</v>
          </cell>
          <cell r="U157">
            <v>334</v>
          </cell>
          <cell r="AJ157">
            <v>57</v>
          </cell>
          <cell r="AK157">
            <v>8258700</v>
          </cell>
          <cell r="AN157">
            <v>99532000</v>
          </cell>
          <cell r="AO157">
            <v>16986000</v>
          </cell>
        </row>
        <row r="158">
          <cell r="A158" t="str">
            <v>Y</v>
          </cell>
          <cell r="B158" t="str">
            <v>P</v>
          </cell>
          <cell r="C158" t="str">
            <v>의류</v>
          </cell>
          <cell r="E158" t="str">
            <v>2</v>
          </cell>
          <cell r="F158" t="str">
            <v>7</v>
          </cell>
          <cell r="G158">
            <v>1</v>
          </cell>
          <cell r="H158">
            <v>9689160</v>
          </cell>
          <cell r="I158">
            <v>4</v>
          </cell>
          <cell r="J158">
            <v>356000</v>
          </cell>
          <cell r="K158">
            <v>712000</v>
          </cell>
          <cell r="N158" t="str">
            <v>PNY7201</v>
          </cell>
          <cell r="O158">
            <v>32</v>
          </cell>
          <cell r="Q158">
            <v>178000</v>
          </cell>
          <cell r="U158">
            <v>520</v>
          </cell>
          <cell r="AJ158">
            <v>89</v>
          </cell>
          <cell r="AK158">
            <v>7757600</v>
          </cell>
          <cell r="AN158">
            <v>92560000</v>
          </cell>
          <cell r="AO158">
            <v>15842000</v>
          </cell>
        </row>
        <row r="159">
          <cell r="A159" t="str">
            <v>Y</v>
          </cell>
          <cell r="B159" t="str">
            <v>P</v>
          </cell>
          <cell r="C159" t="str">
            <v>의류</v>
          </cell>
          <cell r="E159" t="str">
            <v>2</v>
          </cell>
          <cell r="F159" t="str">
            <v>6</v>
          </cell>
          <cell r="G159">
            <v>1</v>
          </cell>
          <cell r="H159">
            <v>19036666</v>
          </cell>
          <cell r="I159">
            <v>12</v>
          </cell>
          <cell r="J159">
            <v>1528000</v>
          </cell>
          <cell r="K159">
            <v>3096000</v>
          </cell>
          <cell r="N159" t="str">
            <v>P0Y6203</v>
          </cell>
          <cell r="O159">
            <v>63</v>
          </cell>
          <cell r="Q159">
            <v>258000</v>
          </cell>
          <cell r="U159">
            <v>682</v>
          </cell>
          <cell r="AJ159">
            <v>122</v>
          </cell>
          <cell r="AK159">
            <v>15332900</v>
          </cell>
          <cell r="AN159">
            <v>175956000</v>
          </cell>
          <cell r="AO159">
            <v>31476000</v>
          </cell>
        </row>
        <row r="160">
          <cell r="A160" t="str">
            <v>Y</v>
          </cell>
          <cell r="B160" t="str">
            <v>I</v>
          </cell>
          <cell r="C160" t="str">
            <v>의류</v>
          </cell>
          <cell r="E160" t="str">
            <v>1</v>
          </cell>
          <cell r="F160" t="str">
            <v>7</v>
          </cell>
          <cell r="G160">
            <v>1</v>
          </cell>
          <cell r="H160">
            <v>24478440</v>
          </cell>
          <cell r="I160">
            <v>0</v>
          </cell>
          <cell r="J160">
            <v>0</v>
          </cell>
          <cell r="K160">
            <v>0</v>
          </cell>
          <cell r="N160" t="str">
            <v>ITY7101</v>
          </cell>
          <cell r="O160">
            <v>49</v>
          </cell>
          <cell r="Q160">
            <v>218000</v>
          </cell>
          <cell r="U160">
            <v>905</v>
          </cell>
          <cell r="AJ160">
            <v>162</v>
          </cell>
          <cell r="AK160">
            <v>15176450</v>
          </cell>
          <cell r="AN160">
            <v>197290000</v>
          </cell>
          <cell r="AO160">
            <v>35316000</v>
          </cell>
        </row>
        <row r="161">
          <cell r="A161" t="str">
            <v>Y</v>
          </cell>
          <cell r="B161" t="str">
            <v>I</v>
          </cell>
          <cell r="C161" t="str">
            <v>의류</v>
          </cell>
          <cell r="E161" t="str">
            <v>2</v>
          </cell>
          <cell r="F161" t="str">
            <v>1</v>
          </cell>
          <cell r="G161">
            <v>1</v>
          </cell>
          <cell r="H161">
            <v>15039960</v>
          </cell>
          <cell r="I161">
            <v>23</v>
          </cell>
          <cell r="J161">
            <v>2017000</v>
          </cell>
          <cell r="K161">
            <v>4094000</v>
          </cell>
          <cell r="N161" t="str">
            <v>ITY1202</v>
          </cell>
          <cell r="O161">
            <v>34</v>
          </cell>
          <cell r="Q161">
            <v>178000</v>
          </cell>
          <cell r="U161">
            <v>780</v>
          </cell>
          <cell r="AJ161">
            <v>140</v>
          </cell>
          <cell r="AK161">
            <v>12272100</v>
          </cell>
          <cell r="AN161">
            <v>138840000</v>
          </cell>
          <cell r="AO161">
            <v>24920000</v>
          </cell>
        </row>
        <row r="162">
          <cell r="A162" t="str">
            <v>Y</v>
          </cell>
          <cell r="B162" t="str">
            <v>P</v>
          </cell>
          <cell r="C162" t="str">
            <v>의류</v>
          </cell>
          <cell r="E162" t="str">
            <v>1</v>
          </cell>
          <cell r="F162" t="str">
            <v>5</v>
          </cell>
          <cell r="G162">
            <v>0</v>
          </cell>
          <cell r="H162">
            <v>16396880</v>
          </cell>
          <cell r="I162">
            <v>3</v>
          </cell>
          <cell r="J162">
            <v>387000</v>
          </cell>
          <cell r="K162">
            <v>1014000</v>
          </cell>
          <cell r="N162" t="str">
            <v>P0Y5101</v>
          </cell>
          <cell r="O162">
            <v>49</v>
          </cell>
          <cell r="Q162">
            <v>338000</v>
          </cell>
          <cell r="U162">
            <v>388</v>
          </cell>
          <cell r="AJ162">
            <v>70</v>
          </cell>
          <cell r="AK162">
            <v>10441150</v>
          </cell>
          <cell r="AN162">
            <v>131144000</v>
          </cell>
          <cell r="AO162">
            <v>23660000</v>
          </cell>
        </row>
        <row r="163">
          <cell r="A163" t="str">
            <v>Y</v>
          </cell>
          <cell r="B163" t="str">
            <v>I</v>
          </cell>
          <cell r="C163" t="str">
            <v>의류</v>
          </cell>
          <cell r="E163" t="str">
            <v>2</v>
          </cell>
          <cell r="F163" t="str">
            <v>7</v>
          </cell>
          <cell r="G163">
            <v>1</v>
          </cell>
          <cell r="H163">
            <v>27745640</v>
          </cell>
          <cell r="I163">
            <v>13</v>
          </cell>
          <cell r="J163">
            <v>1417000</v>
          </cell>
          <cell r="K163">
            <v>2834000</v>
          </cell>
          <cell r="N163" t="str">
            <v>INY7202</v>
          </cell>
          <cell r="O163">
            <v>37</v>
          </cell>
          <cell r="Q163">
            <v>218000</v>
          </cell>
          <cell r="U163">
            <v>1145</v>
          </cell>
          <cell r="AJ163">
            <v>207</v>
          </cell>
          <cell r="AK163">
            <v>22017495</v>
          </cell>
          <cell r="AN163">
            <v>249610000</v>
          </cell>
          <cell r="AO163">
            <v>45126000</v>
          </cell>
        </row>
        <row r="164">
          <cell r="A164" t="str">
            <v>Y</v>
          </cell>
          <cell r="B164" t="str">
            <v>I</v>
          </cell>
          <cell r="C164" t="str">
            <v>의류</v>
          </cell>
          <cell r="E164" t="str">
            <v>2</v>
          </cell>
          <cell r="F164" t="str">
            <v>1</v>
          </cell>
          <cell r="G164">
            <v>1</v>
          </cell>
          <cell r="H164">
            <v>8933952</v>
          </cell>
          <cell r="I164">
            <v>20</v>
          </cell>
          <cell r="J164">
            <v>1580000</v>
          </cell>
          <cell r="K164">
            <v>3160000</v>
          </cell>
          <cell r="N164" t="str">
            <v>I0Y1208</v>
          </cell>
          <cell r="O164">
            <v>34</v>
          </cell>
          <cell r="Q164">
            <v>158000</v>
          </cell>
          <cell r="U164">
            <v>608</v>
          </cell>
          <cell r="AJ164">
            <v>112</v>
          </cell>
          <cell r="AK164">
            <v>8814050</v>
          </cell>
          <cell r="AN164">
            <v>96064000</v>
          </cell>
          <cell r="AO164">
            <v>17696000</v>
          </cell>
        </row>
        <row r="165">
          <cell r="A165" t="str">
            <v>Y</v>
          </cell>
          <cell r="B165" t="str">
            <v>I</v>
          </cell>
          <cell r="C165" t="str">
            <v>의류</v>
          </cell>
          <cell r="E165" t="str">
            <v>1</v>
          </cell>
          <cell r="F165" t="str">
            <v>1</v>
          </cell>
          <cell r="G165">
            <v>1</v>
          </cell>
          <cell r="H165">
            <v>15857532</v>
          </cell>
          <cell r="I165">
            <v>0</v>
          </cell>
          <cell r="J165">
            <v>0</v>
          </cell>
          <cell r="K165">
            <v>0</v>
          </cell>
          <cell r="N165" t="str">
            <v>I0Y1103</v>
          </cell>
          <cell r="O165">
            <v>34</v>
          </cell>
          <cell r="Q165">
            <v>158000</v>
          </cell>
          <cell r="U165">
            <v>918</v>
          </cell>
          <cell r="AJ165">
            <v>170</v>
          </cell>
          <cell r="AK165">
            <v>13045600</v>
          </cell>
          <cell r="AN165">
            <v>145044000</v>
          </cell>
          <cell r="AO165">
            <v>26860000</v>
          </cell>
        </row>
        <row r="166">
          <cell r="A166" t="str">
            <v>Y</v>
          </cell>
          <cell r="B166" t="str">
            <v>I</v>
          </cell>
          <cell r="C166" t="str">
            <v>의류</v>
          </cell>
          <cell r="E166" t="str">
            <v>2</v>
          </cell>
          <cell r="F166" t="str">
            <v>8</v>
          </cell>
          <cell r="G166">
            <v>0</v>
          </cell>
          <cell r="H166">
            <v>9142731</v>
          </cell>
          <cell r="I166">
            <v>12</v>
          </cell>
          <cell r="J166">
            <v>828000</v>
          </cell>
          <cell r="K166">
            <v>2136000</v>
          </cell>
          <cell r="N166" t="str">
            <v>ITY8202</v>
          </cell>
          <cell r="O166">
            <v>76</v>
          </cell>
          <cell r="Q166">
            <v>178000</v>
          </cell>
          <cell r="U166">
            <v>507</v>
          </cell>
          <cell r="AJ166">
            <v>94</v>
          </cell>
          <cell r="AK166">
            <v>7694700</v>
          </cell>
          <cell r="AN166">
            <v>90246000</v>
          </cell>
          <cell r="AO166">
            <v>16732000</v>
          </cell>
        </row>
        <row r="167">
          <cell r="A167" t="str">
            <v>Y</v>
          </cell>
          <cell r="B167" t="str">
            <v>P</v>
          </cell>
          <cell r="C167" t="str">
            <v>의류</v>
          </cell>
          <cell r="E167" t="str">
            <v>1</v>
          </cell>
          <cell r="F167" t="str">
            <v>1</v>
          </cell>
          <cell r="G167">
            <v>1</v>
          </cell>
          <cell r="H167">
            <v>11941650</v>
          </cell>
          <cell r="I167">
            <v>-1</v>
          </cell>
          <cell r="J167">
            <v>-59000</v>
          </cell>
          <cell r="K167">
            <v>-158000</v>
          </cell>
          <cell r="N167" t="str">
            <v>P0Y1105</v>
          </cell>
          <cell r="O167">
            <v>63</v>
          </cell>
          <cell r="Q167">
            <v>158000</v>
          </cell>
          <cell r="U167">
            <v>765</v>
          </cell>
          <cell r="AJ167">
            <v>142</v>
          </cell>
          <cell r="AK167">
            <v>9897700</v>
          </cell>
          <cell r="AN167">
            <v>120870000</v>
          </cell>
          <cell r="AO167">
            <v>22436000</v>
          </cell>
        </row>
        <row r="168">
          <cell r="A168" t="str">
            <v>Y</v>
          </cell>
          <cell r="B168" t="str">
            <v>P</v>
          </cell>
          <cell r="C168" t="str">
            <v>의류</v>
          </cell>
          <cell r="E168" t="str">
            <v>2</v>
          </cell>
          <cell r="F168" t="str">
            <v>1</v>
          </cell>
          <cell r="G168">
            <v>0</v>
          </cell>
          <cell r="H168">
            <v>12697411</v>
          </cell>
          <cell r="I168">
            <v>18</v>
          </cell>
          <cell r="J168">
            <v>882000</v>
          </cell>
          <cell r="K168">
            <v>2124000</v>
          </cell>
          <cell r="N168" t="str">
            <v>P0Y1203</v>
          </cell>
          <cell r="O168">
            <v>32</v>
          </cell>
          <cell r="Q168">
            <v>118000</v>
          </cell>
          <cell r="U168">
            <v>983</v>
          </cell>
          <cell r="AJ168">
            <v>184</v>
          </cell>
          <cell r="AK168">
            <v>10227500</v>
          </cell>
          <cell r="AN168">
            <v>115994000</v>
          </cell>
          <cell r="AO168">
            <v>21712000</v>
          </cell>
        </row>
        <row r="169">
          <cell r="A169" t="str">
            <v>Y</v>
          </cell>
          <cell r="B169" t="str">
            <v>I</v>
          </cell>
          <cell r="C169" t="str">
            <v>의류</v>
          </cell>
          <cell r="E169" t="str">
            <v>2</v>
          </cell>
          <cell r="F169" t="str">
            <v>1</v>
          </cell>
          <cell r="G169">
            <v>0</v>
          </cell>
          <cell r="H169">
            <v>10587474</v>
          </cell>
          <cell r="I169">
            <v>25</v>
          </cell>
          <cell r="J169">
            <v>975000</v>
          </cell>
          <cell r="K169">
            <v>1950000</v>
          </cell>
          <cell r="N169" t="str">
            <v>I0Y1201</v>
          </cell>
          <cell r="O169">
            <v>49</v>
          </cell>
          <cell r="Q169">
            <v>78000</v>
          </cell>
          <cell r="U169">
            <v>1206</v>
          </cell>
          <cell r="AJ169">
            <v>227</v>
          </cell>
          <cell r="AK169">
            <v>8677500</v>
          </cell>
          <cell r="AN169">
            <v>94068000</v>
          </cell>
          <cell r="AO169">
            <v>17706000</v>
          </cell>
        </row>
        <row r="170">
          <cell r="A170" t="str">
            <v>Y</v>
          </cell>
          <cell r="B170" t="str">
            <v>P</v>
          </cell>
          <cell r="C170" t="str">
            <v>의류</v>
          </cell>
          <cell r="E170" t="str">
            <v>2</v>
          </cell>
          <cell r="F170" t="str">
            <v>1</v>
          </cell>
          <cell r="G170">
            <v>0</v>
          </cell>
          <cell r="H170">
            <v>6938295</v>
          </cell>
          <cell r="I170">
            <v>23</v>
          </cell>
          <cell r="J170">
            <v>900900</v>
          </cell>
          <cell r="K170">
            <v>1794000</v>
          </cell>
          <cell r="N170" t="str">
            <v>P0Y1201</v>
          </cell>
          <cell r="O170">
            <v>31</v>
          </cell>
          <cell r="Q170">
            <v>78000</v>
          </cell>
          <cell r="U170">
            <v>845</v>
          </cell>
          <cell r="AJ170">
            <v>162</v>
          </cell>
          <cell r="AK170">
            <v>6255600</v>
          </cell>
          <cell r="AN170">
            <v>65910000</v>
          </cell>
          <cell r="AO170">
            <v>12636000</v>
          </cell>
        </row>
        <row r="171">
          <cell r="A171" t="str">
            <v>Y</v>
          </cell>
          <cell r="B171" t="str">
            <v>I</v>
          </cell>
          <cell r="C171" t="str">
            <v>의류</v>
          </cell>
          <cell r="E171" t="str">
            <v>2</v>
          </cell>
          <cell r="F171" t="str">
            <v>6</v>
          </cell>
          <cell r="G171">
            <v>1</v>
          </cell>
          <cell r="H171">
            <v>19848095</v>
          </cell>
          <cell r="I171">
            <v>10</v>
          </cell>
          <cell r="J171">
            <v>1360000</v>
          </cell>
          <cell r="K171">
            <v>2780000</v>
          </cell>
          <cell r="N171" t="str">
            <v>I0Y6202</v>
          </cell>
          <cell r="O171">
            <v>32</v>
          </cell>
          <cell r="Q171">
            <v>278000</v>
          </cell>
          <cell r="U171">
            <v>629</v>
          </cell>
          <cell r="AJ171">
            <v>121</v>
          </cell>
          <cell r="AK171">
            <v>16305400</v>
          </cell>
          <cell r="AN171">
            <v>174862000</v>
          </cell>
          <cell r="AO171">
            <v>33638000</v>
          </cell>
        </row>
        <row r="172">
          <cell r="A172" t="str">
            <v>Y</v>
          </cell>
          <cell r="B172" t="str">
            <v>I</v>
          </cell>
          <cell r="C172" t="str">
            <v>의류</v>
          </cell>
          <cell r="E172" t="str">
            <v>2</v>
          </cell>
          <cell r="F172" t="str">
            <v>1</v>
          </cell>
          <cell r="G172">
            <v>0</v>
          </cell>
          <cell r="H172">
            <v>16582404</v>
          </cell>
          <cell r="I172">
            <v>11</v>
          </cell>
          <cell r="J172">
            <v>869000</v>
          </cell>
          <cell r="K172">
            <v>1738000</v>
          </cell>
          <cell r="N172" t="str">
            <v>I0Y1206</v>
          </cell>
          <cell r="O172">
            <v>39</v>
          </cell>
          <cell r="Q172">
            <v>158000</v>
          </cell>
          <cell r="U172">
            <v>996</v>
          </cell>
          <cell r="AJ172">
            <v>192</v>
          </cell>
          <cell r="AK172">
            <v>14749900</v>
          </cell>
          <cell r="AN172">
            <v>157368000</v>
          </cell>
          <cell r="AO172">
            <v>30336000</v>
          </cell>
        </row>
        <row r="173">
          <cell r="A173" t="str">
            <v>Y</v>
          </cell>
          <cell r="B173" t="str">
            <v>I</v>
          </cell>
          <cell r="C173" t="str">
            <v>의류</v>
          </cell>
          <cell r="E173" t="str">
            <v>2</v>
          </cell>
          <cell r="F173" t="str">
            <v>7</v>
          </cell>
          <cell r="G173">
            <v>1</v>
          </cell>
          <cell r="H173">
            <v>33182776</v>
          </cell>
          <cell r="I173">
            <v>61</v>
          </cell>
          <cell r="J173">
            <v>4819000</v>
          </cell>
          <cell r="K173">
            <v>12078000</v>
          </cell>
          <cell r="N173" t="str">
            <v>ITY7203</v>
          </cell>
          <cell r="O173">
            <v>49</v>
          </cell>
          <cell r="Q173">
            <v>198000</v>
          </cell>
          <cell r="U173">
            <v>1804</v>
          </cell>
          <cell r="AJ173">
            <v>349</v>
          </cell>
          <cell r="AK173">
            <v>31785700</v>
          </cell>
          <cell r="AN173">
            <v>357192000</v>
          </cell>
          <cell r="AO173">
            <v>69102000</v>
          </cell>
        </row>
        <row r="174">
          <cell r="A174" t="str">
            <v>Y</v>
          </cell>
          <cell r="B174" t="str">
            <v>I</v>
          </cell>
          <cell r="C174" t="str">
            <v>의류</v>
          </cell>
          <cell r="E174" t="str">
            <v>1</v>
          </cell>
          <cell r="F174" t="str">
            <v>8</v>
          </cell>
          <cell r="G174">
            <v>1</v>
          </cell>
          <cell r="H174">
            <v>7064442</v>
          </cell>
          <cell r="I174">
            <v>1</v>
          </cell>
          <cell r="J174">
            <v>59000</v>
          </cell>
          <cell r="K174">
            <v>158000</v>
          </cell>
          <cell r="N174" t="str">
            <v>ITY8102</v>
          </cell>
          <cell r="O174">
            <v>43</v>
          </cell>
          <cell r="Q174">
            <v>158000</v>
          </cell>
          <cell r="U174">
            <v>462</v>
          </cell>
          <cell r="AJ174">
            <v>90</v>
          </cell>
          <cell r="AK174">
            <v>6391500</v>
          </cell>
          <cell r="AN174">
            <v>72996000</v>
          </cell>
          <cell r="AO174">
            <v>14220000</v>
          </cell>
        </row>
        <row r="175">
          <cell r="A175" t="str">
            <v>Y</v>
          </cell>
          <cell r="B175" t="str">
            <v>P</v>
          </cell>
          <cell r="C175" t="str">
            <v>의류</v>
          </cell>
          <cell r="E175" t="str">
            <v>2</v>
          </cell>
          <cell r="F175" t="str">
            <v>1</v>
          </cell>
          <cell r="G175">
            <v>1</v>
          </cell>
          <cell r="H175">
            <v>6316996</v>
          </cell>
          <cell r="I175">
            <v>6</v>
          </cell>
          <cell r="J175">
            <v>414000</v>
          </cell>
          <cell r="K175">
            <v>828000</v>
          </cell>
          <cell r="N175" t="str">
            <v>PNY1202</v>
          </cell>
          <cell r="O175">
            <v>23</v>
          </cell>
          <cell r="Q175">
            <v>138000</v>
          </cell>
          <cell r="U175">
            <v>476</v>
          </cell>
          <cell r="AJ175">
            <v>93</v>
          </cell>
          <cell r="AK175">
            <v>6292800</v>
          </cell>
          <cell r="AN175">
            <v>65688000</v>
          </cell>
          <cell r="AO175">
            <v>12834000</v>
          </cell>
        </row>
        <row r="176">
          <cell r="A176" t="str">
            <v>Y</v>
          </cell>
          <cell r="B176" t="str">
            <v>P</v>
          </cell>
          <cell r="C176" t="str">
            <v>의류</v>
          </cell>
          <cell r="E176" t="str">
            <v>2</v>
          </cell>
          <cell r="F176" t="str">
            <v>6</v>
          </cell>
          <cell r="G176">
            <v>1</v>
          </cell>
          <cell r="H176">
            <v>18482440</v>
          </cell>
          <cell r="I176">
            <v>12</v>
          </cell>
          <cell r="J176">
            <v>1428000</v>
          </cell>
          <cell r="K176">
            <v>2856000</v>
          </cell>
          <cell r="N176" t="str">
            <v>PTY6201</v>
          </cell>
          <cell r="O176">
            <v>49</v>
          </cell>
          <cell r="Q176">
            <v>238000</v>
          </cell>
          <cell r="U176">
            <v>664</v>
          </cell>
          <cell r="AJ176">
            <v>130</v>
          </cell>
          <cell r="AK176">
            <v>15244800</v>
          </cell>
          <cell r="AN176">
            <v>158032000</v>
          </cell>
          <cell r="AO176">
            <v>30940000</v>
          </cell>
        </row>
        <row r="177">
          <cell r="A177" t="str">
            <v>Y</v>
          </cell>
          <cell r="B177" t="str">
            <v>I</v>
          </cell>
          <cell r="C177" t="str">
            <v>의류</v>
          </cell>
          <cell r="E177" t="str">
            <v>1</v>
          </cell>
          <cell r="F177" t="str">
            <v>7</v>
          </cell>
          <cell r="G177">
            <v>0</v>
          </cell>
          <cell r="H177">
            <v>8238202</v>
          </cell>
          <cell r="I177">
            <v>-1</v>
          </cell>
          <cell r="J177">
            <v>-89000</v>
          </cell>
          <cell r="K177">
            <v>-178000</v>
          </cell>
          <cell r="N177" t="str">
            <v>I0Y7101</v>
          </cell>
          <cell r="O177">
            <v>49</v>
          </cell>
          <cell r="Q177">
            <v>178000</v>
          </cell>
          <cell r="U177">
            <v>398</v>
          </cell>
          <cell r="AJ177">
            <v>78</v>
          </cell>
          <cell r="AK177">
            <v>6788600</v>
          </cell>
          <cell r="AN177">
            <v>70844000</v>
          </cell>
          <cell r="AO177">
            <v>13884000</v>
          </cell>
        </row>
        <row r="178">
          <cell r="A178" t="str">
            <v>Y</v>
          </cell>
          <cell r="B178" t="str">
            <v>P</v>
          </cell>
          <cell r="C178" t="str">
            <v>의류</v>
          </cell>
          <cell r="E178" t="str">
            <v>2</v>
          </cell>
          <cell r="F178" t="str">
            <v>1</v>
          </cell>
          <cell r="G178">
            <v>1</v>
          </cell>
          <cell r="H178">
            <v>6928488</v>
          </cell>
          <cell r="I178">
            <v>14</v>
          </cell>
          <cell r="J178">
            <v>966000</v>
          </cell>
          <cell r="K178">
            <v>1932000</v>
          </cell>
          <cell r="N178" t="str">
            <v>PNY1204</v>
          </cell>
          <cell r="O178">
            <v>23</v>
          </cell>
          <cell r="Q178">
            <v>138000</v>
          </cell>
          <cell r="U178">
            <v>413</v>
          </cell>
          <cell r="AJ178">
            <v>81</v>
          </cell>
          <cell r="AK178">
            <v>5451400</v>
          </cell>
          <cell r="AN178">
            <v>56994000</v>
          </cell>
          <cell r="AO178">
            <v>11178000</v>
          </cell>
        </row>
        <row r="179">
          <cell r="A179" t="str">
            <v>Y</v>
          </cell>
          <cell r="B179" t="str">
            <v>P</v>
          </cell>
          <cell r="C179" t="str">
            <v>의류</v>
          </cell>
          <cell r="E179" t="str">
            <v>2</v>
          </cell>
          <cell r="F179" t="str">
            <v>1</v>
          </cell>
          <cell r="G179">
            <v>0</v>
          </cell>
          <cell r="H179">
            <v>8654394</v>
          </cell>
          <cell r="I179">
            <v>18</v>
          </cell>
          <cell r="J179">
            <v>702000</v>
          </cell>
          <cell r="K179">
            <v>1404000</v>
          </cell>
          <cell r="N179" t="str">
            <v>P0Y1201</v>
          </cell>
          <cell r="O179">
            <v>73</v>
          </cell>
          <cell r="Q179">
            <v>78000</v>
          </cell>
          <cell r="U179">
            <v>1054</v>
          </cell>
          <cell r="AJ179">
            <v>207</v>
          </cell>
          <cell r="AK179">
            <v>7781700</v>
          </cell>
          <cell r="AN179">
            <v>82212000</v>
          </cell>
          <cell r="AO179">
            <v>16146000</v>
          </cell>
        </row>
        <row r="180">
          <cell r="A180" t="str">
            <v>Y</v>
          </cell>
          <cell r="B180" t="str">
            <v>P</v>
          </cell>
          <cell r="C180" t="str">
            <v>의류</v>
          </cell>
          <cell r="E180" t="str">
            <v>2</v>
          </cell>
          <cell r="F180" t="str">
            <v>6</v>
          </cell>
          <cell r="G180">
            <v>0</v>
          </cell>
          <cell r="H180">
            <v>16691974</v>
          </cell>
          <cell r="I180">
            <v>7</v>
          </cell>
          <cell r="J180">
            <v>903000</v>
          </cell>
          <cell r="K180">
            <v>1806000</v>
          </cell>
          <cell r="N180" t="str">
            <v>P0Y6203</v>
          </cell>
          <cell r="O180">
            <v>43</v>
          </cell>
          <cell r="Q180">
            <v>258000</v>
          </cell>
          <cell r="U180">
            <v>598</v>
          </cell>
          <cell r="AJ180">
            <v>118</v>
          </cell>
          <cell r="AK180">
            <v>14859150</v>
          </cell>
          <cell r="AN180">
            <v>154284000</v>
          </cell>
          <cell r="AO180">
            <v>30444000</v>
          </cell>
        </row>
        <row r="181">
          <cell r="A181" t="str">
            <v>Y</v>
          </cell>
          <cell r="B181" t="str">
            <v>I</v>
          </cell>
          <cell r="C181" t="str">
            <v>의류</v>
          </cell>
          <cell r="E181" t="str">
            <v>1</v>
          </cell>
          <cell r="F181" t="str">
            <v>1</v>
          </cell>
          <cell r="G181">
            <v>1</v>
          </cell>
          <cell r="H181">
            <v>5742400</v>
          </cell>
          <cell r="I181">
            <v>0</v>
          </cell>
          <cell r="J181">
            <v>0</v>
          </cell>
          <cell r="K181">
            <v>0</v>
          </cell>
          <cell r="N181" t="str">
            <v>INY1104</v>
          </cell>
          <cell r="O181">
            <v>31</v>
          </cell>
          <cell r="Q181">
            <v>138000</v>
          </cell>
          <cell r="U181">
            <v>370</v>
          </cell>
          <cell r="AJ181">
            <v>73</v>
          </cell>
          <cell r="AK181">
            <v>4995600</v>
          </cell>
          <cell r="AN181">
            <v>51060000</v>
          </cell>
          <cell r="AO181">
            <v>10074000</v>
          </cell>
        </row>
        <row r="182">
          <cell r="A182" t="str">
            <v>Y</v>
          </cell>
          <cell r="B182" t="str">
            <v>I</v>
          </cell>
          <cell r="C182" t="str">
            <v>의류</v>
          </cell>
          <cell r="E182" t="str">
            <v>2</v>
          </cell>
          <cell r="F182" t="str">
            <v>1</v>
          </cell>
          <cell r="G182">
            <v>0</v>
          </cell>
          <cell r="H182">
            <v>12957593</v>
          </cell>
          <cell r="I182">
            <v>38</v>
          </cell>
          <cell r="J182">
            <v>1862000</v>
          </cell>
          <cell r="K182">
            <v>3724000</v>
          </cell>
          <cell r="N182" t="str">
            <v>ITY1201</v>
          </cell>
          <cell r="O182">
            <v>37</v>
          </cell>
          <cell r="Q182">
            <v>98000</v>
          </cell>
          <cell r="U182">
            <v>1111</v>
          </cell>
          <cell r="AJ182">
            <v>220</v>
          </cell>
          <cell r="AK182">
            <v>10588300</v>
          </cell>
          <cell r="AN182">
            <v>108878000</v>
          </cell>
          <cell r="AO182">
            <v>21560000</v>
          </cell>
        </row>
        <row r="183">
          <cell r="A183" t="str">
            <v>Y</v>
          </cell>
          <cell r="B183" t="str">
            <v>P</v>
          </cell>
          <cell r="C183" t="str">
            <v>의류</v>
          </cell>
          <cell r="E183" t="str">
            <v>2</v>
          </cell>
          <cell r="F183" t="str">
            <v>1</v>
          </cell>
          <cell r="G183">
            <v>1</v>
          </cell>
          <cell r="H183">
            <v>8136940</v>
          </cell>
          <cell r="I183">
            <v>10</v>
          </cell>
          <cell r="J183">
            <v>790000</v>
          </cell>
          <cell r="K183">
            <v>1580000</v>
          </cell>
          <cell r="N183" t="str">
            <v>P0Y1215</v>
          </cell>
          <cell r="O183">
            <v>31</v>
          </cell>
          <cell r="Q183">
            <v>158000</v>
          </cell>
          <cell r="U183">
            <v>490</v>
          </cell>
          <cell r="AJ183">
            <v>97</v>
          </cell>
          <cell r="AK183">
            <v>7579800</v>
          </cell>
          <cell r="AN183">
            <v>77420000</v>
          </cell>
          <cell r="AO183">
            <v>15326000</v>
          </cell>
        </row>
        <row r="184">
          <cell r="A184" t="str">
            <v>Y</v>
          </cell>
          <cell r="B184" t="str">
            <v>P</v>
          </cell>
          <cell r="C184" t="str">
            <v>의류</v>
          </cell>
          <cell r="E184" t="str">
            <v>2</v>
          </cell>
          <cell r="F184" t="str">
            <v>1</v>
          </cell>
          <cell r="G184">
            <v>0</v>
          </cell>
          <cell r="H184">
            <v>20463274</v>
          </cell>
          <cell r="I184">
            <v>34</v>
          </cell>
          <cell r="J184">
            <v>2006000</v>
          </cell>
          <cell r="K184">
            <v>5372000</v>
          </cell>
          <cell r="N184" t="str">
            <v>P0Y1206</v>
          </cell>
          <cell r="O184">
            <v>49</v>
          </cell>
          <cell r="Q184">
            <v>158000</v>
          </cell>
          <cell r="U184">
            <v>1382</v>
          </cell>
          <cell r="AJ184">
            <v>274</v>
          </cell>
          <cell r="AK184">
            <v>19397230</v>
          </cell>
          <cell r="AN184">
            <v>218356000</v>
          </cell>
          <cell r="AO184">
            <v>43292000</v>
          </cell>
        </row>
        <row r="185">
          <cell r="A185" t="str">
            <v>Y</v>
          </cell>
          <cell r="B185" t="str">
            <v>I</v>
          </cell>
          <cell r="C185" t="str">
            <v>의류</v>
          </cell>
          <cell r="E185" t="str">
            <v>1</v>
          </cell>
          <cell r="F185" t="str">
            <v>1</v>
          </cell>
          <cell r="G185">
            <v>1</v>
          </cell>
          <cell r="H185">
            <v>7781019</v>
          </cell>
          <cell r="I185">
            <v>1</v>
          </cell>
          <cell r="J185">
            <v>69000</v>
          </cell>
          <cell r="K185">
            <v>138000</v>
          </cell>
          <cell r="N185" t="str">
            <v>I0Y1108</v>
          </cell>
          <cell r="O185">
            <v>22</v>
          </cell>
          <cell r="Q185">
            <v>138000</v>
          </cell>
          <cell r="U185">
            <v>493</v>
          </cell>
          <cell r="AJ185">
            <v>99</v>
          </cell>
          <cell r="AK185">
            <v>6668900</v>
          </cell>
          <cell r="AN185">
            <v>68034000</v>
          </cell>
          <cell r="AO185">
            <v>13662000</v>
          </cell>
        </row>
        <row r="186">
          <cell r="A186" t="str">
            <v>Y</v>
          </cell>
          <cell r="B186" t="str">
            <v>I</v>
          </cell>
          <cell r="C186" t="str">
            <v>의류</v>
          </cell>
          <cell r="E186" t="str">
            <v>2</v>
          </cell>
          <cell r="F186" t="str">
            <v>1</v>
          </cell>
          <cell r="G186">
            <v>0</v>
          </cell>
          <cell r="H186">
            <v>10065390</v>
          </cell>
          <cell r="I186">
            <v>21</v>
          </cell>
          <cell r="J186">
            <v>1659000</v>
          </cell>
          <cell r="K186">
            <v>3318000</v>
          </cell>
          <cell r="N186" t="str">
            <v>I0Y1208</v>
          </cell>
          <cell r="O186">
            <v>49</v>
          </cell>
          <cell r="Q186">
            <v>158000</v>
          </cell>
          <cell r="U186">
            <v>685</v>
          </cell>
          <cell r="AJ186">
            <v>139</v>
          </cell>
          <cell r="AK186">
            <v>10745600</v>
          </cell>
          <cell r="AN186">
            <v>108230000</v>
          </cell>
          <cell r="AO186">
            <v>21962000</v>
          </cell>
        </row>
        <row r="187">
          <cell r="A187" t="str">
            <v>Y</v>
          </cell>
          <cell r="B187" t="str">
            <v>I</v>
          </cell>
          <cell r="C187" t="str">
            <v>의류</v>
          </cell>
          <cell r="E187" t="str">
            <v>1</v>
          </cell>
          <cell r="F187" t="str">
            <v>7</v>
          </cell>
          <cell r="G187">
            <v>1</v>
          </cell>
          <cell r="H187">
            <v>18827064</v>
          </cell>
          <cell r="I187">
            <v>-1</v>
          </cell>
          <cell r="J187">
            <v>-99000</v>
          </cell>
          <cell r="K187">
            <v>-198000</v>
          </cell>
          <cell r="N187" t="str">
            <v>I0Y7103</v>
          </cell>
          <cell r="O187">
            <v>37</v>
          </cell>
          <cell r="Q187">
            <v>198000</v>
          </cell>
          <cell r="U187">
            <v>828</v>
          </cell>
          <cell r="AJ187">
            <v>168</v>
          </cell>
          <cell r="AK187">
            <v>16317850</v>
          </cell>
          <cell r="AN187">
            <v>163944000</v>
          </cell>
          <cell r="AO187">
            <v>33264000</v>
          </cell>
        </row>
        <row r="188">
          <cell r="A188" t="str">
            <v>Y</v>
          </cell>
          <cell r="B188" t="str">
            <v>I</v>
          </cell>
          <cell r="C188" t="str">
            <v>의류</v>
          </cell>
          <cell r="E188" t="str">
            <v>2</v>
          </cell>
          <cell r="F188" t="str">
            <v>7</v>
          </cell>
          <cell r="G188">
            <v>1</v>
          </cell>
          <cell r="H188">
            <v>20479796</v>
          </cell>
          <cell r="I188">
            <v>29</v>
          </cell>
          <cell r="J188">
            <v>2291000</v>
          </cell>
          <cell r="K188">
            <v>4582000</v>
          </cell>
          <cell r="N188" t="str">
            <v>I0Y7202</v>
          </cell>
          <cell r="O188">
            <v>49</v>
          </cell>
          <cell r="Q188">
            <v>158000</v>
          </cell>
          <cell r="U188">
            <v>1406</v>
          </cell>
          <cell r="AJ188">
            <v>286</v>
          </cell>
          <cell r="AK188">
            <v>21921250</v>
          </cell>
          <cell r="AN188">
            <v>222148000</v>
          </cell>
          <cell r="AO188">
            <v>45188000</v>
          </cell>
        </row>
        <row r="189">
          <cell r="A189" t="str">
            <v>Y</v>
          </cell>
          <cell r="B189" t="str">
            <v>P</v>
          </cell>
          <cell r="C189" t="str">
            <v>의류</v>
          </cell>
          <cell r="E189" t="str">
            <v>1</v>
          </cell>
          <cell r="F189" t="str">
            <v>1</v>
          </cell>
          <cell r="G189">
            <v>1</v>
          </cell>
          <cell r="H189">
            <v>4999418</v>
          </cell>
          <cell r="I189">
            <v>6</v>
          </cell>
          <cell r="J189">
            <v>294000</v>
          </cell>
          <cell r="K189">
            <v>588000</v>
          </cell>
          <cell r="N189" t="str">
            <v>PNY1101</v>
          </cell>
          <cell r="O189">
            <v>39</v>
          </cell>
          <cell r="Q189">
            <v>98000</v>
          </cell>
          <cell r="U189">
            <v>502</v>
          </cell>
          <cell r="AJ189">
            <v>103</v>
          </cell>
          <cell r="AK189">
            <v>4991860</v>
          </cell>
          <cell r="AN189">
            <v>49196000</v>
          </cell>
          <cell r="AO189">
            <v>10094000</v>
          </cell>
        </row>
        <row r="190">
          <cell r="A190" t="str">
            <v>Y</v>
          </cell>
          <cell r="B190" t="str">
            <v>I</v>
          </cell>
          <cell r="C190" t="str">
            <v>의류</v>
          </cell>
          <cell r="E190" t="str">
            <v>2</v>
          </cell>
          <cell r="F190" t="str">
            <v>1</v>
          </cell>
          <cell r="G190">
            <v>1</v>
          </cell>
          <cell r="H190">
            <v>11267367</v>
          </cell>
          <cell r="I190">
            <v>15</v>
          </cell>
          <cell r="J190">
            <v>735000</v>
          </cell>
          <cell r="K190">
            <v>1470000</v>
          </cell>
          <cell r="N190" t="str">
            <v>I0Y1215</v>
          </cell>
          <cell r="O190">
            <v>49</v>
          </cell>
          <cell r="Q190">
            <v>98000</v>
          </cell>
          <cell r="U190">
            <v>813</v>
          </cell>
          <cell r="AJ190">
            <v>167</v>
          </cell>
          <cell r="AK190">
            <v>8079700</v>
          </cell>
          <cell r="AN190">
            <v>79674000</v>
          </cell>
          <cell r="AO190">
            <v>16366000</v>
          </cell>
        </row>
        <row r="191">
          <cell r="A191" t="str">
            <v>Y</v>
          </cell>
          <cell r="B191" t="str">
            <v>P</v>
          </cell>
          <cell r="C191" t="str">
            <v>의류</v>
          </cell>
          <cell r="E191" t="str">
            <v>1</v>
          </cell>
          <cell r="F191" t="str">
            <v>Q</v>
          </cell>
          <cell r="G191">
            <v>0</v>
          </cell>
          <cell r="H191">
            <v>5602410</v>
          </cell>
          <cell r="I191">
            <v>3</v>
          </cell>
          <cell r="J191">
            <v>277000</v>
          </cell>
          <cell r="K191">
            <v>594000</v>
          </cell>
          <cell r="N191" t="str">
            <v>PNYQ101</v>
          </cell>
          <cell r="O191">
            <v>39</v>
          </cell>
          <cell r="Q191">
            <v>198000</v>
          </cell>
          <cell r="U191">
            <v>330</v>
          </cell>
          <cell r="AJ191">
            <v>68</v>
          </cell>
          <cell r="AK191">
            <v>6235800</v>
          </cell>
          <cell r="AN191">
            <v>65340000</v>
          </cell>
          <cell r="AO191">
            <v>13464000</v>
          </cell>
        </row>
        <row r="192">
          <cell r="A192" t="str">
            <v>Y</v>
          </cell>
          <cell r="B192" t="str">
            <v>P</v>
          </cell>
          <cell r="C192" t="str">
            <v>의류</v>
          </cell>
          <cell r="E192" t="str">
            <v>2</v>
          </cell>
          <cell r="F192" t="str">
            <v>6</v>
          </cell>
          <cell r="G192">
            <v>1</v>
          </cell>
          <cell r="H192">
            <v>11023831</v>
          </cell>
          <cell r="I192">
            <v>0</v>
          </cell>
          <cell r="J192">
            <v>0</v>
          </cell>
          <cell r="K192">
            <v>0</v>
          </cell>
          <cell r="N192" t="str">
            <v>P0Y6204</v>
          </cell>
          <cell r="O192">
            <v>31</v>
          </cell>
          <cell r="Q192">
            <v>298000</v>
          </cell>
          <cell r="U192">
            <v>299</v>
          </cell>
          <cell r="AJ192">
            <v>62</v>
          </cell>
          <cell r="AK192">
            <v>9118800</v>
          </cell>
          <cell r="AN192">
            <v>89102000</v>
          </cell>
          <cell r="AO192">
            <v>18476000</v>
          </cell>
        </row>
        <row r="193">
          <cell r="A193" t="str">
            <v>Y</v>
          </cell>
          <cell r="B193" t="str">
            <v>P</v>
          </cell>
          <cell r="C193" t="str">
            <v>의류</v>
          </cell>
          <cell r="E193" t="str">
            <v>2</v>
          </cell>
          <cell r="F193" t="str">
            <v>7</v>
          </cell>
          <cell r="G193">
            <v>1</v>
          </cell>
          <cell r="H193">
            <v>24500823</v>
          </cell>
          <cell r="I193">
            <v>17</v>
          </cell>
          <cell r="J193">
            <v>1173000</v>
          </cell>
          <cell r="K193">
            <v>2346000</v>
          </cell>
          <cell r="N193" t="str">
            <v>PTY7202</v>
          </cell>
          <cell r="O193">
            <v>39</v>
          </cell>
          <cell r="Q193">
            <v>138000</v>
          </cell>
          <cell r="U193">
            <v>1501</v>
          </cell>
          <cell r="AJ193">
            <v>313</v>
          </cell>
          <cell r="AK193">
            <v>20765750</v>
          </cell>
          <cell r="AN193">
            <v>207138000</v>
          </cell>
          <cell r="AO193">
            <v>43194000</v>
          </cell>
        </row>
        <row r="194">
          <cell r="A194" t="str">
            <v>Y</v>
          </cell>
          <cell r="B194" t="str">
            <v>I</v>
          </cell>
          <cell r="C194" t="str">
            <v>의류</v>
          </cell>
          <cell r="E194" t="str">
            <v>2</v>
          </cell>
          <cell r="F194" t="str">
            <v>1</v>
          </cell>
          <cell r="G194">
            <v>0</v>
          </cell>
          <cell r="H194">
            <v>8562696</v>
          </cell>
          <cell r="I194">
            <v>15</v>
          </cell>
          <cell r="J194">
            <v>585000</v>
          </cell>
          <cell r="K194">
            <v>1170000</v>
          </cell>
          <cell r="N194" t="str">
            <v>ITY1204</v>
          </cell>
          <cell r="O194">
            <v>49</v>
          </cell>
          <cell r="Q194">
            <v>78000</v>
          </cell>
          <cell r="U194">
            <v>1054</v>
          </cell>
          <cell r="AJ194">
            <v>220</v>
          </cell>
          <cell r="AK194">
            <v>8462500</v>
          </cell>
          <cell r="AN194">
            <v>82212000</v>
          </cell>
          <cell r="AO194">
            <v>17160000</v>
          </cell>
        </row>
        <row r="195">
          <cell r="A195" t="str">
            <v>Y</v>
          </cell>
          <cell r="B195" t="str">
            <v>I</v>
          </cell>
          <cell r="C195" t="str">
            <v>의류</v>
          </cell>
          <cell r="E195" t="str">
            <v>2</v>
          </cell>
          <cell r="F195" t="str">
            <v>7</v>
          </cell>
          <cell r="G195">
            <v>0</v>
          </cell>
          <cell r="H195">
            <v>30206994</v>
          </cell>
          <cell r="I195">
            <v>43</v>
          </cell>
          <cell r="J195">
            <v>3397000</v>
          </cell>
          <cell r="K195">
            <v>8514000</v>
          </cell>
          <cell r="N195" t="str">
            <v>I0Y7203</v>
          </cell>
          <cell r="O195">
            <v>49</v>
          </cell>
          <cell r="Q195">
            <v>198000</v>
          </cell>
          <cell r="U195">
            <v>1598</v>
          </cell>
          <cell r="AJ195">
            <v>334</v>
          </cell>
          <cell r="AK195">
            <v>30536150</v>
          </cell>
          <cell r="AN195">
            <v>316404000</v>
          </cell>
          <cell r="AO195">
            <v>66132000</v>
          </cell>
        </row>
        <row r="196">
          <cell r="A196" t="str">
            <v>Y</v>
          </cell>
          <cell r="B196" t="str">
            <v>I</v>
          </cell>
          <cell r="C196" t="str">
            <v>의류</v>
          </cell>
          <cell r="E196" t="str">
            <v>2</v>
          </cell>
          <cell r="F196" t="str">
            <v>7</v>
          </cell>
          <cell r="G196">
            <v>0</v>
          </cell>
          <cell r="H196">
            <v>17576340</v>
          </cell>
          <cell r="I196">
            <v>25</v>
          </cell>
          <cell r="J196">
            <v>2435400</v>
          </cell>
          <cell r="K196">
            <v>4950000</v>
          </cell>
          <cell r="N196" t="str">
            <v>INY7201</v>
          </cell>
          <cell r="O196">
            <v>31</v>
          </cell>
          <cell r="Q196">
            <v>198000</v>
          </cell>
          <cell r="U196">
            <v>788</v>
          </cell>
          <cell r="AJ196">
            <v>165</v>
          </cell>
          <cell r="AK196">
            <v>15968100</v>
          </cell>
          <cell r="AN196">
            <v>156024000</v>
          </cell>
          <cell r="AO196">
            <v>32670000</v>
          </cell>
        </row>
        <row r="197">
          <cell r="A197" t="str">
            <v>Y</v>
          </cell>
          <cell r="B197" t="str">
            <v>P</v>
          </cell>
          <cell r="C197" t="str">
            <v>의류</v>
          </cell>
          <cell r="E197" t="str">
            <v>1</v>
          </cell>
          <cell r="F197" t="str">
            <v>V</v>
          </cell>
          <cell r="G197">
            <v>1</v>
          </cell>
          <cell r="H197">
            <v>8030080</v>
          </cell>
          <cell r="I197">
            <v>1</v>
          </cell>
          <cell r="J197">
            <v>119000</v>
          </cell>
          <cell r="K197">
            <v>238000</v>
          </cell>
          <cell r="N197" t="str">
            <v>PNYV101</v>
          </cell>
          <cell r="O197">
            <v>31</v>
          </cell>
          <cell r="Q197">
            <v>238000</v>
          </cell>
          <cell r="U197">
            <v>320</v>
          </cell>
          <cell r="AJ197">
            <v>68</v>
          </cell>
          <cell r="AK197">
            <v>7959970</v>
          </cell>
          <cell r="AN197">
            <v>76160000</v>
          </cell>
          <cell r="AO197">
            <v>16184000</v>
          </cell>
        </row>
        <row r="198">
          <cell r="A198" t="str">
            <v>Y</v>
          </cell>
          <cell r="B198" t="str">
            <v>I</v>
          </cell>
          <cell r="C198" t="str">
            <v>의류</v>
          </cell>
          <cell r="E198" t="str">
            <v>1</v>
          </cell>
          <cell r="F198" t="str">
            <v>7</v>
          </cell>
          <cell r="G198">
            <v>0</v>
          </cell>
          <cell r="H198">
            <v>23107644</v>
          </cell>
          <cell r="I198">
            <v>2</v>
          </cell>
          <cell r="J198">
            <v>178000</v>
          </cell>
          <cell r="K198">
            <v>476000</v>
          </cell>
          <cell r="N198" t="str">
            <v>INY7102</v>
          </cell>
          <cell r="O198">
            <v>39</v>
          </cell>
          <cell r="Q198">
            <v>238000</v>
          </cell>
          <cell r="U198">
            <v>846</v>
          </cell>
          <cell r="AJ198">
            <v>181</v>
          </cell>
          <cell r="AK198">
            <v>19890100</v>
          </cell>
          <cell r="AN198">
            <v>201348000</v>
          </cell>
          <cell r="AO198">
            <v>43078000</v>
          </cell>
        </row>
        <row r="199">
          <cell r="A199" t="str">
            <v>Y</v>
          </cell>
          <cell r="B199" t="str">
            <v>I</v>
          </cell>
          <cell r="C199" t="str">
            <v>의류</v>
          </cell>
          <cell r="E199" t="str">
            <v>1</v>
          </cell>
          <cell r="F199" t="str">
            <v>8</v>
          </cell>
          <cell r="G199">
            <v>1</v>
          </cell>
          <cell r="H199">
            <v>10074294</v>
          </cell>
          <cell r="I199">
            <v>1</v>
          </cell>
          <cell r="J199">
            <v>69000</v>
          </cell>
          <cell r="K199">
            <v>178000</v>
          </cell>
          <cell r="N199" t="str">
            <v>ITY8104</v>
          </cell>
          <cell r="O199">
            <v>79</v>
          </cell>
          <cell r="Q199">
            <v>178000</v>
          </cell>
          <cell r="U199">
            <v>486</v>
          </cell>
          <cell r="AJ199">
            <v>104</v>
          </cell>
          <cell r="AK199">
            <v>8347800</v>
          </cell>
          <cell r="AN199">
            <v>86508000</v>
          </cell>
          <cell r="AO199">
            <v>18512000</v>
          </cell>
        </row>
        <row r="200">
          <cell r="A200" t="str">
            <v>Y</v>
          </cell>
          <cell r="B200" t="str">
            <v>I</v>
          </cell>
          <cell r="C200" t="str">
            <v>의류</v>
          </cell>
          <cell r="E200" t="str">
            <v>2</v>
          </cell>
          <cell r="F200" t="str">
            <v>1</v>
          </cell>
          <cell r="G200">
            <v>0</v>
          </cell>
          <cell r="H200">
            <v>10457036</v>
          </cell>
          <cell r="I200">
            <v>28</v>
          </cell>
          <cell r="J200">
            <v>812000</v>
          </cell>
          <cell r="K200">
            <v>1624000</v>
          </cell>
          <cell r="N200" t="str">
            <v>ITY1205</v>
          </cell>
          <cell r="O200">
            <v>78</v>
          </cell>
          <cell r="Q200">
            <v>58000</v>
          </cell>
          <cell r="U200">
            <v>1321</v>
          </cell>
          <cell r="AJ200">
            <v>283</v>
          </cell>
          <cell r="AK200">
            <v>8146100</v>
          </cell>
          <cell r="AN200">
            <v>76618000</v>
          </cell>
          <cell r="AO200">
            <v>16414000</v>
          </cell>
        </row>
        <row r="201">
          <cell r="A201" t="str">
            <v>Y</v>
          </cell>
          <cell r="B201" t="str">
            <v>P</v>
          </cell>
          <cell r="C201" t="str">
            <v>의류</v>
          </cell>
          <cell r="E201" t="str">
            <v>2</v>
          </cell>
          <cell r="F201" t="str">
            <v>6</v>
          </cell>
          <cell r="G201">
            <v>1</v>
          </cell>
          <cell r="H201">
            <v>10383947</v>
          </cell>
          <cell r="I201">
            <v>4</v>
          </cell>
          <cell r="J201">
            <v>446000</v>
          </cell>
          <cell r="K201">
            <v>952000</v>
          </cell>
          <cell r="N201" t="str">
            <v>PNY6201</v>
          </cell>
          <cell r="O201">
            <v>39</v>
          </cell>
          <cell r="Q201">
            <v>238000</v>
          </cell>
          <cell r="U201">
            <v>373</v>
          </cell>
          <cell r="AJ201">
            <v>80</v>
          </cell>
          <cell r="AK201">
            <v>9501900</v>
          </cell>
          <cell r="AN201">
            <v>88774000</v>
          </cell>
          <cell r="AO201">
            <v>19040000</v>
          </cell>
        </row>
        <row r="202">
          <cell r="A202" t="str">
            <v>Y</v>
          </cell>
          <cell r="B202" t="str">
            <v>I</v>
          </cell>
          <cell r="C202" t="str">
            <v>의류</v>
          </cell>
          <cell r="E202" t="str">
            <v>2</v>
          </cell>
          <cell r="F202" t="str">
            <v>1</v>
          </cell>
          <cell r="G202">
            <v>0</v>
          </cell>
          <cell r="H202">
            <v>8213946</v>
          </cell>
          <cell r="I202">
            <v>22</v>
          </cell>
          <cell r="J202">
            <v>1745900</v>
          </cell>
          <cell r="K202">
            <v>3476000</v>
          </cell>
          <cell r="N202" t="str">
            <v>I0Y1208</v>
          </cell>
          <cell r="O202">
            <v>31</v>
          </cell>
          <cell r="Q202">
            <v>158000</v>
          </cell>
          <cell r="U202">
            <v>559</v>
          </cell>
          <cell r="AJ202">
            <v>120</v>
          </cell>
          <cell r="AK202">
            <v>9256200</v>
          </cell>
          <cell r="AN202">
            <v>88322000</v>
          </cell>
          <cell r="AO202">
            <v>18960000</v>
          </cell>
        </row>
        <row r="203">
          <cell r="A203" t="str">
            <v>Y</v>
          </cell>
          <cell r="B203" t="str">
            <v>P</v>
          </cell>
          <cell r="C203" t="str">
            <v>의류</v>
          </cell>
          <cell r="E203" t="str">
            <v>2</v>
          </cell>
          <cell r="F203" t="str">
            <v>1</v>
          </cell>
          <cell r="G203">
            <v>0</v>
          </cell>
          <cell r="H203">
            <v>7086093</v>
          </cell>
          <cell r="I203">
            <v>19</v>
          </cell>
          <cell r="J203">
            <v>721000</v>
          </cell>
          <cell r="K203">
            <v>1482000</v>
          </cell>
          <cell r="N203" t="str">
            <v>P0Y1201</v>
          </cell>
          <cell r="O203">
            <v>76</v>
          </cell>
          <cell r="Q203">
            <v>78000</v>
          </cell>
          <cell r="U203">
            <v>863</v>
          </cell>
          <cell r="AJ203">
            <v>187</v>
          </cell>
          <cell r="AK203">
            <v>7190600</v>
          </cell>
          <cell r="AN203">
            <v>67314000</v>
          </cell>
          <cell r="AO203">
            <v>14586000</v>
          </cell>
        </row>
        <row r="204">
          <cell r="A204" t="str">
            <v>Y</v>
          </cell>
          <cell r="B204" t="str">
            <v>P</v>
          </cell>
          <cell r="C204" t="str">
            <v>의류</v>
          </cell>
          <cell r="E204" t="str">
            <v>2</v>
          </cell>
          <cell r="F204" t="str">
            <v>7</v>
          </cell>
          <cell r="G204">
            <v>1</v>
          </cell>
          <cell r="H204">
            <v>15249243</v>
          </cell>
          <cell r="I204">
            <v>32</v>
          </cell>
          <cell r="J204">
            <v>2848000</v>
          </cell>
          <cell r="K204">
            <v>5696000</v>
          </cell>
          <cell r="N204" t="str">
            <v>P0Y7205</v>
          </cell>
          <cell r="O204">
            <v>31</v>
          </cell>
          <cell r="Q204">
            <v>178000</v>
          </cell>
          <cell r="U204">
            <v>1077</v>
          </cell>
          <cell r="AJ204">
            <v>235</v>
          </cell>
          <cell r="AK204">
            <v>20127750</v>
          </cell>
          <cell r="AN204">
            <v>191706000</v>
          </cell>
          <cell r="AO204">
            <v>41830000</v>
          </cell>
        </row>
        <row r="205">
          <cell r="A205" t="str">
            <v>Y</v>
          </cell>
          <cell r="B205" t="str">
            <v>I</v>
          </cell>
          <cell r="C205" t="str">
            <v>의류</v>
          </cell>
          <cell r="E205" t="str">
            <v>1</v>
          </cell>
          <cell r="F205" t="str">
            <v>8</v>
          </cell>
          <cell r="G205">
            <v>1</v>
          </cell>
          <cell r="H205">
            <v>12036600</v>
          </cell>
          <cell r="I205">
            <v>4</v>
          </cell>
          <cell r="J205">
            <v>236000</v>
          </cell>
          <cell r="K205">
            <v>632000</v>
          </cell>
          <cell r="N205" t="str">
            <v>ITY8103</v>
          </cell>
          <cell r="O205">
            <v>49</v>
          </cell>
          <cell r="Q205">
            <v>158000</v>
          </cell>
          <cell r="U205">
            <v>600</v>
          </cell>
          <cell r="AJ205">
            <v>131</v>
          </cell>
          <cell r="AK205">
            <v>8766050</v>
          </cell>
          <cell r="AN205">
            <v>94800000</v>
          </cell>
          <cell r="AO205">
            <v>20698000</v>
          </cell>
        </row>
        <row r="206">
          <cell r="A206" t="str">
            <v>Y</v>
          </cell>
          <cell r="B206" t="str">
            <v>I</v>
          </cell>
          <cell r="C206" t="str">
            <v>의류</v>
          </cell>
          <cell r="E206" t="str">
            <v>1</v>
          </cell>
          <cell r="F206" t="str">
            <v>1</v>
          </cell>
          <cell r="G206">
            <v>1</v>
          </cell>
          <cell r="H206">
            <v>10128005</v>
          </cell>
          <cell r="I206">
            <v>5</v>
          </cell>
          <cell r="J206">
            <v>395000</v>
          </cell>
          <cell r="K206">
            <v>790000</v>
          </cell>
          <cell r="N206" t="str">
            <v>I0Y1107</v>
          </cell>
          <cell r="O206">
            <v>34</v>
          </cell>
          <cell r="Q206">
            <v>158000</v>
          </cell>
          <cell r="U206">
            <v>731</v>
          </cell>
          <cell r="AJ206">
            <v>160</v>
          </cell>
          <cell r="AK206">
            <v>12371500</v>
          </cell>
          <cell r="AN206">
            <v>115498000</v>
          </cell>
          <cell r="AO206">
            <v>25280000</v>
          </cell>
        </row>
        <row r="207">
          <cell r="A207" t="str">
            <v>Y</v>
          </cell>
          <cell r="B207" t="str">
            <v>P</v>
          </cell>
          <cell r="C207" t="str">
            <v>의류</v>
          </cell>
          <cell r="E207" t="str">
            <v>1</v>
          </cell>
          <cell r="F207" t="str">
            <v>1</v>
          </cell>
          <cell r="G207">
            <v>1</v>
          </cell>
          <cell r="H207">
            <v>6619410</v>
          </cell>
          <cell r="I207">
            <v>0</v>
          </cell>
          <cell r="J207">
            <v>0</v>
          </cell>
          <cell r="K207">
            <v>0</v>
          </cell>
          <cell r="N207" t="str">
            <v>PNY1103</v>
          </cell>
          <cell r="O207">
            <v>39</v>
          </cell>
          <cell r="Q207">
            <v>138000</v>
          </cell>
          <cell r="U207">
            <v>395</v>
          </cell>
          <cell r="AJ207">
            <v>87</v>
          </cell>
          <cell r="AK207">
            <v>5251100</v>
          </cell>
          <cell r="AN207">
            <v>54510000</v>
          </cell>
          <cell r="AO207">
            <v>12006000</v>
          </cell>
        </row>
        <row r="208">
          <cell r="A208" t="str">
            <v>Y</v>
          </cell>
          <cell r="B208" t="str">
            <v>P</v>
          </cell>
          <cell r="C208" t="str">
            <v>의류</v>
          </cell>
          <cell r="E208" t="str">
            <v>2</v>
          </cell>
          <cell r="F208" t="str">
            <v>6</v>
          </cell>
          <cell r="G208">
            <v>0</v>
          </cell>
          <cell r="H208">
            <v>16339145</v>
          </cell>
          <cell r="I208">
            <v>10</v>
          </cell>
          <cell r="J208">
            <v>1140000</v>
          </cell>
          <cell r="K208">
            <v>2380000</v>
          </cell>
          <cell r="N208" t="str">
            <v>PTY6201</v>
          </cell>
          <cell r="O208">
            <v>54</v>
          </cell>
          <cell r="Q208">
            <v>238000</v>
          </cell>
          <cell r="U208">
            <v>587</v>
          </cell>
          <cell r="AJ208">
            <v>130</v>
          </cell>
          <cell r="AK208">
            <v>15240500</v>
          </cell>
          <cell r="AN208">
            <v>139706000</v>
          </cell>
          <cell r="AO208">
            <v>30940000</v>
          </cell>
        </row>
        <row r="209">
          <cell r="A209" t="str">
            <v>Y</v>
          </cell>
          <cell r="B209" t="str">
            <v>I</v>
          </cell>
          <cell r="C209" t="str">
            <v>의류</v>
          </cell>
          <cell r="E209" t="str">
            <v>1</v>
          </cell>
          <cell r="F209" t="str">
            <v>1</v>
          </cell>
          <cell r="G209">
            <v>1</v>
          </cell>
          <cell r="H209">
            <v>8462046</v>
          </cell>
          <cell r="I209">
            <v>2</v>
          </cell>
          <cell r="J209">
            <v>158000</v>
          </cell>
          <cell r="K209">
            <v>316000</v>
          </cell>
          <cell r="N209" t="str">
            <v>I0Y1104</v>
          </cell>
          <cell r="O209">
            <v>49</v>
          </cell>
          <cell r="Q209">
            <v>158000</v>
          </cell>
          <cell r="U209">
            <v>537</v>
          </cell>
          <cell r="AJ209">
            <v>119</v>
          </cell>
          <cell r="AK209">
            <v>9189900</v>
          </cell>
          <cell r="AN209">
            <v>84846000</v>
          </cell>
          <cell r="AO209">
            <v>18802000</v>
          </cell>
        </row>
        <row r="210">
          <cell r="A210" t="str">
            <v>Y</v>
          </cell>
          <cell r="B210" t="str">
            <v>P</v>
          </cell>
          <cell r="C210" t="str">
            <v>의류</v>
          </cell>
          <cell r="E210" t="str">
            <v>2</v>
          </cell>
          <cell r="F210" t="str">
            <v>8</v>
          </cell>
          <cell r="G210">
            <v>1</v>
          </cell>
          <cell r="H210">
            <v>10827828</v>
          </cell>
          <cell r="I210">
            <v>3</v>
          </cell>
          <cell r="J210">
            <v>297000</v>
          </cell>
          <cell r="K210">
            <v>594000</v>
          </cell>
          <cell r="N210" t="str">
            <v>PTY8204</v>
          </cell>
          <cell r="O210">
            <v>27</v>
          </cell>
          <cell r="Q210">
            <v>198000</v>
          </cell>
          <cell r="U210">
            <v>444</v>
          </cell>
          <cell r="AJ210">
            <v>99</v>
          </cell>
          <cell r="AK210">
            <v>9546450</v>
          </cell>
          <cell r="AN210">
            <v>87912000</v>
          </cell>
          <cell r="AO210">
            <v>19602000</v>
          </cell>
        </row>
        <row r="211">
          <cell r="A211" t="str">
            <v>Y</v>
          </cell>
          <cell r="B211" t="str">
            <v>I</v>
          </cell>
          <cell r="C211" t="str">
            <v>의류</v>
          </cell>
          <cell r="E211" t="str">
            <v>2</v>
          </cell>
          <cell r="F211" t="str">
            <v>1</v>
          </cell>
          <cell r="G211">
            <v>0</v>
          </cell>
          <cell r="H211">
            <v>12607967</v>
          </cell>
          <cell r="I211">
            <v>15</v>
          </cell>
          <cell r="J211">
            <v>1172900</v>
          </cell>
          <cell r="K211">
            <v>2370000</v>
          </cell>
          <cell r="N211" t="str">
            <v>I0Y1214</v>
          </cell>
          <cell r="O211">
            <v>73</v>
          </cell>
          <cell r="Q211">
            <v>158000</v>
          </cell>
          <cell r="U211">
            <v>743</v>
          </cell>
          <cell r="AJ211">
            <v>166</v>
          </cell>
          <cell r="AK211">
            <v>12293500</v>
          </cell>
          <cell r="AN211">
            <v>117394000</v>
          </cell>
          <cell r="AO211">
            <v>26228000</v>
          </cell>
        </row>
        <row r="212">
          <cell r="A212" t="str">
            <v>Y</v>
          </cell>
          <cell r="B212" t="str">
            <v>P</v>
          </cell>
          <cell r="C212" t="str">
            <v>의류</v>
          </cell>
          <cell r="E212" t="str">
            <v>1</v>
          </cell>
          <cell r="F212" t="str">
            <v>7</v>
          </cell>
          <cell r="G212">
            <v>0</v>
          </cell>
          <cell r="H212">
            <v>8091664</v>
          </cell>
          <cell r="I212">
            <v>0</v>
          </cell>
          <cell r="J212">
            <v>0</v>
          </cell>
          <cell r="K212">
            <v>0</v>
          </cell>
          <cell r="N212" t="str">
            <v>P0Y7101</v>
          </cell>
          <cell r="O212">
            <v>53</v>
          </cell>
          <cell r="Q212">
            <v>178000</v>
          </cell>
          <cell r="U212">
            <v>392</v>
          </cell>
          <cell r="AJ212">
            <v>88</v>
          </cell>
          <cell r="AK212">
            <v>7548600</v>
          </cell>
          <cell r="AN212">
            <v>69776000</v>
          </cell>
          <cell r="AO212">
            <v>15664000</v>
          </cell>
        </row>
        <row r="213">
          <cell r="A213" t="str">
            <v>Y</v>
          </cell>
          <cell r="B213" t="str">
            <v>P</v>
          </cell>
          <cell r="C213" t="str">
            <v>의류</v>
          </cell>
          <cell r="E213" t="str">
            <v>1</v>
          </cell>
          <cell r="F213" t="str">
            <v>7</v>
          </cell>
          <cell r="G213">
            <v>1</v>
          </cell>
          <cell r="H213">
            <v>15544620</v>
          </cell>
          <cell r="I213">
            <v>21</v>
          </cell>
          <cell r="J213">
            <v>819000</v>
          </cell>
          <cell r="K213">
            <v>2478000</v>
          </cell>
          <cell r="N213" t="str">
            <v>PTY7101</v>
          </cell>
          <cell r="O213">
            <v>34</v>
          </cell>
          <cell r="Q213">
            <v>118000</v>
          </cell>
          <cell r="U213">
            <v>1183</v>
          </cell>
          <cell r="AJ213">
            <v>266</v>
          </cell>
          <cell r="AK213">
            <v>11758780</v>
          </cell>
          <cell r="AN213">
            <v>139594000</v>
          </cell>
          <cell r="AO213">
            <v>31388000</v>
          </cell>
        </row>
        <row r="214">
          <cell r="A214" t="str">
            <v>Y</v>
          </cell>
          <cell r="B214" t="str">
            <v>I</v>
          </cell>
          <cell r="C214" t="str">
            <v>의류</v>
          </cell>
          <cell r="E214" t="str">
            <v>2</v>
          </cell>
          <cell r="F214" t="str">
            <v>7</v>
          </cell>
          <cell r="G214">
            <v>0</v>
          </cell>
          <cell r="H214">
            <v>42480438</v>
          </cell>
          <cell r="I214">
            <v>97</v>
          </cell>
          <cell r="J214">
            <v>5710900</v>
          </cell>
          <cell r="K214">
            <v>15326000</v>
          </cell>
          <cell r="N214" t="str">
            <v>I0Y7201</v>
          </cell>
          <cell r="O214">
            <v>49</v>
          </cell>
          <cell r="Q214">
            <v>158000</v>
          </cell>
          <cell r="U214">
            <v>2541</v>
          </cell>
          <cell r="AJ214">
            <v>572</v>
          </cell>
          <cell r="AK214">
            <v>40201300</v>
          </cell>
          <cell r="AN214">
            <v>401478000</v>
          </cell>
          <cell r="AO214">
            <v>90376000</v>
          </cell>
        </row>
        <row r="215">
          <cell r="A215" t="str">
            <v>Y</v>
          </cell>
          <cell r="B215" t="str">
            <v>P</v>
          </cell>
          <cell r="C215" t="str">
            <v>의류</v>
          </cell>
          <cell r="E215" t="str">
            <v>2</v>
          </cell>
          <cell r="F215" t="str">
            <v>7</v>
          </cell>
          <cell r="G215">
            <v>0</v>
          </cell>
          <cell r="H215">
            <v>15297693</v>
          </cell>
          <cell r="I215">
            <v>19</v>
          </cell>
          <cell r="J215">
            <v>1671000</v>
          </cell>
          <cell r="K215">
            <v>3382000</v>
          </cell>
          <cell r="N215" t="str">
            <v>PNY7201</v>
          </cell>
          <cell r="O215">
            <v>39</v>
          </cell>
          <cell r="Q215">
            <v>178000</v>
          </cell>
          <cell r="U215">
            <v>821</v>
          </cell>
          <cell r="AJ215">
            <v>185</v>
          </cell>
          <cell r="AK215">
            <v>16050400</v>
          </cell>
          <cell r="AN215">
            <v>146138000</v>
          </cell>
          <cell r="AO215">
            <v>32930000</v>
          </cell>
        </row>
        <row r="216">
          <cell r="A216" t="str">
            <v>Y</v>
          </cell>
          <cell r="B216" t="str">
            <v>I</v>
          </cell>
          <cell r="C216" t="str">
            <v>의류</v>
          </cell>
          <cell r="E216" t="str">
            <v>1</v>
          </cell>
          <cell r="F216" t="str">
            <v>1</v>
          </cell>
          <cell r="G216">
            <v>1</v>
          </cell>
          <cell r="H216">
            <v>6773767</v>
          </cell>
          <cell r="I216">
            <v>3</v>
          </cell>
          <cell r="J216">
            <v>237000</v>
          </cell>
          <cell r="K216">
            <v>474000</v>
          </cell>
          <cell r="N216" t="str">
            <v>ITY1103</v>
          </cell>
          <cell r="O216">
            <v>34</v>
          </cell>
          <cell r="Q216">
            <v>158000</v>
          </cell>
          <cell r="U216">
            <v>469</v>
          </cell>
          <cell r="AJ216">
            <v>106</v>
          </cell>
          <cell r="AK216">
            <v>8288700</v>
          </cell>
          <cell r="AN216">
            <v>74102000</v>
          </cell>
          <cell r="AO216">
            <v>16748000</v>
          </cell>
        </row>
        <row r="217">
          <cell r="A217" t="str">
            <v>Y</v>
          </cell>
          <cell r="B217" t="str">
            <v>P</v>
          </cell>
          <cell r="C217" t="str">
            <v>의류</v>
          </cell>
          <cell r="E217" t="str">
            <v>1</v>
          </cell>
          <cell r="F217" t="str">
            <v>V</v>
          </cell>
          <cell r="G217">
            <v>1</v>
          </cell>
          <cell r="H217">
            <v>15302386</v>
          </cell>
          <cell r="I217">
            <v>2</v>
          </cell>
          <cell r="J217">
            <v>298000</v>
          </cell>
          <cell r="K217">
            <v>596000</v>
          </cell>
          <cell r="N217" t="str">
            <v>P0YV101</v>
          </cell>
          <cell r="O217">
            <v>75</v>
          </cell>
          <cell r="Q217">
            <v>298000</v>
          </cell>
          <cell r="U217">
            <v>407</v>
          </cell>
          <cell r="AJ217">
            <v>92</v>
          </cell>
          <cell r="AK217">
            <v>13514100</v>
          </cell>
          <cell r="AN217">
            <v>121286000</v>
          </cell>
          <cell r="AO217">
            <v>27416000</v>
          </cell>
        </row>
        <row r="218">
          <cell r="A218" t="str">
            <v>Y</v>
          </cell>
          <cell r="B218" t="str">
            <v>I</v>
          </cell>
          <cell r="C218" t="str">
            <v>의류</v>
          </cell>
          <cell r="E218" t="str">
            <v>1</v>
          </cell>
          <cell r="F218" t="str">
            <v>7</v>
          </cell>
          <cell r="G218">
            <v>1</v>
          </cell>
          <cell r="H218">
            <v>15506226</v>
          </cell>
          <cell r="I218">
            <v>6</v>
          </cell>
          <cell r="J218">
            <v>414000</v>
          </cell>
          <cell r="K218">
            <v>1068000</v>
          </cell>
          <cell r="N218" t="str">
            <v>ITY7102</v>
          </cell>
          <cell r="O218">
            <v>45</v>
          </cell>
          <cell r="Q218">
            <v>178000</v>
          </cell>
          <cell r="U218">
            <v>873</v>
          </cell>
          <cell r="AJ218">
            <v>198</v>
          </cell>
          <cell r="AK218">
            <v>15311100</v>
          </cell>
          <cell r="AN218">
            <v>155394000</v>
          </cell>
          <cell r="AO218">
            <v>35244000</v>
          </cell>
        </row>
        <row r="219">
          <cell r="A219" t="str">
            <v>Y</v>
          </cell>
          <cell r="B219" t="str">
            <v>P</v>
          </cell>
          <cell r="C219" t="str">
            <v>의류</v>
          </cell>
          <cell r="E219" t="str">
            <v>1</v>
          </cell>
          <cell r="F219" t="str">
            <v>7</v>
          </cell>
          <cell r="G219">
            <v>0</v>
          </cell>
          <cell r="H219">
            <v>10320870</v>
          </cell>
          <cell r="I219">
            <v>4</v>
          </cell>
          <cell r="J219">
            <v>276000</v>
          </cell>
          <cell r="K219">
            <v>712000</v>
          </cell>
          <cell r="N219" t="str">
            <v>P0Y7103</v>
          </cell>
          <cell r="O219">
            <v>45</v>
          </cell>
          <cell r="Q219">
            <v>178000</v>
          </cell>
          <cell r="U219">
            <v>590</v>
          </cell>
          <cell r="AJ219">
            <v>135</v>
          </cell>
          <cell r="AK219">
            <v>10547850</v>
          </cell>
          <cell r="AN219">
            <v>105020000</v>
          </cell>
          <cell r="AO219">
            <v>24030000</v>
          </cell>
        </row>
        <row r="220">
          <cell r="A220" t="str">
            <v>Y</v>
          </cell>
          <cell r="B220" t="str">
            <v>P</v>
          </cell>
          <cell r="C220" t="str">
            <v>의류</v>
          </cell>
          <cell r="E220" t="str">
            <v>2</v>
          </cell>
          <cell r="F220" t="str">
            <v>9</v>
          </cell>
          <cell r="G220">
            <v>0</v>
          </cell>
          <cell r="H220">
            <v>15716643</v>
          </cell>
          <cell r="I220">
            <v>6</v>
          </cell>
          <cell r="J220">
            <v>1044000</v>
          </cell>
          <cell r="K220">
            <v>2148000</v>
          </cell>
          <cell r="N220" t="str">
            <v>PTY9201</v>
          </cell>
          <cell r="O220">
            <v>49</v>
          </cell>
          <cell r="Q220">
            <v>358000</v>
          </cell>
          <cell r="U220">
            <v>409</v>
          </cell>
          <cell r="AJ220">
            <v>94</v>
          </cell>
          <cell r="AK220">
            <v>16506500</v>
          </cell>
          <cell r="AN220">
            <v>146422000</v>
          </cell>
          <cell r="AO220">
            <v>33652000</v>
          </cell>
        </row>
        <row r="221">
          <cell r="A221" t="str">
            <v>Y</v>
          </cell>
          <cell r="B221" t="str">
            <v>P</v>
          </cell>
          <cell r="C221" t="str">
            <v>의류</v>
          </cell>
          <cell r="E221" t="str">
            <v>1</v>
          </cell>
          <cell r="F221" t="str">
            <v>1</v>
          </cell>
          <cell r="G221">
            <v>1</v>
          </cell>
          <cell r="H221">
            <v>8389970</v>
          </cell>
          <cell r="I221">
            <v>3</v>
          </cell>
          <cell r="J221">
            <v>207000</v>
          </cell>
          <cell r="K221">
            <v>474000</v>
          </cell>
          <cell r="N221" t="str">
            <v>P0Y1103</v>
          </cell>
          <cell r="O221">
            <v>45</v>
          </cell>
          <cell r="Q221">
            <v>158000</v>
          </cell>
          <cell r="U221">
            <v>470</v>
          </cell>
          <cell r="AJ221">
            <v>109</v>
          </cell>
          <cell r="AK221">
            <v>8442000</v>
          </cell>
          <cell r="AN221">
            <v>74260000</v>
          </cell>
          <cell r="AO221">
            <v>17222000</v>
          </cell>
        </row>
        <row r="222">
          <cell r="A222" t="str">
            <v>Y</v>
          </cell>
          <cell r="B222" t="str">
            <v>P</v>
          </cell>
          <cell r="C222" t="str">
            <v>의류</v>
          </cell>
          <cell r="E222" t="str">
            <v>1</v>
          </cell>
          <cell r="F222" t="str">
            <v>1</v>
          </cell>
          <cell r="G222">
            <v>1</v>
          </cell>
          <cell r="H222">
            <v>14482188</v>
          </cell>
          <cell r="I222">
            <v>2</v>
          </cell>
          <cell r="J222">
            <v>158000</v>
          </cell>
          <cell r="K222">
            <v>316000</v>
          </cell>
          <cell r="N222" t="str">
            <v>P0Y1106</v>
          </cell>
          <cell r="O222">
            <v>49</v>
          </cell>
          <cell r="Q222">
            <v>158000</v>
          </cell>
          <cell r="U222">
            <v>707</v>
          </cell>
          <cell r="AJ222">
            <v>164</v>
          </cell>
          <cell r="AK222">
            <v>12515660</v>
          </cell>
          <cell r="AN222">
            <v>111706000</v>
          </cell>
          <cell r="AO222">
            <v>25912000</v>
          </cell>
        </row>
        <row r="223">
          <cell r="A223" t="str">
            <v>Y</v>
          </cell>
          <cell r="B223" t="str">
            <v>P</v>
          </cell>
          <cell r="C223" t="str">
            <v>의류</v>
          </cell>
          <cell r="E223" t="str">
            <v>2</v>
          </cell>
          <cell r="F223" t="str">
            <v>1</v>
          </cell>
          <cell r="G223">
            <v>0</v>
          </cell>
          <cell r="H223">
            <v>6316996</v>
          </cell>
          <cell r="I223">
            <v>11</v>
          </cell>
          <cell r="J223">
            <v>745200</v>
          </cell>
          <cell r="K223">
            <v>1518000</v>
          </cell>
          <cell r="N223" t="str">
            <v>PNY1202</v>
          </cell>
          <cell r="O223">
            <v>76</v>
          </cell>
          <cell r="Q223">
            <v>138000</v>
          </cell>
          <cell r="U223">
            <v>476</v>
          </cell>
          <cell r="AJ223">
            <v>112</v>
          </cell>
          <cell r="AK223">
            <v>7474800</v>
          </cell>
          <cell r="AN223">
            <v>65688000</v>
          </cell>
          <cell r="AO223">
            <v>15456000</v>
          </cell>
        </row>
        <row r="224">
          <cell r="A224" t="str">
            <v>Y</v>
          </cell>
          <cell r="B224" t="str">
            <v>I</v>
          </cell>
          <cell r="C224" t="str">
            <v>의류</v>
          </cell>
          <cell r="E224" t="str">
            <v>1</v>
          </cell>
          <cell r="F224" t="str">
            <v>T</v>
          </cell>
          <cell r="G224">
            <v>1</v>
          </cell>
          <cell r="H224">
            <v>39494000</v>
          </cell>
          <cell r="I224">
            <v>0</v>
          </cell>
          <cell r="J224">
            <v>0</v>
          </cell>
          <cell r="K224">
            <v>0</v>
          </cell>
          <cell r="N224" t="str">
            <v>ITYT101</v>
          </cell>
          <cell r="O224">
            <v>49</v>
          </cell>
          <cell r="Q224">
            <v>358000</v>
          </cell>
          <cell r="U224">
            <v>980</v>
          </cell>
          <cell r="AJ224">
            <v>231</v>
          </cell>
          <cell r="AK224">
            <v>39918720</v>
          </cell>
          <cell r="AN224">
            <v>350840000</v>
          </cell>
          <cell r="AO224">
            <v>82698000</v>
          </cell>
        </row>
        <row r="225">
          <cell r="A225" t="str">
            <v>Y</v>
          </cell>
          <cell r="B225" t="str">
            <v>P</v>
          </cell>
          <cell r="C225" t="str">
            <v>의류</v>
          </cell>
          <cell r="E225" t="str">
            <v>1</v>
          </cell>
          <cell r="F225" t="str">
            <v>1</v>
          </cell>
          <cell r="G225">
            <v>1</v>
          </cell>
          <cell r="H225">
            <v>5571072</v>
          </cell>
          <cell r="I225">
            <v>0</v>
          </cell>
          <cell r="J225">
            <v>0</v>
          </cell>
          <cell r="K225">
            <v>0</v>
          </cell>
          <cell r="N225" t="str">
            <v>P0Y1104</v>
          </cell>
          <cell r="O225">
            <v>63</v>
          </cell>
          <cell r="Q225">
            <v>158000</v>
          </cell>
          <cell r="U225">
            <v>403</v>
          </cell>
          <cell r="AJ225">
            <v>95</v>
          </cell>
          <cell r="AK225">
            <v>7399200</v>
          </cell>
          <cell r="AN225">
            <v>63674000</v>
          </cell>
          <cell r="AO225">
            <v>15010000</v>
          </cell>
        </row>
        <row r="226">
          <cell r="A226" t="str">
            <v>Y</v>
          </cell>
          <cell r="B226" t="str">
            <v>I</v>
          </cell>
          <cell r="C226" t="str">
            <v>의류</v>
          </cell>
          <cell r="E226" t="str">
            <v>2</v>
          </cell>
          <cell r="F226" t="str">
            <v>1</v>
          </cell>
          <cell r="G226">
            <v>0</v>
          </cell>
          <cell r="H226">
            <v>17602854</v>
          </cell>
          <cell r="I226">
            <v>28</v>
          </cell>
          <cell r="J226">
            <v>2182000</v>
          </cell>
          <cell r="K226">
            <v>4424000</v>
          </cell>
          <cell r="N226" t="str">
            <v>I0Y1202</v>
          </cell>
          <cell r="O226">
            <v>31</v>
          </cell>
          <cell r="Q226">
            <v>158000</v>
          </cell>
          <cell r="U226">
            <v>969</v>
          </cell>
          <cell r="AJ226">
            <v>229</v>
          </cell>
          <cell r="AK226">
            <v>17244200</v>
          </cell>
          <cell r="AN226">
            <v>153102000</v>
          </cell>
          <cell r="AO226">
            <v>36182000</v>
          </cell>
        </row>
        <row r="227">
          <cell r="A227" t="str">
            <v>Y</v>
          </cell>
          <cell r="B227" t="str">
            <v>I</v>
          </cell>
          <cell r="C227" t="str">
            <v>의류</v>
          </cell>
          <cell r="E227" t="str">
            <v>1</v>
          </cell>
          <cell r="F227" t="str">
            <v>9</v>
          </cell>
          <cell r="G227">
            <v>1</v>
          </cell>
          <cell r="H227">
            <v>13146868</v>
          </cell>
          <cell r="I227">
            <v>1</v>
          </cell>
          <cell r="J227">
            <v>179000</v>
          </cell>
          <cell r="K227">
            <v>358000</v>
          </cell>
          <cell r="N227" t="str">
            <v>ITY9104</v>
          </cell>
          <cell r="O227">
            <v>54</v>
          </cell>
          <cell r="Q227">
            <v>358000</v>
          </cell>
          <cell r="U227">
            <v>332</v>
          </cell>
          <cell r="AJ227">
            <v>79</v>
          </cell>
          <cell r="AK227">
            <v>13994650</v>
          </cell>
          <cell r="AN227">
            <v>118856000</v>
          </cell>
          <cell r="AO227">
            <v>28282000</v>
          </cell>
        </row>
        <row r="228">
          <cell r="A228" t="str">
            <v>Y</v>
          </cell>
          <cell r="B228" t="str">
            <v>P</v>
          </cell>
          <cell r="C228" t="str">
            <v>의류</v>
          </cell>
          <cell r="E228" t="str">
            <v>2</v>
          </cell>
          <cell r="F228" t="str">
            <v>1</v>
          </cell>
          <cell r="G228">
            <v>1</v>
          </cell>
          <cell r="H228">
            <v>12453258</v>
          </cell>
          <cell r="I228">
            <v>26</v>
          </cell>
          <cell r="J228">
            <v>1017900</v>
          </cell>
          <cell r="K228">
            <v>2028000</v>
          </cell>
          <cell r="N228" t="str">
            <v>P0Y1218</v>
          </cell>
          <cell r="O228">
            <v>31</v>
          </cell>
          <cell r="Q228">
            <v>78000</v>
          </cell>
          <cell r="U228">
            <v>1633</v>
          </cell>
          <cell r="AJ228">
            <v>394</v>
          </cell>
          <cell r="AK228">
            <v>15147100</v>
          </cell>
          <cell r="AN228">
            <v>127374000</v>
          </cell>
          <cell r="AO228">
            <v>30732000</v>
          </cell>
        </row>
        <row r="229">
          <cell r="A229" t="str">
            <v>Y</v>
          </cell>
          <cell r="B229" t="str">
            <v>P</v>
          </cell>
          <cell r="C229" t="str">
            <v>의류</v>
          </cell>
          <cell r="E229" t="str">
            <v>2</v>
          </cell>
          <cell r="F229" t="str">
            <v>7</v>
          </cell>
          <cell r="G229">
            <v>0</v>
          </cell>
          <cell r="H229">
            <v>12205808</v>
          </cell>
          <cell r="I229">
            <v>20</v>
          </cell>
          <cell r="J229">
            <v>1750000</v>
          </cell>
          <cell r="K229">
            <v>3560000</v>
          </cell>
          <cell r="N229" t="str">
            <v>P0Y7204</v>
          </cell>
          <cell r="O229">
            <v>45</v>
          </cell>
          <cell r="Q229">
            <v>178000</v>
          </cell>
          <cell r="U229">
            <v>688</v>
          </cell>
          <cell r="AJ229">
            <v>166</v>
          </cell>
          <cell r="AK229">
            <v>14314800</v>
          </cell>
          <cell r="AN229">
            <v>122464000</v>
          </cell>
          <cell r="AO229">
            <v>29548000</v>
          </cell>
        </row>
        <row r="230">
          <cell r="A230" t="str">
            <v>Y</v>
          </cell>
          <cell r="B230" t="str">
            <v>P</v>
          </cell>
          <cell r="C230" t="str">
            <v>의류</v>
          </cell>
          <cell r="E230" t="str">
            <v>2</v>
          </cell>
          <cell r="F230" t="str">
            <v>1</v>
          </cell>
          <cell r="G230">
            <v>0</v>
          </cell>
          <cell r="H230">
            <v>12076236</v>
          </cell>
          <cell r="I230">
            <v>24</v>
          </cell>
          <cell r="J230">
            <v>1156000</v>
          </cell>
          <cell r="K230">
            <v>2352000</v>
          </cell>
          <cell r="N230" t="str">
            <v>PTY1202</v>
          </cell>
          <cell r="O230">
            <v>76</v>
          </cell>
          <cell r="Q230">
            <v>98000</v>
          </cell>
          <cell r="U230">
            <v>1116</v>
          </cell>
          <cell r="AJ230">
            <v>270</v>
          </cell>
          <cell r="AK230">
            <v>12988300</v>
          </cell>
          <cell r="AN230">
            <v>109368000</v>
          </cell>
          <cell r="AO230">
            <v>26460000</v>
          </cell>
        </row>
        <row r="231">
          <cell r="A231" t="str">
            <v>Y</v>
          </cell>
          <cell r="B231" t="str">
            <v>P</v>
          </cell>
          <cell r="C231" t="str">
            <v>의류</v>
          </cell>
          <cell r="E231" t="str">
            <v>2</v>
          </cell>
          <cell r="F231" t="str">
            <v>7</v>
          </cell>
          <cell r="G231">
            <v>0</v>
          </cell>
          <cell r="H231">
            <v>27967040</v>
          </cell>
          <cell r="I231">
            <v>36</v>
          </cell>
          <cell r="J231">
            <v>2824000</v>
          </cell>
          <cell r="K231">
            <v>5688000</v>
          </cell>
          <cell r="N231" t="str">
            <v>P0Y7201</v>
          </cell>
          <cell r="O231">
            <v>49</v>
          </cell>
          <cell r="Q231">
            <v>158000</v>
          </cell>
          <cell r="U231">
            <v>1649</v>
          </cell>
          <cell r="AJ231">
            <v>402</v>
          </cell>
          <cell r="AK231">
            <v>30785850</v>
          </cell>
          <cell r="AN231">
            <v>260542000</v>
          </cell>
          <cell r="AO231">
            <v>63516000</v>
          </cell>
        </row>
        <row r="232">
          <cell r="A232" t="str">
            <v>Y</v>
          </cell>
          <cell r="B232" t="str">
            <v>I</v>
          </cell>
          <cell r="C232" t="str">
            <v>의류</v>
          </cell>
          <cell r="E232" t="str">
            <v>2</v>
          </cell>
          <cell r="F232" t="str">
            <v>1</v>
          </cell>
          <cell r="G232">
            <v>1</v>
          </cell>
          <cell r="H232">
            <v>6631645</v>
          </cell>
          <cell r="I232">
            <v>8</v>
          </cell>
          <cell r="J232">
            <v>632000</v>
          </cell>
          <cell r="K232">
            <v>1264000</v>
          </cell>
          <cell r="N232" t="str">
            <v>INY1206</v>
          </cell>
          <cell r="O232">
            <v>41</v>
          </cell>
          <cell r="Q232">
            <v>158000</v>
          </cell>
          <cell r="U232">
            <v>383</v>
          </cell>
          <cell r="AJ232">
            <v>94</v>
          </cell>
          <cell r="AK232">
            <v>7356000</v>
          </cell>
          <cell r="AN232">
            <v>60514000</v>
          </cell>
          <cell r="AO232">
            <v>14852000</v>
          </cell>
        </row>
        <row r="233">
          <cell r="A233" t="str">
            <v>Y</v>
          </cell>
          <cell r="B233" t="str">
            <v>P</v>
          </cell>
          <cell r="C233" t="str">
            <v>의류</v>
          </cell>
          <cell r="E233" t="str">
            <v>1</v>
          </cell>
          <cell r="F233" t="str">
            <v>7</v>
          </cell>
          <cell r="G233">
            <v>1</v>
          </cell>
          <cell r="H233">
            <v>9617962</v>
          </cell>
          <cell r="I233">
            <v>0</v>
          </cell>
          <cell r="J233">
            <v>0</v>
          </cell>
          <cell r="K233">
            <v>0</v>
          </cell>
          <cell r="N233" t="str">
            <v>PNY7102</v>
          </cell>
          <cell r="O233">
            <v>31</v>
          </cell>
          <cell r="Q233">
            <v>238000</v>
          </cell>
          <cell r="U233">
            <v>386</v>
          </cell>
          <cell r="AJ233">
            <v>95</v>
          </cell>
          <cell r="AK233">
            <v>11070300</v>
          </cell>
          <cell r="AN233">
            <v>91868000</v>
          </cell>
          <cell r="AO233">
            <v>22610000</v>
          </cell>
        </row>
        <row r="234">
          <cell r="A234" t="str">
            <v>Y</v>
          </cell>
          <cell r="B234" t="str">
            <v>P</v>
          </cell>
          <cell r="C234" t="str">
            <v>의류</v>
          </cell>
          <cell r="E234" t="str">
            <v>2</v>
          </cell>
          <cell r="F234" t="str">
            <v>1</v>
          </cell>
          <cell r="G234">
            <v>0</v>
          </cell>
          <cell r="H234">
            <v>3561342</v>
          </cell>
          <cell r="I234">
            <v>9</v>
          </cell>
          <cell r="J234">
            <v>351000</v>
          </cell>
          <cell r="K234">
            <v>702000</v>
          </cell>
          <cell r="N234" t="str">
            <v>P0Y1218</v>
          </cell>
          <cell r="O234">
            <v>49</v>
          </cell>
          <cell r="Q234">
            <v>78000</v>
          </cell>
          <cell r="U234">
            <v>467</v>
          </cell>
          <cell r="AJ234">
            <v>115</v>
          </cell>
          <cell r="AK234">
            <v>4436250</v>
          </cell>
          <cell r="AN234">
            <v>36426000</v>
          </cell>
          <cell r="AO234">
            <v>8970000</v>
          </cell>
        </row>
        <row r="235">
          <cell r="A235" t="str">
            <v>Y</v>
          </cell>
          <cell r="B235" t="str">
            <v>I</v>
          </cell>
          <cell r="C235" t="str">
            <v>의류</v>
          </cell>
          <cell r="E235" t="str">
            <v>2</v>
          </cell>
          <cell r="F235" t="str">
            <v>1</v>
          </cell>
          <cell r="G235">
            <v>0</v>
          </cell>
          <cell r="H235">
            <v>14287175</v>
          </cell>
          <cell r="I235">
            <v>52</v>
          </cell>
          <cell r="J235">
            <v>2548000</v>
          </cell>
          <cell r="K235">
            <v>5096000</v>
          </cell>
          <cell r="N235" t="str">
            <v>ITY1201</v>
          </cell>
          <cell r="O235">
            <v>43</v>
          </cell>
          <cell r="Q235">
            <v>98000</v>
          </cell>
          <cell r="U235">
            <v>1225</v>
          </cell>
          <cell r="AJ235">
            <v>302</v>
          </cell>
          <cell r="AK235">
            <v>14513200</v>
          </cell>
          <cell r="AN235">
            <v>120050000</v>
          </cell>
          <cell r="AO235">
            <v>29596000</v>
          </cell>
        </row>
        <row r="236">
          <cell r="A236" t="str">
            <v>Y</v>
          </cell>
          <cell r="B236" t="str">
            <v>I</v>
          </cell>
          <cell r="C236" t="str">
            <v>의류</v>
          </cell>
          <cell r="E236" t="str">
            <v>1</v>
          </cell>
          <cell r="F236" t="str">
            <v>1</v>
          </cell>
          <cell r="G236">
            <v>1</v>
          </cell>
          <cell r="H236">
            <v>11374200</v>
          </cell>
          <cell r="I236">
            <v>2</v>
          </cell>
          <cell r="J236">
            <v>158000</v>
          </cell>
          <cell r="K236">
            <v>316000</v>
          </cell>
          <cell r="N236" t="str">
            <v>I0Y1105</v>
          </cell>
          <cell r="O236">
            <v>32</v>
          </cell>
          <cell r="Q236">
            <v>158000</v>
          </cell>
          <cell r="U236">
            <v>710</v>
          </cell>
          <cell r="AJ236">
            <v>176</v>
          </cell>
          <cell r="AK236">
            <v>13545750</v>
          </cell>
          <cell r="AN236">
            <v>112180000</v>
          </cell>
          <cell r="AO236">
            <v>27808000</v>
          </cell>
        </row>
        <row r="237">
          <cell r="A237" t="str">
            <v>Y</v>
          </cell>
          <cell r="B237" t="str">
            <v>P</v>
          </cell>
          <cell r="C237" t="str">
            <v>의류</v>
          </cell>
          <cell r="E237" t="str">
            <v>2</v>
          </cell>
          <cell r="F237" t="str">
            <v>V</v>
          </cell>
          <cell r="G237">
            <v>1</v>
          </cell>
          <cell r="H237">
            <v>16011270</v>
          </cell>
          <cell r="I237">
            <v>7</v>
          </cell>
          <cell r="J237">
            <v>833000</v>
          </cell>
          <cell r="K237">
            <v>1666000</v>
          </cell>
          <cell r="N237" t="str">
            <v>P0YV201</v>
          </cell>
          <cell r="O237">
            <v>27</v>
          </cell>
          <cell r="Q237">
            <v>238000</v>
          </cell>
          <cell r="U237">
            <v>599</v>
          </cell>
          <cell r="AJ237">
            <v>149</v>
          </cell>
          <cell r="AK237">
            <v>17466050</v>
          </cell>
          <cell r="AN237">
            <v>142562000</v>
          </cell>
          <cell r="AO237">
            <v>35462000</v>
          </cell>
        </row>
        <row r="238">
          <cell r="A238" t="str">
            <v>Y</v>
          </cell>
          <cell r="B238" t="str">
            <v>P</v>
          </cell>
          <cell r="C238" t="str">
            <v>의류</v>
          </cell>
          <cell r="E238" t="str">
            <v>1</v>
          </cell>
          <cell r="F238" t="str">
            <v>1</v>
          </cell>
          <cell r="G238">
            <v>0</v>
          </cell>
          <cell r="H238">
            <v>14314370</v>
          </cell>
          <cell r="I238">
            <v>3</v>
          </cell>
          <cell r="J238">
            <v>177000</v>
          </cell>
          <cell r="K238">
            <v>474000</v>
          </cell>
          <cell r="N238" t="str">
            <v>P0Y1105</v>
          </cell>
          <cell r="O238">
            <v>76</v>
          </cell>
          <cell r="Q238">
            <v>158000</v>
          </cell>
          <cell r="U238">
            <v>917</v>
          </cell>
          <cell r="AJ238">
            <v>230</v>
          </cell>
          <cell r="AK238">
            <v>15848400</v>
          </cell>
          <cell r="AN238">
            <v>144886000</v>
          </cell>
          <cell r="AO238">
            <v>36340000</v>
          </cell>
        </row>
        <row r="239">
          <cell r="A239" t="str">
            <v>Y</v>
          </cell>
          <cell r="B239" t="str">
            <v>I</v>
          </cell>
          <cell r="C239" t="str">
            <v>의류</v>
          </cell>
          <cell r="E239" t="str">
            <v>2</v>
          </cell>
          <cell r="F239" t="str">
            <v>1</v>
          </cell>
          <cell r="G239">
            <v>1</v>
          </cell>
          <cell r="H239">
            <v>4697280</v>
          </cell>
          <cell r="I239">
            <v>17</v>
          </cell>
          <cell r="J239">
            <v>663000</v>
          </cell>
          <cell r="K239">
            <v>1326000</v>
          </cell>
          <cell r="N239" t="str">
            <v>I0Y1216</v>
          </cell>
          <cell r="O239">
            <v>49</v>
          </cell>
          <cell r="Q239">
            <v>78000</v>
          </cell>
          <cell r="U239">
            <v>576</v>
          </cell>
          <cell r="AJ239">
            <v>145</v>
          </cell>
          <cell r="AK239">
            <v>5608200</v>
          </cell>
          <cell r="AN239">
            <v>44928000</v>
          </cell>
          <cell r="AO239">
            <v>11310000</v>
          </cell>
        </row>
        <row r="240">
          <cell r="A240" t="str">
            <v>Y</v>
          </cell>
          <cell r="B240" t="str">
            <v>I</v>
          </cell>
          <cell r="C240" t="str">
            <v>의류</v>
          </cell>
          <cell r="E240" t="str">
            <v>1</v>
          </cell>
          <cell r="F240" t="str">
            <v>9</v>
          </cell>
          <cell r="G240">
            <v>0</v>
          </cell>
          <cell r="H240">
            <v>17067169</v>
          </cell>
          <cell r="I240">
            <v>-1</v>
          </cell>
          <cell r="J240">
            <v>-179000</v>
          </cell>
          <cell r="K240">
            <v>-358000</v>
          </cell>
          <cell r="N240" t="str">
            <v>ITY9104</v>
          </cell>
          <cell r="O240">
            <v>49</v>
          </cell>
          <cell r="Q240">
            <v>358000</v>
          </cell>
          <cell r="U240">
            <v>431</v>
          </cell>
          <cell r="AJ240">
            <v>110</v>
          </cell>
          <cell r="AK240">
            <v>19429950</v>
          </cell>
          <cell r="AN240">
            <v>154298000</v>
          </cell>
          <cell r="AO240">
            <v>39380000</v>
          </cell>
        </row>
        <row r="241">
          <cell r="A241" t="str">
            <v>Y</v>
          </cell>
          <cell r="B241" t="str">
            <v>I</v>
          </cell>
          <cell r="C241" t="str">
            <v>의류</v>
          </cell>
          <cell r="E241" t="str">
            <v>2</v>
          </cell>
          <cell r="F241" t="str">
            <v>8</v>
          </cell>
          <cell r="G241">
            <v>1</v>
          </cell>
          <cell r="H241">
            <v>10034664</v>
          </cell>
          <cell r="I241">
            <v>32</v>
          </cell>
          <cell r="J241">
            <v>2448000</v>
          </cell>
          <cell r="K241">
            <v>5056000</v>
          </cell>
          <cell r="N241" t="str">
            <v>ITY8203</v>
          </cell>
          <cell r="O241">
            <v>76</v>
          </cell>
          <cell r="Q241">
            <v>158000</v>
          </cell>
          <cell r="U241">
            <v>586</v>
          </cell>
          <cell r="AJ241">
            <v>150</v>
          </cell>
          <cell r="AK241">
            <v>11462000</v>
          </cell>
          <cell r="AN241">
            <v>92588000</v>
          </cell>
          <cell r="AO241">
            <v>23700000</v>
          </cell>
        </row>
        <row r="242">
          <cell r="A242" t="str">
            <v>Y</v>
          </cell>
          <cell r="B242" t="str">
            <v>I</v>
          </cell>
          <cell r="C242" t="str">
            <v>의류</v>
          </cell>
          <cell r="E242" t="str">
            <v>1</v>
          </cell>
          <cell r="F242" t="str">
            <v>1</v>
          </cell>
          <cell r="G242">
            <v>0</v>
          </cell>
          <cell r="H242">
            <v>7812585</v>
          </cell>
          <cell r="I242">
            <v>1</v>
          </cell>
          <cell r="J242">
            <v>69000</v>
          </cell>
          <cell r="K242">
            <v>138000</v>
          </cell>
          <cell r="N242" t="str">
            <v>I0Y1108</v>
          </cell>
          <cell r="O242">
            <v>49</v>
          </cell>
          <cell r="Q242">
            <v>138000</v>
          </cell>
          <cell r="U242">
            <v>495</v>
          </cell>
          <cell r="AJ242">
            <v>127</v>
          </cell>
          <cell r="AK242">
            <v>8602300</v>
          </cell>
          <cell r="AN242">
            <v>68310000</v>
          </cell>
          <cell r="AO242">
            <v>17526000</v>
          </cell>
        </row>
        <row r="243">
          <cell r="A243" t="str">
            <v>Y</v>
          </cell>
          <cell r="B243" t="str">
            <v>I</v>
          </cell>
          <cell r="C243" t="str">
            <v>의류</v>
          </cell>
          <cell r="E243" t="str">
            <v>2</v>
          </cell>
          <cell r="F243" t="str">
            <v>1</v>
          </cell>
          <cell r="G243">
            <v>0</v>
          </cell>
          <cell r="H243">
            <v>11922610</v>
          </cell>
          <cell r="I243">
            <v>37</v>
          </cell>
          <cell r="J243">
            <v>1443000</v>
          </cell>
          <cell r="K243">
            <v>2886000</v>
          </cell>
          <cell r="N243" t="str">
            <v>I0Y1216</v>
          </cell>
          <cell r="O243">
            <v>31</v>
          </cell>
          <cell r="Q243">
            <v>78000</v>
          </cell>
          <cell r="U243">
            <v>1462</v>
          </cell>
          <cell r="AJ243">
            <v>377</v>
          </cell>
          <cell r="AK243">
            <v>14466300</v>
          </cell>
          <cell r="AN243">
            <v>114036000</v>
          </cell>
          <cell r="AO243">
            <v>29406000</v>
          </cell>
        </row>
        <row r="244">
          <cell r="A244" t="str">
            <v>Y</v>
          </cell>
          <cell r="B244" t="str">
            <v>P</v>
          </cell>
          <cell r="C244" t="str">
            <v>의류</v>
          </cell>
          <cell r="E244" t="str">
            <v>2</v>
          </cell>
          <cell r="F244" t="str">
            <v>1</v>
          </cell>
          <cell r="G244">
            <v>0</v>
          </cell>
          <cell r="H244">
            <v>12369682</v>
          </cell>
          <cell r="I244">
            <v>16</v>
          </cell>
          <cell r="J244">
            <v>944000</v>
          </cell>
          <cell r="K244">
            <v>1888000</v>
          </cell>
          <cell r="N244" t="str">
            <v>P0Y1222</v>
          </cell>
          <cell r="O244">
            <v>49</v>
          </cell>
          <cell r="Q244">
            <v>118000</v>
          </cell>
          <cell r="U244">
            <v>806</v>
          </cell>
          <cell r="AJ244">
            <v>208</v>
          </cell>
          <cell r="AK244">
            <v>11991310</v>
          </cell>
          <cell r="AN244">
            <v>95108000</v>
          </cell>
          <cell r="AO244">
            <v>24544000</v>
          </cell>
        </row>
        <row r="245">
          <cell r="A245" t="str">
            <v>Y</v>
          </cell>
          <cell r="B245" t="str">
            <v>P</v>
          </cell>
          <cell r="C245" t="str">
            <v>의류</v>
          </cell>
          <cell r="E245" t="str">
            <v>1</v>
          </cell>
          <cell r="F245" t="str">
            <v>Q</v>
          </cell>
          <cell r="G245">
            <v>1</v>
          </cell>
          <cell r="H245">
            <v>16290398</v>
          </cell>
          <cell r="I245">
            <v>5</v>
          </cell>
          <cell r="J245">
            <v>495000</v>
          </cell>
          <cell r="K245">
            <v>990000</v>
          </cell>
          <cell r="N245" t="str">
            <v>P0YQ101</v>
          </cell>
          <cell r="O245">
            <v>49</v>
          </cell>
          <cell r="Q245">
            <v>198000</v>
          </cell>
          <cell r="U245">
            <v>626</v>
          </cell>
          <cell r="AJ245">
            <v>162</v>
          </cell>
          <cell r="AK245">
            <v>16175400</v>
          </cell>
          <cell r="AN245">
            <v>123948000</v>
          </cell>
          <cell r="AO245">
            <v>32076000</v>
          </cell>
        </row>
        <row r="246">
          <cell r="A246" t="str">
            <v>Y</v>
          </cell>
          <cell r="B246" t="str">
            <v>I</v>
          </cell>
          <cell r="C246" t="str">
            <v>의류</v>
          </cell>
          <cell r="E246" t="str">
            <v>2</v>
          </cell>
          <cell r="F246" t="str">
            <v>1</v>
          </cell>
          <cell r="G246">
            <v>0</v>
          </cell>
          <cell r="H246">
            <v>10499931</v>
          </cell>
          <cell r="I246">
            <v>24</v>
          </cell>
          <cell r="J246">
            <v>1416000</v>
          </cell>
          <cell r="K246">
            <v>3792000</v>
          </cell>
          <cell r="N246" t="str">
            <v>I0Y1212</v>
          </cell>
          <cell r="O246">
            <v>22</v>
          </cell>
          <cell r="Q246">
            <v>158000</v>
          </cell>
          <cell r="U246">
            <v>663</v>
          </cell>
          <cell r="AJ246">
            <v>172</v>
          </cell>
          <cell r="AK246">
            <v>12329045</v>
          </cell>
          <cell r="AN246">
            <v>104754000</v>
          </cell>
          <cell r="AO246">
            <v>27176000</v>
          </cell>
        </row>
        <row r="247">
          <cell r="A247" t="str">
            <v>Y</v>
          </cell>
          <cell r="B247" t="str">
            <v>I</v>
          </cell>
          <cell r="C247" t="str">
            <v>의류</v>
          </cell>
          <cell r="E247" t="str">
            <v>1</v>
          </cell>
          <cell r="F247" t="str">
            <v>1</v>
          </cell>
          <cell r="G247">
            <v>0</v>
          </cell>
          <cell r="H247">
            <v>7190745</v>
          </cell>
          <cell r="I247">
            <v>2</v>
          </cell>
          <cell r="J247">
            <v>158000</v>
          </cell>
          <cell r="K247">
            <v>316000</v>
          </cell>
          <cell r="N247" t="str">
            <v>I0Y1107</v>
          </cell>
          <cell r="O247">
            <v>76</v>
          </cell>
          <cell r="Q247">
            <v>158000</v>
          </cell>
          <cell r="U247">
            <v>519</v>
          </cell>
          <cell r="AJ247">
            <v>135</v>
          </cell>
          <cell r="AK247">
            <v>10499700</v>
          </cell>
          <cell r="AN247">
            <v>82002000</v>
          </cell>
          <cell r="AO247">
            <v>21330000</v>
          </cell>
        </row>
        <row r="248">
          <cell r="A248" t="str">
            <v>Y</v>
          </cell>
          <cell r="B248" t="str">
            <v>P</v>
          </cell>
          <cell r="C248" t="str">
            <v>의류</v>
          </cell>
          <cell r="E248" t="str">
            <v>2</v>
          </cell>
          <cell r="F248" t="str">
            <v>1</v>
          </cell>
          <cell r="G248">
            <v>1</v>
          </cell>
          <cell r="H248">
            <v>5398272</v>
          </cell>
          <cell r="I248">
            <v>2</v>
          </cell>
          <cell r="J248">
            <v>123900</v>
          </cell>
          <cell r="K248">
            <v>236000</v>
          </cell>
          <cell r="N248" t="str">
            <v>P0Y1223</v>
          </cell>
          <cell r="O248">
            <v>73</v>
          </cell>
          <cell r="Q248">
            <v>118000</v>
          </cell>
          <cell r="U248">
            <v>396</v>
          </cell>
          <cell r="AJ248">
            <v>103</v>
          </cell>
          <cell r="AK248">
            <v>5744300</v>
          </cell>
          <cell r="AN248">
            <v>46728000</v>
          </cell>
          <cell r="AO248">
            <v>12154000</v>
          </cell>
        </row>
        <row r="249">
          <cell r="A249" t="str">
            <v>Y</v>
          </cell>
          <cell r="B249" t="str">
            <v>I</v>
          </cell>
          <cell r="C249" t="str">
            <v>의류</v>
          </cell>
          <cell r="E249" t="str">
            <v>2</v>
          </cell>
          <cell r="F249" t="str">
            <v>1</v>
          </cell>
          <cell r="G249">
            <v>0</v>
          </cell>
          <cell r="H249">
            <v>8199586</v>
          </cell>
          <cell r="I249">
            <v>30</v>
          </cell>
          <cell r="J249">
            <v>1170000</v>
          </cell>
          <cell r="K249">
            <v>2340000</v>
          </cell>
          <cell r="N249" t="str">
            <v>I0Y1201</v>
          </cell>
          <cell r="O249">
            <v>34</v>
          </cell>
          <cell r="Q249">
            <v>78000</v>
          </cell>
          <cell r="U249">
            <v>934</v>
          </cell>
          <cell r="AJ249">
            <v>244</v>
          </cell>
          <cell r="AK249">
            <v>9359500</v>
          </cell>
          <cell r="AN249">
            <v>72852000</v>
          </cell>
          <cell r="AO249">
            <v>19032000</v>
          </cell>
        </row>
        <row r="250">
          <cell r="A250" t="str">
            <v>Y</v>
          </cell>
          <cell r="B250" t="str">
            <v>I</v>
          </cell>
          <cell r="C250" t="str">
            <v>의류</v>
          </cell>
          <cell r="E250" t="str">
            <v>2</v>
          </cell>
          <cell r="F250" t="str">
            <v>8</v>
          </cell>
          <cell r="G250">
            <v>1</v>
          </cell>
          <cell r="H250">
            <v>5473062</v>
          </cell>
          <cell r="I250">
            <v>14</v>
          </cell>
          <cell r="J250">
            <v>966000</v>
          </cell>
          <cell r="K250">
            <v>1932000</v>
          </cell>
          <cell r="N250" t="str">
            <v>ITY8209</v>
          </cell>
          <cell r="O250">
            <v>22</v>
          </cell>
          <cell r="Q250">
            <v>138000</v>
          </cell>
          <cell r="U250">
            <v>378</v>
          </cell>
          <cell r="AJ250">
            <v>99</v>
          </cell>
          <cell r="AK250">
            <v>6743400</v>
          </cell>
          <cell r="AN250">
            <v>52164000</v>
          </cell>
          <cell r="AO250">
            <v>13662000</v>
          </cell>
        </row>
        <row r="251">
          <cell r="A251" t="str">
            <v>Y</v>
          </cell>
          <cell r="B251" t="str">
            <v>I</v>
          </cell>
          <cell r="C251" t="str">
            <v>의류</v>
          </cell>
          <cell r="E251" t="str">
            <v>2</v>
          </cell>
          <cell r="F251" t="str">
            <v>6</v>
          </cell>
          <cell r="G251">
            <v>0</v>
          </cell>
          <cell r="H251">
            <v>15215160</v>
          </cell>
          <cell r="I251">
            <v>6</v>
          </cell>
          <cell r="J251">
            <v>894000</v>
          </cell>
          <cell r="K251">
            <v>1788000</v>
          </cell>
          <cell r="N251" t="str">
            <v>INY6201</v>
          </cell>
          <cell r="O251">
            <v>31</v>
          </cell>
          <cell r="Q251">
            <v>298000</v>
          </cell>
          <cell r="U251">
            <v>412</v>
          </cell>
          <cell r="AJ251">
            <v>108</v>
          </cell>
          <cell r="AK251">
            <v>15942800</v>
          </cell>
          <cell r="AN251">
            <v>122776000</v>
          </cell>
          <cell r="AO251">
            <v>32184000</v>
          </cell>
        </row>
        <row r="252">
          <cell r="A252" t="str">
            <v>Y</v>
          </cell>
          <cell r="B252" t="str">
            <v>P</v>
          </cell>
          <cell r="C252" t="str">
            <v>의류</v>
          </cell>
          <cell r="E252" t="str">
            <v>2</v>
          </cell>
          <cell r="F252" t="str">
            <v>8</v>
          </cell>
          <cell r="G252">
            <v>0</v>
          </cell>
          <cell r="H252">
            <v>13856021</v>
          </cell>
          <cell r="I252">
            <v>19</v>
          </cell>
          <cell r="J252">
            <v>1641000</v>
          </cell>
          <cell r="K252">
            <v>3382000</v>
          </cell>
          <cell r="N252" t="str">
            <v>PTY8205</v>
          </cell>
          <cell r="O252">
            <v>49</v>
          </cell>
          <cell r="Q252">
            <v>178000</v>
          </cell>
          <cell r="U252">
            <v>683</v>
          </cell>
          <cell r="AJ252">
            <v>181</v>
          </cell>
          <cell r="AK252">
            <v>16046900</v>
          </cell>
          <cell r="AN252">
            <v>121574000</v>
          </cell>
          <cell r="AO252">
            <v>32218000</v>
          </cell>
        </row>
        <row r="253">
          <cell r="A253" t="str">
            <v>Y</v>
          </cell>
          <cell r="B253" t="str">
            <v>P</v>
          </cell>
          <cell r="C253" t="str">
            <v>의류</v>
          </cell>
          <cell r="E253" t="str">
            <v>2</v>
          </cell>
          <cell r="F253" t="str">
            <v>7</v>
          </cell>
          <cell r="G253">
            <v>0</v>
          </cell>
          <cell r="H253">
            <v>22966461</v>
          </cell>
          <cell r="I253">
            <v>39</v>
          </cell>
          <cell r="J253">
            <v>2691000</v>
          </cell>
          <cell r="K253">
            <v>5382000</v>
          </cell>
          <cell r="N253" t="str">
            <v>PTY7202</v>
          </cell>
          <cell r="O253">
            <v>49</v>
          </cell>
          <cell r="Q253">
            <v>138000</v>
          </cell>
          <cell r="U253">
            <v>1407</v>
          </cell>
          <cell r="AJ253">
            <v>373</v>
          </cell>
          <cell r="AK253">
            <v>25236850</v>
          </cell>
          <cell r="AN253">
            <v>194166000</v>
          </cell>
          <cell r="AO253">
            <v>51474000</v>
          </cell>
        </row>
        <row r="254">
          <cell r="A254" t="str">
            <v>Y</v>
          </cell>
          <cell r="B254" t="str">
            <v>P</v>
          </cell>
          <cell r="C254" t="str">
            <v>의류</v>
          </cell>
          <cell r="E254" t="str">
            <v>1</v>
          </cell>
          <cell r="F254" t="str">
            <v>1</v>
          </cell>
          <cell r="G254">
            <v>1</v>
          </cell>
          <cell r="H254">
            <v>4772889</v>
          </cell>
          <cell r="I254">
            <v>3</v>
          </cell>
          <cell r="J254">
            <v>147000</v>
          </cell>
          <cell r="K254">
            <v>294000</v>
          </cell>
          <cell r="N254" t="str">
            <v>P0Y1102</v>
          </cell>
          <cell r="O254">
            <v>62</v>
          </cell>
          <cell r="Q254">
            <v>98000</v>
          </cell>
          <cell r="U254">
            <v>407</v>
          </cell>
          <cell r="AJ254">
            <v>108</v>
          </cell>
          <cell r="AK254">
            <v>5188500</v>
          </cell>
          <cell r="AN254">
            <v>39886000</v>
          </cell>
          <cell r="AO254">
            <v>10584000</v>
          </cell>
        </row>
        <row r="255">
          <cell r="A255" t="str">
            <v>Y</v>
          </cell>
          <cell r="B255" t="str">
            <v>I</v>
          </cell>
          <cell r="C255" t="str">
            <v>의류</v>
          </cell>
          <cell r="E255" t="str">
            <v>2</v>
          </cell>
          <cell r="F255" t="str">
            <v>8</v>
          </cell>
          <cell r="G255">
            <v>1</v>
          </cell>
          <cell r="H255">
            <v>8165230</v>
          </cell>
          <cell r="I255">
            <v>18</v>
          </cell>
          <cell r="J255">
            <v>1402000</v>
          </cell>
          <cell r="K255">
            <v>2844000</v>
          </cell>
          <cell r="N255" t="str">
            <v>ITY8204</v>
          </cell>
          <cell r="O255">
            <v>43</v>
          </cell>
          <cell r="Q255">
            <v>158000</v>
          </cell>
          <cell r="U255">
            <v>542</v>
          </cell>
          <cell r="AJ255">
            <v>144</v>
          </cell>
          <cell r="AK255">
            <v>11075400</v>
          </cell>
          <cell r="AN255">
            <v>85636000</v>
          </cell>
          <cell r="AO255">
            <v>22752000</v>
          </cell>
        </row>
        <row r="256">
          <cell r="A256" t="str">
            <v>Y</v>
          </cell>
          <cell r="B256" t="str">
            <v>I</v>
          </cell>
          <cell r="C256" t="str">
            <v>의류</v>
          </cell>
          <cell r="E256" t="str">
            <v>1</v>
          </cell>
          <cell r="F256" t="str">
            <v>1</v>
          </cell>
          <cell r="G256">
            <v>0</v>
          </cell>
          <cell r="H256">
            <v>15442956</v>
          </cell>
          <cell r="I256">
            <v>2</v>
          </cell>
          <cell r="J256">
            <v>165900</v>
          </cell>
          <cell r="K256">
            <v>316000</v>
          </cell>
          <cell r="N256" t="str">
            <v>I0Y1103</v>
          </cell>
          <cell r="O256">
            <v>49</v>
          </cell>
          <cell r="Q256">
            <v>158000</v>
          </cell>
          <cell r="U256">
            <v>894</v>
          </cell>
          <cell r="AJ256">
            <v>238</v>
          </cell>
          <cell r="AK256">
            <v>18107750</v>
          </cell>
          <cell r="AN256">
            <v>141252000</v>
          </cell>
          <cell r="AO256">
            <v>37604000</v>
          </cell>
        </row>
        <row r="257">
          <cell r="A257" t="str">
            <v>Y</v>
          </cell>
          <cell r="B257" t="str">
            <v>P</v>
          </cell>
          <cell r="C257" t="str">
            <v>의류</v>
          </cell>
          <cell r="E257" t="str">
            <v>1</v>
          </cell>
          <cell r="F257" t="str">
            <v>7</v>
          </cell>
          <cell r="G257">
            <v>1</v>
          </cell>
          <cell r="H257">
            <v>17812844</v>
          </cell>
          <cell r="I257">
            <v>3</v>
          </cell>
          <cell r="J257">
            <v>297000</v>
          </cell>
          <cell r="K257">
            <v>594000</v>
          </cell>
          <cell r="N257" t="str">
            <v>PTY7102</v>
          </cell>
          <cell r="O257">
            <v>49</v>
          </cell>
          <cell r="Q257">
            <v>198000</v>
          </cell>
          <cell r="U257">
            <v>812</v>
          </cell>
          <cell r="AJ257">
            <v>217</v>
          </cell>
          <cell r="AK257">
            <v>21331800</v>
          </cell>
          <cell r="AN257">
            <v>160776000</v>
          </cell>
          <cell r="AO257">
            <v>42966000</v>
          </cell>
        </row>
        <row r="258">
          <cell r="A258" t="str">
            <v>Y</v>
          </cell>
          <cell r="B258" t="str">
            <v>I</v>
          </cell>
          <cell r="C258" t="str">
            <v>의류</v>
          </cell>
          <cell r="E258" t="str">
            <v>2</v>
          </cell>
          <cell r="F258" t="str">
            <v>1</v>
          </cell>
          <cell r="G258">
            <v>1</v>
          </cell>
          <cell r="H258">
            <v>22851104</v>
          </cell>
          <cell r="I258">
            <v>36</v>
          </cell>
          <cell r="J258">
            <v>2844000</v>
          </cell>
          <cell r="K258">
            <v>5688000</v>
          </cell>
          <cell r="N258" t="str">
            <v>I0Y1211</v>
          </cell>
          <cell r="O258">
            <v>22</v>
          </cell>
          <cell r="Q258">
            <v>158000</v>
          </cell>
          <cell r="U258">
            <v>1312</v>
          </cell>
          <cell r="AJ258">
            <v>351</v>
          </cell>
          <cell r="AK258">
            <v>27184600</v>
          </cell>
          <cell r="AN258">
            <v>207296000</v>
          </cell>
          <cell r="AO258">
            <v>55458000</v>
          </cell>
        </row>
        <row r="259">
          <cell r="A259" t="str">
            <v>Y</v>
          </cell>
          <cell r="B259" t="str">
            <v>P</v>
          </cell>
          <cell r="C259" t="str">
            <v>의류</v>
          </cell>
          <cell r="E259" t="str">
            <v>2</v>
          </cell>
          <cell r="F259" t="str">
            <v>1</v>
          </cell>
          <cell r="G259">
            <v>1</v>
          </cell>
          <cell r="H259">
            <v>7735411</v>
          </cell>
          <cell r="I259">
            <v>21</v>
          </cell>
          <cell r="J259">
            <v>819000</v>
          </cell>
          <cell r="K259">
            <v>1638000</v>
          </cell>
          <cell r="N259" t="str">
            <v>PTY1205</v>
          </cell>
          <cell r="O259">
            <v>31</v>
          </cell>
          <cell r="Q259">
            <v>78000</v>
          </cell>
          <cell r="U259">
            <v>773</v>
          </cell>
          <cell r="AJ259">
            <v>208</v>
          </cell>
          <cell r="AK259">
            <v>7679300</v>
          </cell>
          <cell r="AN259">
            <v>60294000</v>
          </cell>
          <cell r="AO259">
            <v>16224000</v>
          </cell>
        </row>
        <row r="260">
          <cell r="A260" t="str">
            <v>Y</v>
          </cell>
          <cell r="B260" t="str">
            <v>P</v>
          </cell>
          <cell r="C260" t="str">
            <v>의류</v>
          </cell>
          <cell r="E260" t="str">
            <v>2</v>
          </cell>
          <cell r="F260" t="str">
            <v>1</v>
          </cell>
          <cell r="G260">
            <v>1</v>
          </cell>
          <cell r="H260">
            <v>9683340</v>
          </cell>
          <cell r="I260">
            <v>72</v>
          </cell>
          <cell r="J260">
            <v>5528000</v>
          </cell>
          <cell r="K260">
            <v>11376000</v>
          </cell>
          <cell r="N260" t="str">
            <v>P0Y1209</v>
          </cell>
          <cell r="O260">
            <v>31</v>
          </cell>
          <cell r="Q260">
            <v>158000</v>
          </cell>
          <cell r="U260">
            <v>796</v>
          </cell>
          <cell r="AJ260">
            <v>215</v>
          </cell>
          <cell r="AK260">
            <v>16499100</v>
          </cell>
          <cell r="AN260">
            <v>125768000</v>
          </cell>
          <cell r="AO260">
            <v>33970000</v>
          </cell>
        </row>
        <row r="261">
          <cell r="A261" t="str">
            <v>Y</v>
          </cell>
          <cell r="B261" t="str">
            <v>I</v>
          </cell>
          <cell r="C261" t="str">
            <v>의류</v>
          </cell>
          <cell r="E261" t="str">
            <v>2</v>
          </cell>
          <cell r="F261" t="str">
            <v>1</v>
          </cell>
          <cell r="G261">
            <v>0</v>
          </cell>
          <cell r="H261">
            <v>33579976</v>
          </cell>
          <cell r="I261">
            <v>48</v>
          </cell>
          <cell r="J261">
            <v>3769900</v>
          </cell>
          <cell r="K261">
            <v>7584000</v>
          </cell>
          <cell r="N261" t="str">
            <v>I0Y1211</v>
          </cell>
          <cell r="O261">
            <v>73</v>
          </cell>
          <cell r="Q261">
            <v>158000</v>
          </cell>
          <cell r="U261">
            <v>1928</v>
          </cell>
          <cell r="AJ261">
            <v>524</v>
          </cell>
          <cell r="AK261">
            <v>40471900</v>
          </cell>
          <cell r="AN261">
            <v>304624000</v>
          </cell>
          <cell r="AO261">
            <v>82792000</v>
          </cell>
        </row>
        <row r="262">
          <cell r="A262" t="str">
            <v>Y</v>
          </cell>
          <cell r="B262" t="str">
            <v>I</v>
          </cell>
          <cell r="C262" t="str">
            <v>의류</v>
          </cell>
          <cell r="E262" t="str">
            <v>1</v>
          </cell>
          <cell r="F262" t="str">
            <v>7</v>
          </cell>
          <cell r="G262">
            <v>0</v>
          </cell>
          <cell r="H262">
            <v>19147436</v>
          </cell>
          <cell r="I262">
            <v>3</v>
          </cell>
          <cell r="J262">
            <v>207000</v>
          </cell>
          <cell r="K262">
            <v>534000</v>
          </cell>
          <cell r="N262" t="str">
            <v>ITY7102</v>
          </cell>
          <cell r="O262">
            <v>49</v>
          </cell>
          <cell r="Q262">
            <v>178000</v>
          </cell>
          <cell r="U262">
            <v>1078</v>
          </cell>
          <cell r="AJ262">
            <v>293</v>
          </cell>
          <cell r="AK262">
            <v>23498550</v>
          </cell>
          <cell r="AN262">
            <v>191884000</v>
          </cell>
          <cell r="AO262">
            <v>52154000</v>
          </cell>
        </row>
        <row r="263">
          <cell r="A263" t="str">
            <v>Y</v>
          </cell>
          <cell r="B263" t="str">
            <v>I</v>
          </cell>
          <cell r="C263" t="str">
            <v>의류</v>
          </cell>
          <cell r="E263" t="str">
            <v>1</v>
          </cell>
          <cell r="F263" t="str">
            <v>1</v>
          </cell>
          <cell r="G263">
            <v>1</v>
          </cell>
          <cell r="H263">
            <v>16374580</v>
          </cell>
          <cell r="I263">
            <v>1</v>
          </cell>
          <cell r="J263">
            <v>79000</v>
          </cell>
          <cell r="K263">
            <v>158000</v>
          </cell>
          <cell r="N263" t="str">
            <v>I0Y1106</v>
          </cell>
          <cell r="O263">
            <v>34</v>
          </cell>
          <cell r="Q263">
            <v>158000</v>
          </cell>
          <cell r="U263">
            <v>820</v>
          </cell>
          <cell r="AJ263">
            <v>223</v>
          </cell>
          <cell r="AK263">
            <v>17325300</v>
          </cell>
          <cell r="AN263">
            <v>129560000</v>
          </cell>
          <cell r="AO263">
            <v>35234000</v>
          </cell>
        </row>
        <row r="264">
          <cell r="A264" t="str">
            <v>Y</v>
          </cell>
          <cell r="B264" t="str">
            <v>I</v>
          </cell>
          <cell r="C264" t="str">
            <v>의류</v>
          </cell>
          <cell r="E264" t="str">
            <v>1</v>
          </cell>
          <cell r="F264" t="str">
            <v>1</v>
          </cell>
          <cell r="G264">
            <v>0</v>
          </cell>
          <cell r="H264">
            <v>8399014</v>
          </cell>
          <cell r="I264">
            <v>-1</v>
          </cell>
          <cell r="J264">
            <v>-79000</v>
          </cell>
          <cell r="K264">
            <v>-158000</v>
          </cell>
          <cell r="N264" t="str">
            <v>I0Y1104</v>
          </cell>
          <cell r="O264">
            <v>63</v>
          </cell>
          <cell r="Q264">
            <v>158000</v>
          </cell>
          <cell r="U264">
            <v>533</v>
          </cell>
          <cell r="AJ264">
            <v>145</v>
          </cell>
          <cell r="AK264">
            <v>11093800</v>
          </cell>
          <cell r="AN264">
            <v>84214000</v>
          </cell>
          <cell r="AO264">
            <v>22910000</v>
          </cell>
        </row>
        <row r="265">
          <cell r="A265" t="str">
            <v>Y</v>
          </cell>
          <cell r="B265" t="str">
            <v>P</v>
          </cell>
          <cell r="C265" t="str">
            <v>의류</v>
          </cell>
          <cell r="E265" t="str">
            <v>2</v>
          </cell>
          <cell r="F265" t="str">
            <v>Q</v>
          </cell>
          <cell r="G265">
            <v>0</v>
          </cell>
          <cell r="H265">
            <v>8237418</v>
          </cell>
          <cell r="I265">
            <v>18</v>
          </cell>
          <cell r="J265">
            <v>1782000</v>
          </cell>
          <cell r="K265">
            <v>3564000</v>
          </cell>
          <cell r="N265" t="str">
            <v>P0YQ202</v>
          </cell>
          <cell r="O265">
            <v>49</v>
          </cell>
          <cell r="Q265">
            <v>198000</v>
          </cell>
          <cell r="U265">
            <v>417</v>
          </cell>
          <cell r="AJ265">
            <v>114</v>
          </cell>
          <cell r="AK265">
            <v>10998900</v>
          </cell>
          <cell r="AN265">
            <v>82566000</v>
          </cell>
          <cell r="AO265">
            <v>22572000</v>
          </cell>
        </row>
        <row r="266">
          <cell r="A266" t="str">
            <v>Y</v>
          </cell>
          <cell r="B266" t="str">
            <v>I</v>
          </cell>
          <cell r="C266" t="str">
            <v>의류</v>
          </cell>
          <cell r="E266" t="str">
            <v>2</v>
          </cell>
          <cell r="F266" t="str">
            <v>1</v>
          </cell>
          <cell r="G266">
            <v>1</v>
          </cell>
          <cell r="H266">
            <v>8482014</v>
          </cell>
          <cell r="I266">
            <v>8</v>
          </cell>
          <cell r="J266">
            <v>552000</v>
          </cell>
          <cell r="K266">
            <v>1104000</v>
          </cell>
          <cell r="N266" t="str">
            <v>INY1201</v>
          </cell>
          <cell r="O266">
            <v>76</v>
          </cell>
          <cell r="Q266">
            <v>138000</v>
          </cell>
          <cell r="U266">
            <v>523</v>
          </cell>
          <cell r="AJ266">
            <v>143</v>
          </cell>
          <cell r="AK266">
            <v>9563400</v>
          </cell>
          <cell r="AN266">
            <v>72174000</v>
          </cell>
          <cell r="AO266">
            <v>19734000</v>
          </cell>
        </row>
        <row r="267">
          <cell r="A267" t="str">
            <v>Y</v>
          </cell>
          <cell r="B267" t="str">
            <v>P</v>
          </cell>
          <cell r="C267" t="str">
            <v>의류</v>
          </cell>
          <cell r="E267" t="str">
            <v>1</v>
          </cell>
          <cell r="F267" t="str">
            <v>1</v>
          </cell>
          <cell r="G267">
            <v>0</v>
          </cell>
          <cell r="H267">
            <v>9770868</v>
          </cell>
          <cell r="I267">
            <v>4</v>
          </cell>
          <cell r="J267">
            <v>316000</v>
          </cell>
          <cell r="K267">
            <v>632000</v>
          </cell>
          <cell r="N267" t="str">
            <v>P0Y1106</v>
          </cell>
          <cell r="O267">
            <v>63</v>
          </cell>
          <cell r="Q267">
            <v>158000</v>
          </cell>
          <cell r="U267">
            <v>477</v>
          </cell>
          <cell r="AJ267">
            <v>131</v>
          </cell>
          <cell r="AK267">
            <v>10093200</v>
          </cell>
          <cell r="AN267">
            <v>75366000</v>
          </cell>
          <cell r="AO267">
            <v>20698000</v>
          </cell>
        </row>
        <row r="268">
          <cell r="A268" t="str">
            <v>Y</v>
          </cell>
          <cell r="B268" t="str">
            <v>I</v>
          </cell>
          <cell r="C268" t="str">
            <v>의류</v>
          </cell>
          <cell r="E268" t="str">
            <v>2</v>
          </cell>
          <cell r="F268" t="str">
            <v>1</v>
          </cell>
          <cell r="G268">
            <v>1</v>
          </cell>
          <cell r="H268">
            <v>13261811</v>
          </cell>
          <cell r="I268">
            <v>16</v>
          </cell>
          <cell r="J268">
            <v>1264000</v>
          </cell>
          <cell r="K268">
            <v>2528000</v>
          </cell>
          <cell r="N268" t="str">
            <v>INY1209</v>
          </cell>
          <cell r="O268">
            <v>31</v>
          </cell>
          <cell r="Q268">
            <v>158000</v>
          </cell>
          <cell r="U268">
            <v>683</v>
          </cell>
          <cell r="AJ268">
            <v>188</v>
          </cell>
          <cell r="AK268">
            <v>14658800</v>
          </cell>
          <cell r="AN268">
            <v>107914000</v>
          </cell>
          <cell r="AO268">
            <v>29704000</v>
          </cell>
        </row>
        <row r="269">
          <cell r="A269" t="str">
            <v>Y</v>
          </cell>
          <cell r="B269" t="str">
            <v>P</v>
          </cell>
          <cell r="C269" t="str">
            <v>의류</v>
          </cell>
          <cell r="E269" t="str">
            <v>2</v>
          </cell>
          <cell r="F269" t="str">
            <v>7</v>
          </cell>
          <cell r="G269">
            <v>0</v>
          </cell>
          <cell r="H269">
            <v>11099640</v>
          </cell>
          <cell r="I269">
            <v>9</v>
          </cell>
          <cell r="J269">
            <v>621000</v>
          </cell>
          <cell r="K269">
            <v>1242000</v>
          </cell>
          <cell r="N269" t="str">
            <v>PTY7202</v>
          </cell>
          <cell r="O269">
            <v>54</v>
          </cell>
          <cell r="Q269">
            <v>138000</v>
          </cell>
          <cell r="U269">
            <v>680</v>
          </cell>
          <cell r="AJ269">
            <v>188</v>
          </cell>
          <cell r="AK269">
            <v>12393200</v>
          </cell>
          <cell r="AN269">
            <v>93840000</v>
          </cell>
          <cell r="AO269">
            <v>25944000</v>
          </cell>
        </row>
        <row r="270">
          <cell r="A270" t="str">
            <v>Y</v>
          </cell>
          <cell r="B270" t="str">
            <v>I</v>
          </cell>
          <cell r="C270" t="str">
            <v>의류</v>
          </cell>
          <cell r="E270" t="str">
            <v>2</v>
          </cell>
          <cell r="F270" t="str">
            <v>1</v>
          </cell>
          <cell r="G270">
            <v>0</v>
          </cell>
          <cell r="H270">
            <v>6768609</v>
          </cell>
          <cell r="I270">
            <v>31</v>
          </cell>
          <cell r="J270">
            <v>1209000</v>
          </cell>
          <cell r="K270">
            <v>2418000</v>
          </cell>
          <cell r="N270" t="str">
            <v>I0Y1201</v>
          </cell>
          <cell r="O270">
            <v>31</v>
          </cell>
          <cell r="Q270">
            <v>78000</v>
          </cell>
          <cell r="U270">
            <v>771</v>
          </cell>
          <cell r="AJ270">
            <v>215</v>
          </cell>
          <cell r="AK270">
            <v>8197300</v>
          </cell>
          <cell r="AN270">
            <v>60138000</v>
          </cell>
          <cell r="AO270">
            <v>16770000</v>
          </cell>
        </row>
        <row r="271">
          <cell r="A271" t="str">
            <v>Y</v>
          </cell>
          <cell r="B271" t="str">
            <v>I</v>
          </cell>
          <cell r="C271" t="str">
            <v>의류</v>
          </cell>
          <cell r="E271" t="str">
            <v>1</v>
          </cell>
          <cell r="F271" t="str">
            <v>7</v>
          </cell>
          <cell r="G271">
            <v>0</v>
          </cell>
          <cell r="H271">
            <v>15484578</v>
          </cell>
          <cell r="I271">
            <v>0</v>
          </cell>
          <cell r="J271">
            <v>0</v>
          </cell>
          <cell r="K271">
            <v>0</v>
          </cell>
          <cell r="N271" t="str">
            <v>I0Y7103</v>
          </cell>
          <cell r="O271">
            <v>43</v>
          </cell>
          <cell r="Q271">
            <v>198000</v>
          </cell>
          <cell r="U271">
            <v>681</v>
          </cell>
          <cell r="AJ271">
            <v>190</v>
          </cell>
          <cell r="AK271">
            <v>18550410</v>
          </cell>
          <cell r="AN271">
            <v>134838000</v>
          </cell>
          <cell r="AO271">
            <v>37620000</v>
          </cell>
        </row>
        <row r="272">
          <cell r="A272" t="str">
            <v>Y</v>
          </cell>
          <cell r="B272" t="str">
            <v>P</v>
          </cell>
          <cell r="C272" t="str">
            <v>의류</v>
          </cell>
          <cell r="E272" t="str">
            <v>2</v>
          </cell>
          <cell r="F272" t="str">
            <v>6</v>
          </cell>
          <cell r="G272">
            <v>0</v>
          </cell>
          <cell r="H272">
            <v>10495303</v>
          </cell>
          <cell r="I272">
            <v>5</v>
          </cell>
          <cell r="J272">
            <v>575000</v>
          </cell>
          <cell r="K272">
            <v>1190000</v>
          </cell>
          <cell r="N272" t="str">
            <v>PNY6201</v>
          </cell>
          <cell r="O272">
            <v>31</v>
          </cell>
          <cell r="Q272">
            <v>238000</v>
          </cell>
          <cell r="U272">
            <v>377</v>
          </cell>
          <cell r="AJ272">
            <v>106</v>
          </cell>
          <cell r="AK272">
            <v>12526400</v>
          </cell>
          <cell r="AN272">
            <v>89726000</v>
          </cell>
          <cell r="AO272">
            <v>25228000</v>
          </cell>
        </row>
        <row r="273">
          <cell r="A273" t="str">
            <v>Y</v>
          </cell>
          <cell r="B273" t="str">
            <v>P</v>
          </cell>
          <cell r="C273" t="str">
            <v>의류</v>
          </cell>
          <cell r="E273" t="str">
            <v>2</v>
          </cell>
          <cell r="F273" t="str">
            <v>1</v>
          </cell>
          <cell r="G273">
            <v>0</v>
          </cell>
          <cell r="H273">
            <v>10129934</v>
          </cell>
          <cell r="I273">
            <v>24</v>
          </cell>
          <cell r="J273">
            <v>1656000</v>
          </cell>
          <cell r="K273">
            <v>3312000</v>
          </cell>
          <cell r="N273" t="str">
            <v>P0Y1205</v>
          </cell>
          <cell r="O273">
            <v>32</v>
          </cell>
          <cell r="Q273">
            <v>138000</v>
          </cell>
          <cell r="U273">
            <v>746</v>
          </cell>
          <cell r="AJ273">
            <v>210</v>
          </cell>
          <cell r="AK273">
            <v>13938500</v>
          </cell>
          <cell r="AN273">
            <v>102948000</v>
          </cell>
          <cell r="AO273">
            <v>28980000</v>
          </cell>
        </row>
        <row r="274">
          <cell r="A274" t="str">
            <v>Y</v>
          </cell>
          <cell r="B274" t="str">
            <v>P</v>
          </cell>
          <cell r="C274" t="str">
            <v>의류</v>
          </cell>
          <cell r="E274" t="str">
            <v>2</v>
          </cell>
          <cell r="F274" t="str">
            <v>8</v>
          </cell>
          <cell r="G274">
            <v>1</v>
          </cell>
          <cell r="H274">
            <v>7716500</v>
          </cell>
          <cell r="I274">
            <v>21</v>
          </cell>
          <cell r="J274">
            <v>1849000</v>
          </cell>
          <cell r="K274">
            <v>3738000</v>
          </cell>
          <cell r="N274" t="str">
            <v>PTY8202</v>
          </cell>
          <cell r="O274">
            <v>76</v>
          </cell>
          <cell r="Q274">
            <v>178000</v>
          </cell>
          <cell r="U274">
            <v>506</v>
          </cell>
          <cell r="AJ274">
            <v>143</v>
          </cell>
          <cell r="AK274">
            <v>12314550</v>
          </cell>
          <cell r="AN274">
            <v>90068000</v>
          </cell>
          <cell r="AO274">
            <v>25454000</v>
          </cell>
        </row>
        <row r="275">
          <cell r="A275" t="str">
            <v>Y</v>
          </cell>
          <cell r="B275" t="str">
            <v>P</v>
          </cell>
          <cell r="C275" t="str">
            <v>의류</v>
          </cell>
          <cell r="E275" t="str">
            <v>1</v>
          </cell>
          <cell r="F275" t="str">
            <v>V</v>
          </cell>
          <cell r="G275">
            <v>0</v>
          </cell>
          <cell r="H275">
            <v>18084638</v>
          </cell>
          <cell r="I275">
            <v>-1</v>
          </cell>
          <cell r="J275">
            <v>-149000</v>
          </cell>
          <cell r="K275">
            <v>-298000</v>
          </cell>
          <cell r="N275" t="str">
            <v>P0YV101</v>
          </cell>
          <cell r="O275">
            <v>27</v>
          </cell>
          <cell r="Q275">
            <v>298000</v>
          </cell>
          <cell r="U275">
            <v>481</v>
          </cell>
          <cell r="AJ275">
            <v>136</v>
          </cell>
          <cell r="AK275">
            <v>19827950</v>
          </cell>
          <cell r="AN275">
            <v>143338000</v>
          </cell>
          <cell r="AO275">
            <v>40528000</v>
          </cell>
        </row>
        <row r="276">
          <cell r="A276" t="str">
            <v>Y</v>
          </cell>
          <cell r="B276" t="str">
            <v>I</v>
          </cell>
          <cell r="C276" t="str">
            <v>의류</v>
          </cell>
          <cell r="E276" t="str">
            <v>2</v>
          </cell>
          <cell r="F276" t="str">
            <v>1</v>
          </cell>
          <cell r="G276">
            <v>0</v>
          </cell>
          <cell r="H276">
            <v>5363969</v>
          </cell>
          <cell r="I276">
            <v>12</v>
          </cell>
          <cell r="J276">
            <v>468000</v>
          </cell>
          <cell r="K276">
            <v>936000</v>
          </cell>
          <cell r="N276" t="str">
            <v>I0Y1201</v>
          </cell>
          <cell r="O276">
            <v>39</v>
          </cell>
          <cell r="Q276">
            <v>78000</v>
          </cell>
          <cell r="U276">
            <v>611</v>
          </cell>
          <cell r="AJ276">
            <v>173</v>
          </cell>
          <cell r="AK276">
            <v>6619500</v>
          </cell>
          <cell r="AN276">
            <v>47658000</v>
          </cell>
          <cell r="AO276">
            <v>13494000</v>
          </cell>
        </row>
        <row r="277">
          <cell r="A277" t="str">
            <v>Y</v>
          </cell>
          <cell r="B277" t="str">
            <v>P</v>
          </cell>
          <cell r="C277" t="str">
            <v>의류</v>
          </cell>
          <cell r="E277" t="str">
            <v>2</v>
          </cell>
          <cell r="F277" t="str">
            <v>8</v>
          </cell>
          <cell r="G277">
            <v>1</v>
          </cell>
          <cell r="H277">
            <v>19138896</v>
          </cell>
          <cell r="I277">
            <v>15</v>
          </cell>
          <cell r="J277">
            <v>1315000</v>
          </cell>
          <cell r="K277">
            <v>2670000</v>
          </cell>
          <cell r="N277" t="str">
            <v>PTY8203</v>
          </cell>
          <cell r="O277">
            <v>49</v>
          </cell>
          <cell r="Q277">
            <v>178000</v>
          </cell>
          <cell r="U277">
            <v>1008</v>
          </cell>
          <cell r="AJ277">
            <v>286</v>
          </cell>
          <cell r="AK277">
            <v>25233000</v>
          </cell>
          <cell r="AN277">
            <v>179424000</v>
          </cell>
          <cell r="AO277">
            <v>50908000</v>
          </cell>
        </row>
        <row r="278">
          <cell r="A278" t="str">
            <v>Y</v>
          </cell>
          <cell r="B278" t="str">
            <v>P</v>
          </cell>
          <cell r="C278" t="str">
            <v>의류</v>
          </cell>
          <cell r="E278" t="str">
            <v>2</v>
          </cell>
          <cell r="F278" t="str">
            <v>7</v>
          </cell>
          <cell r="G278">
            <v>1</v>
          </cell>
          <cell r="H278">
            <v>21386540</v>
          </cell>
          <cell r="I278">
            <v>21</v>
          </cell>
          <cell r="J278">
            <v>2059000</v>
          </cell>
          <cell r="K278">
            <v>4158000</v>
          </cell>
          <cell r="N278" t="str">
            <v>PTY7204</v>
          </cell>
          <cell r="O278">
            <v>43</v>
          </cell>
          <cell r="Q278">
            <v>198000</v>
          </cell>
          <cell r="U278">
            <v>980</v>
          </cell>
          <cell r="AJ278">
            <v>280</v>
          </cell>
          <cell r="AK278">
            <v>27142600</v>
          </cell>
          <cell r="AN278">
            <v>194040000</v>
          </cell>
          <cell r="AO278">
            <v>55440000</v>
          </cell>
        </row>
        <row r="279">
          <cell r="A279" t="str">
            <v>Y</v>
          </cell>
          <cell r="B279" t="str">
            <v>I</v>
          </cell>
          <cell r="C279" t="str">
            <v>의류</v>
          </cell>
          <cell r="E279" t="str">
            <v>2</v>
          </cell>
          <cell r="F279" t="str">
            <v>1</v>
          </cell>
          <cell r="G279">
            <v>0</v>
          </cell>
          <cell r="H279">
            <v>9309132</v>
          </cell>
          <cell r="I279">
            <v>13</v>
          </cell>
          <cell r="J279">
            <v>857000</v>
          </cell>
          <cell r="K279">
            <v>1794000</v>
          </cell>
          <cell r="N279" t="str">
            <v>INY1201</v>
          </cell>
          <cell r="O279">
            <v>31</v>
          </cell>
          <cell r="Q279">
            <v>138000</v>
          </cell>
          <cell r="U279">
            <v>574</v>
          </cell>
          <cell r="AJ279">
            <v>164</v>
          </cell>
          <cell r="AK279">
            <v>10901000</v>
          </cell>
          <cell r="AN279">
            <v>79212000</v>
          </cell>
          <cell r="AO279">
            <v>22632000</v>
          </cell>
        </row>
        <row r="280">
          <cell r="A280" t="str">
            <v>Y</v>
          </cell>
          <cell r="B280" t="str">
            <v>I</v>
          </cell>
          <cell r="C280" t="str">
            <v>의류</v>
          </cell>
          <cell r="E280" t="str">
            <v>2</v>
          </cell>
          <cell r="F280" t="str">
            <v>6</v>
          </cell>
          <cell r="G280">
            <v>0</v>
          </cell>
          <cell r="H280">
            <v>25559550</v>
          </cell>
          <cell r="I280">
            <v>11</v>
          </cell>
          <cell r="J280">
            <v>1529000</v>
          </cell>
          <cell r="K280">
            <v>3058000</v>
          </cell>
          <cell r="N280" t="str">
            <v>I0Y6202</v>
          </cell>
          <cell r="O280">
            <v>49</v>
          </cell>
          <cell r="Q280">
            <v>278000</v>
          </cell>
          <cell r="U280">
            <v>810</v>
          </cell>
          <cell r="AJ280">
            <v>232</v>
          </cell>
          <cell r="AK280">
            <v>31616730</v>
          </cell>
          <cell r="AN280">
            <v>225180000</v>
          </cell>
          <cell r="AO280">
            <v>64496000</v>
          </cell>
        </row>
        <row r="281">
          <cell r="A281" t="str">
            <v>Y</v>
          </cell>
          <cell r="B281" t="str">
            <v>P</v>
          </cell>
          <cell r="C281" t="str">
            <v>의류</v>
          </cell>
          <cell r="E281" t="str">
            <v>2</v>
          </cell>
          <cell r="F281" t="str">
            <v>1</v>
          </cell>
          <cell r="G281">
            <v>0</v>
          </cell>
          <cell r="H281">
            <v>5814870</v>
          </cell>
          <cell r="I281">
            <v>39</v>
          </cell>
          <cell r="J281">
            <v>3045200</v>
          </cell>
          <cell r="K281">
            <v>6162000</v>
          </cell>
          <cell r="N281" t="str">
            <v>P0Y1209</v>
          </cell>
          <cell r="O281">
            <v>49</v>
          </cell>
          <cell r="Q281">
            <v>158000</v>
          </cell>
          <cell r="U281">
            <v>478</v>
          </cell>
          <cell r="AJ281">
            <v>139</v>
          </cell>
          <cell r="AK281">
            <v>10693645</v>
          </cell>
          <cell r="AN281">
            <v>75524000</v>
          </cell>
          <cell r="AO281">
            <v>21962000</v>
          </cell>
        </row>
        <row r="282">
          <cell r="A282" t="str">
            <v>Y</v>
          </cell>
          <cell r="B282" t="str">
            <v>P</v>
          </cell>
          <cell r="C282" t="str">
            <v>의류</v>
          </cell>
          <cell r="E282" t="str">
            <v>1</v>
          </cell>
          <cell r="F282" t="str">
            <v>6</v>
          </cell>
          <cell r="G282">
            <v>1</v>
          </cell>
          <cell r="H282">
            <v>12308436</v>
          </cell>
          <cell r="I282">
            <v>0</v>
          </cell>
          <cell r="J282">
            <v>0</v>
          </cell>
          <cell r="K282">
            <v>0</v>
          </cell>
          <cell r="N282" t="str">
            <v>P0Y6101</v>
          </cell>
          <cell r="O282">
            <v>63</v>
          </cell>
          <cell r="Q282">
            <v>278000</v>
          </cell>
          <cell r="U282">
            <v>378</v>
          </cell>
          <cell r="AJ282">
            <v>110</v>
          </cell>
          <cell r="AK282">
            <v>14820800</v>
          </cell>
          <cell r="AN282">
            <v>105084000</v>
          </cell>
          <cell r="AO282">
            <v>30580000</v>
          </cell>
        </row>
        <row r="283">
          <cell r="A283" t="str">
            <v>Y</v>
          </cell>
          <cell r="B283" t="str">
            <v>I</v>
          </cell>
          <cell r="C283" t="str">
            <v>의류</v>
          </cell>
          <cell r="E283" t="str">
            <v>1</v>
          </cell>
          <cell r="F283" t="str">
            <v>6</v>
          </cell>
          <cell r="G283">
            <v>1</v>
          </cell>
          <cell r="H283">
            <v>15644936</v>
          </cell>
          <cell r="I283">
            <v>1</v>
          </cell>
          <cell r="J283">
            <v>179000</v>
          </cell>
          <cell r="K283">
            <v>358000</v>
          </cell>
          <cell r="N283" t="str">
            <v>INY6101</v>
          </cell>
          <cell r="O283">
            <v>31</v>
          </cell>
          <cell r="Q283">
            <v>358000</v>
          </cell>
          <cell r="U283">
            <v>388</v>
          </cell>
          <cell r="AJ283">
            <v>113</v>
          </cell>
          <cell r="AK283">
            <v>20137000</v>
          </cell>
          <cell r="AN283">
            <v>138904000</v>
          </cell>
          <cell r="AO283">
            <v>40454000</v>
          </cell>
        </row>
        <row r="284">
          <cell r="A284" t="str">
            <v>Y</v>
          </cell>
          <cell r="B284" t="str">
            <v>I</v>
          </cell>
          <cell r="C284" t="str">
            <v>의류</v>
          </cell>
          <cell r="E284" t="str">
            <v>2</v>
          </cell>
          <cell r="F284" t="str">
            <v>9</v>
          </cell>
          <cell r="G284">
            <v>1</v>
          </cell>
          <cell r="H284">
            <v>11614247</v>
          </cell>
          <cell r="I284">
            <v>12</v>
          </cell>
          <cell r="J284">
            <v>2148000</v>
          </cell>
          <cell r="K284">
            <v>4296000</v>
          </cell>
          <cell r="N284" t="str">
            <v>ITY9202</v>
          </cell>
          <cell r="O284">
            <v>73</v>
          </cell>
          <cell r="Q284">
            <v>358000</v>
          </cell>
          <cell r="U284">
            <v>271</v>
          </cell>
          <cell r="AJ284">
            <v>79</v>
          </cell>
          <cell r="AK284">
            <v>13673500</v>
          </cell>
          <cell r="AN284">
            <v>97018000</v>
          </cell>
          <cell r="AO284">
            <v>28282000</v>
          </cell>
        </row>
        <row r="285">
          <cell r="A285" t="str">
            <v>Y</v>
          </cell>
          <cell r="B285" t="str">
            <v>P</v>
          </cell>
          <cell r="C285" t="str">
            <v>의류</v>
          </cell>
          <cell r="E285" t="str">
            <v>1</v>
          </cell>
          <cell r="F285" t="str">
            <v>T</v>
          </cell>
          <cell r="G285">
            <v>1</v>
          </cell>
          <cell r="H285">
            <v>22279698</v>
          </cell>
          <cell r="I285">
            <v>-1</v>
          </cell>
          <cell r="J285">
            <v>-199000</v>
          </cell>
          <cell r="K285">
            <v>-398000</v>
          </cell>
          <cell r="N285" t="str">
            <v>P0YT101</v>
          </cell>
          <cell r="O285">
            <v>26</v>
          </cell>
          <cell r="Q285">
            <v>398000</v>
          </cell>
          <cell r="U285">
            <v>486</v>
          </cell>
          <cell r="AJ285">
            <v>142</v>
          </cell>
          <cell r="AK285">
            <v>27942830</v>
          </cell>
          <cell r="AN285">
            <v>193428000</v>
          </cell>
          <cell r="AO285">
            <v>56516000</v>
          </cell>
        </row>
        <row r="286">
          <cell r="A286" t="str">
            <v>Y</v>
          </cell>
          <cell r="B286" t="str">
            <v>P</v>
          </cell>
          <cell r="C286" t="str">
            <v>의류</v>
          </cell>
          <cell r="E286" t="str">
            <v>2</v>
          </cell>
          <cell r="F286" t="str">
            <v>6</v>
          </cell>
          <cell r="G286">
            <v>0</v>
          </cell>
          <cell r="H286">
            <v>26263152</v>
          </cell>
          <cell r="I286">
            <v>14</v>
          </cell>
          <cell r="J286">
            <v>2086000</v>
          </cell>
          <cell r="K286">
            <v>4172000</v>
          </cell>
          <cell r="N286" t="str">
            <v>P0Y6202</v>
          </cell>
          <cell r="O286">
            <v>27</v>
          </cell>
          <cell r="Q286">
            <v>298000</v>
          </cell>
          <cell r="U286">
            <v>813</v>
          </cell>
          <cell r="AJ286">
            <v>238</v>
          </cell>
          <cell r="AK286">
            <v>35197300</v>
          </cell>
          <cell r="AN286">
            <v>242274000</v>
          </cell>
          <cell r="AO286">
            <v>70924000</v>
          </cell>
        </row>
        <row r="287">
          <cell r="A287" t="str">
            <v>Y</v>
          </cell>
          <cell r="B287" t="str">
            <v>I</v>
          </cell>
          <cell r="C287" t="str">
            <v>의류</v>
          </cell>
          <cell r="E287" t="str">
            <v>1</v>
          </cell>
          <cell r="F287" t="str">
            <v>6</v>
          </cell>
          <cell r="G287">
            <v>1</v>
          </cell>
          <cell r="H287">
            <v>20713500</v>
          </cell>
          <cell r="I287">
            <v>0</v>
          </cell>
          <cell r="J287">
            <v>0</v>
          </cell>
          <cell r="K287">
            <v>0</v>
          </cell>
          <cell r="N287" t="str">
            <v>INY6104</v>
          </cell>
          <cell r="O287">
            <v>38</v>
          </cell>
          <cell r="Q287">
            <v>358000</v>
          </cell>
          <cell r="U287">
            <v>500</v>
          </cell>
          <cell r="AJ287">
            <v>148</v>
          </cell>
          <cell r="AK287">
            <v>25932280</v>
          </cell>
          <cell r="AN287">
            <v>179000000</v>
          </cell>
          <cell r="AO287">
            <v>52984000</v>
          </cell>
        </row>
        <row r="288">
          <cell r="A288" t="str">
            <v>Y</v>
          </cell>
          <cell r="B288" t="str">
            <v>P</v>
          </cell>
          <cell r="C288" t="str">
            <v>의류</v>
          </cell>
          <cell r="E288" t="str">
            <v>2</v>
          </cell>
          <cell r="F288" t="str">
            <v>V</v>
          </cell>
          <cell r="G288">
            <v>0</v>
          </cell>
          <cell r="H288">
            <v>18630810</v>
          </cell>
          <cell r="I288">
            <v>22</v>
          </cell>
          <cell r="J288">
            <v>2618000</v>
          </cell>
          <cell r="K288">
            <v>5236000</v>
          </cell>
          <cell r="N288" t="str">
            <v>P0YV201</v>
          </cell>
          <cell r="O288">
            <v>49</v>
          </cell>
          <cell r="Q288">
            <v>238000</v>
          </cell>
          <cell r="U288">
            <v>697</v>
          </cell>
          <cell r="AJ288">
            <v>207</v>
          </cell>
          <cell r="AK288">
            <v>24477300</v>
          </cell>
          <cell r="AN288">
            <v>165886000</v>
          </cell>
          <cell r="AO288">
            <v>49266000</v>
          </cell>
        </row>
        <row r="289">
          <cell r="A289" t="str">
            <v>Y</v>
          </cell>
          <cell r="B289" t="str">
            <v>P</v>
          </cell>
          <cell r="C289" t="str">
            <v>의류</v>
          </cell>
          <cell r="E289" t="str">
            <v>2</v>
          </cell>
          <cell r="F289" t="str">
            <v>7</v>
          </cell>
          <cell r="G289">
            <v>0</v>
          </cell>
          <cell r="H289">
            <v>15829762</v>
          </cell>
          <cell r="I289">
            <v>25</v>
          </cell>
          <cell r="J289">
            <v>2225000</v>
          </cell>
          <cell r="K289">
            <v>4450000</v>
          </cell>
          <cell r="N289" t="str">
            <v>P0Y7205</v>
          </cell>
          <cell r="O289">
            <v>49</v>
          </cell>
          <cell r="Q289">
            <v>178000</v>
          </cell>
          <cell r="U289">
            <v>1118</v>
          </cell>
          <cell r="AJ289">
            <v>336</v>
          </cell>
          <cell r="AK289">
            <v>28639200</v>
          </cell>
          <cell r="AN289">
            <v>199004000</v>
          </cell>
          <cell r="AO289">
            <v>59808000</v>
          </cell>
        </row>
        <row r="290">
          <cell r="A290" t="str">
            <v>Y</v>
          </cell>
          <cell r="B290" t="str">
            <v>I</v>
          </cell>
          <cell r="C290" t="str">
            <v>의류</v>
          </cell>
          <cell r="E290" t="str">
            <v>1</v>
          </cell>
          <cell r="F290" t="str">
            <v>1</v>
          </cell>
          <cell r="G290">
            <v>0</v>
          </cell>
          <cell r="H290">
            <v>11181960</v>
          </cell>
          <cell r="I290">
            <v>4</v>
          </cell>
          <cell r="J290">
            <v>316000</v>
          </cell>
          <cell r="K290">
            <v>632000</v>
          </cell>
          <cell r="N290" t="str">
            <v>I0Y1105</v>
          </cell>
          <cell r="O290">
            <v>49</v>
          </cell>
          <cell r="Q290">
            <v>158000</v>
          </cell>
          <cell r="U290">
            <v>698</v>
          </cell>
          <cell r="AJ290">
            <v>210</v>
          </cell>
          <cell r="AK290">
            <v>16180100</v>
          </cell>
          <cell r="AN290">
            <v>110284000</v>
          </cell>
          <cell r="AO290">
            <v>33180000</v>
          </cell>
        </row>
        <row r="291">
          <cell r="A291" t="str">
            <v>Y</v>
          </cell>
          <cell r="B291" t="str">
            <v>P</v>
          </cell>
          <cell r="C291" t="str">
            <v>의류</v>
          </cell>
          <cell r="E291" t="str">
            <v>1</v>
          </cell>
          <cell r="F291" t="str">
            <v>1</v>
          </cell>
          <cell r="G291">
            <v>0</v>
          </cell>
          <cell r="H291">
            <v>4162862</v>
          </cell>
          <cell r="I291">
            <v>6</v>
          </cell>
          <cell r="J291">
            <v>294000</v>
          </cell>
          <cell r="K291">
            <v>588000</v>
          </cell>
          <cell r="N291" t="str">
            <v>PNY1101</v>
          </cell>
          <cell r="O291">
            <v>31</v>
          </cell>
          <cell r="Q291">
            <v>98000</v>
          </cell>
          <cell r="U291">
            <v>418</v>
          </cell>
          <cell r="AJ291">
            <v>126</v>
          </cell>
          <cell r="AK291">
            <v>6106250</v>
          </cell>
          <cell r="AN291">
            <v>40964000</v>
          </cell>
          <cell r="AO291">
            <v>12348000</v>
          </cell>
        </row>
        <row r="292">
          <cell r="A292" t="str">
            <v>Y</v>
          </cell>
          <cell r="B292" t="str">
            <v>I</v>
          </cell>
          <cell r="C292" t="str">
            <v>의류</v>
          </cell>
          <cell r="E292" t="str">
            <v>2</v>
          </cell>
          <cell r="F292" t="str">
            <v>7</v>
          </cell>
          <cell r="G292">
            <v>0</v>
          </cell>
          <cell r="H292">
            <v>9395070</v>
          </cell>
          <cell r="I292">
            <v>24</v>
          </cell>
          <cell r="J292">
            <v>1876000</v>
          </cell>
          <cell r="K292">
            <v>3792000</v>
          </cell>
          <cell r="N292" t="str">
            <v>I0Y7202</v>
          </cell>
          <cell r="O292">
            <v>43</v>
          </cell>
          <cell r="Q292">
            <v>158000</v>
          </cell>
          <cell r="U292">
            <v>645</v>
          </cell>
          <cell r="AJ292">
            <v>195</v>
          </cell>
          <cell r="AK292">
            <v>14926800</v>
          </cell>
          <cell r="AN292">
            <v>101910000</v>
          </cell>
          <cell r="AO292">
            <v>30810000</v>
          </cell>
        </row>
        <row r="293">
          <cell r="A293" t="str">
            <v>Y</v>
          </cell>
          <cell r="B293" t="str">
            <v>I</v>
          </cell>
          <cell r="C293" t="str">
            <v>의류</v>
          </cell>
          <cell r="E293" t="str">
            <v>2</v>
          </cell>
          <cell r="F293" t="str">
            <v>1</v>
          </cell>
          <cell r="G293">
            <v>0</v>
          </cell>
          <cell r="H293">
            <v>4028570</v>
          </cell>
          <cell r="I293">
            <v>19</v>
          </cell>
          <cell r="J293">
            <v>741000</v>
          </cell>
          <cell r="K293">
            <v>1482000</v>
          </cell>
          <cell r="N293" t="str">
            <v>I0Y1216</v>
          </cell>
          <cell r="O293">
            <v>32</v>
          </cell>
          <cell r="Q293">
            <v>78000</v>
          </cell>
          <cell r="U293">
            <v>494</v>
          </cell>
          <cell r="AJ293">
            <v>150</v>
          </cell>
          <cell r="AK293">
            <v>5749300</v>
          </cell>
          <cell r="AN293">
            <v>38532000</v>
          </cell>
          <cell r="AO293">
            <v>11700000</v>
          </cell>
        </row>
        <row r="294">
          <cell r="A294" t="str">
            <v>Y</v>
          </cell>
          <cell r="B294" t="str">
            <v>P</v>
          </cell>
          <cell r="C294" t="str">
            <v>의류</v>
          </cell>
          <cell r="E294" t="str">
            <v>2</v>
          </cell>
          <cell r="F294" t="str">
            <v>1</v>
          </cell>
          <cell r="G294">
            <v>0</v>
          </cell>
          <cell r="H294">
            <v>10860324</v>
          </cell>
          <cell r="I294">
            <v>26</v>
          </cell>
          <cell r="J294">
            <v>2014000</v>
          </cell>
          <cell r="K294">
            <v>4108000</v>
          </cell>
          <cell r="N294" t="str">
            <v>P0Y1215</v>
          </cell>
          <cell r="O294">
            <v>49</v>
          </cell>
          <cell r="Q294">
            <v>158000</v>
          </cell>
          <cell r="U294">
            <v>654</v>
          </cell>
          <cell r="AJ294">
            <v>201</v>
          </cell>
          <cell r="AK294">
            <v>15549400</v>
          </cell>
          <cell r="AN294">
            <v>103332000</v>
          </cell>
          <cell r="AO294">
            <v>31758000</v>
          </cell>
        </row>
        <row r="295">
          <cell r="A295" t="str">
            <v>Y</v>
          </cell>
          <cell r="B295" t="str">
            <v>P</v>
          </cell>
          <cell r="C295" t="str">
            <v>의류</v>
          </cell>
          <cell r="E295" t="str">
            <v>2</v>
          </cell>
          <cell r="F295" t="str">
            <v>1</v>
          </cell>
          <cell r="G295">
            <v>1</v>
          </cell>
          <cell r="H295">
            <v>9434226</v>
          </cell>
          <cell r="I295">
            <v>20</v>
          </cell>
          <cell r="J295">
            <v>1580000</v>
          </cell>
          <cell r="K295">
            <v>3160000</v>
          </cell>
          <cell r="N295" t="str">
            <v>P0Y1214</v>
          </cell>
          <cell r="O295">
            <v>49</v>
          </cell>
          <cell r="Q295">
            <v>158000</v>
          </cell>
          <cell r="U295">
            <v>579</v>
          </cell>
          <cell r="AJ295">
            <v>179</v>
          </cell>
          <cell r="AK295">
            <v>13647100</v>
          </cell>
          <cell r="AN295">
            <v>91482000</v>
          </cell>
          <cell r="AO295">
            <v>28282000</v>
          </cell>
        </row>
        <row r="296">
          <cell r="A296" t="str">
            <v>Y</v>
          </cell>
          <cell r="B296" t="str">
            <v>I</v>
          </cell>
          <cell r="C296" t="str">
            <v>의류</v>
          </cell>
          <cell r="E296" t="str">
            <v>2</v>
          </cell>
          <cell r="F296" t="str">
            <v>7</v>
          </cell>
          <cell r="G296">
            <v>0</v>
          </cell>
          <cell r="H296">
            <v>13662908</v>
          </cell>
          <cell r="I296">
            <v>26</v>
          </cell>
          <cell r="J296">
            <v>2034000</v>
          </cell>
          <cell r="K296">
            <v>4108000</v>
          </cell>
          <cell r="N296" t="str">
            <v>I0Y7202</v>
          </cell>
          <cell r="O296">
            <v>53</v>
          </cell>
          <cell r="Q296">
            <v>158000</v>
          </cell>
          <cell r="U296">
            <v>938</v>
          </cell>
          <cell r="AJ296">
            <v>291</v>
          </cell>
          <cell r="AK296">
            <v>22174300</v>
          </cell>
          <cell r="AN296">
            <v>148204000</v>
          </cell>
          <cell r="AO296">
            <v>45978000</v>
          </cell>
        </row>
        <row r="297">
          <cell r="A297" t="str">
            <v>Y</v>
          </cell>
          <cell r="B297" t="str">
            <v>I</v>
          </cell>
          <cell r="C297" t="str">
            <v>의류</v>
          </cell>
          <cell r="E297" t="str">
            <v>1</v>
          </cell>
          <cell r="F297" t="str">
            <v>1</v>
          </cell>
          <cell r="G297">
            <v>0</v>
          </cell>
          <cell r="H297">
            <v>7697920</v>
          </cell>
          <cell r="I297">
            <v>1</v>
          </cell>
          <cell r="J297">
            <v>69000</v>
          </cell>
          <cell r="K297">
            <v>138000</v>
          </cell>
          <cell r="N297" t="str">
            <v>INY1104</v>
          </cell>
          <cell r="O297">
            <v>49</v>
          </cell>
          <cell r="Q297">
            <v>138000</v>
          </cell>
          <cell r="U297">
            <v>496</v>
          </cell>
          <cell r="AJ297">
            <v>154</v>
          </cell>
          <cell r="AK297">
            <v>10441200</v>
          </cell>
          <cell r="AN297">
            <v>68448000</v>
          </cell>
          <cell r="AO297">
            <v>21252000</v>
          </cell>
        </row>
        <row r="298">
          <cell r="A298" t="str">
            <v>Y</v>
          </cell>
          <cell r="B298" t="str">
            <v>I</v>
          </cell>
          <cell r="C298" t="str">
            <v>의류</v>
          </cell>
          <cell r="E298" t="str">
            <v>2</v>
          </cell>
          <cell r="F298" t="str">
            <v>7</v>
          </cell>
          <cell r="G298">
            <v>1</v>
          </cell>
          <cell r="H298">
            <v>38969904</v>
          </cell>
          <cell r="I298">
            <v>46</v>
          </cell>
          <cell r="J298">
            <v>4524000</v>
          </cell>
          <cell r="K298">
            <v>9108000</v>
          </cell>
          <cell r="N298" t="str">
            <v>ITY7205</v>
          </cell>
          <cell r="O298">
            <v>49</v>
          </cell>
          <cell r="Q298">
            <v>198000</v>
          </cell>
          <cell r="U298">
            <v>1497</v>
          </cell>
          <cell r="AJ298">
            <v>465</v>
          </cell>
          <cell r="AK298">
            <v>45124645</v>
          </cell>
          <cell r="AN298">
            <v>296406000</v>
          </cell>
          <cell r="AO298">
            <v>92070000</v>
          </cell>
        </row>
        <row r="299">
          <cell r="A299" t="str">
            <v>Y</v>
          </cell>
          <cell r="B299" t="str">
            <v>P</v>
          </cell>
          <cell r="C299" t="str">
            <v>의류</v>
          </cell>
          <cell r="E299" t="str">
            <v>2</v>
          </cell>
          <cell r="F299" t="str">
            <v>1</v>
          </cell>
          <cell r="G299">
            <v>1</v>
          </cell>
          <cell r="H299">
            <v>5767346</v>
          </cell>
          <cell r="I299">
            <v>18</v>
          </cell>
          <cell r="J299">
            <v>702000</v>
          </cell>
          <cell r="K299">
            <v>1404000</v>
          </cell>
          <cell r="N299" t="str">
            <v>P0Y1219</v>
          </cell>
          <cell r="O299">
            <v>31</v>
          </cell>
          <cell r="Q299">
            <v>78000</v>
          </cell>
          <cell r="U299">
            <v>754</v>
          </cell>
          <cell r="AJ299">
            <v>236</v>
          </cell>
          <cell r="AK299">
            <v>9060900</v>
          </cell>
          <cell r="AN299">
            <v>58812000</v>
          </cell>
          <cell r="AO299">
            <v>18408000</v>
          </cell>
        </row>
        <row r="300">
          <cell r="A300" t="str">
            <v>Y</v>
          </cell>
          <cell r="B300" t="str">
            <v>P</v>
          </cell>
          <cell r="C300" t="str">
            <v>의류</v>
          </cell>
          <cell r="E300" t="str">
            <v>2</v>
          </cell>
          <cell r="F300" t="str">
            <v>8</v>
          </cell>
          <cell r="G300">
            <v>0</v>
          </cell>
          <cell r="H300">
            <v>19879389</v>
          </cell>
          <cell r="I300">
            <v>24</v>
          </cell>
          <cell r="J300">
            <v>2106000</v>
          </cell>
          <cell r="K300">
            <v>4272000</v>
          </cell>
          <cell r="N300" t="str">
            <v>PTY8203</v>
          </cell>
          <cell r="O300">
            <v>31</v>
          </cell>
          <cell r="Q300">
            <v>178000</v>
          </cell>
          <cell r="U300">
            <v>1047</v>
          </cell>
          <cell r="AJ300">
            <v>331</v>
          </cell>
          <cell r="AK300">
            <v>29258100</v>
          </cell>
          <cell r="AN300">
            <v>186366000</v>
          </cell>
          <cell r="AO300">
            <v>58918000</v>
          </cell>
        </row>
        <row r="301">
          <cell r="A301" t="str">
            <v>Y</v>
          </cell>
          <cell r="B301" t="str">
            <v>P</v>
          </cell>
          <cell r="C301" t="str">
            <v>의류</v>
          </cell>
          <cell r="E301" t="str">
            <v>2</v>
          </cell>
          <cell r="F301" t="str">
            <v>1</v>
          </cell>
          <cell r="G301">
            <v>1</v>
          </cell>
          <cell r="H301">
            <v>19958316</v>
          </cell>
          <cell r="I301">
            <v>29</v>
          </cell>
          <cell r="J301">
            <v>1941000</v>
          </cell>
          <cell r="K301">
            <v>4002000</v>
          </cell>
          <cell r="N301" t="str">
            <v>P0Y1217</v>
          </cell>
          <cell r="O301">
            <v>49</v>
          </cell>
          <cell r="Q301">
            <v>138000</v>
          </cell>
          <cell r="U301">
            <v>1484</v>
          </cell>
          <cell r="AJ301">
            <v>470</v>
          </cell>
          <cell r="AK301">
            <v>30795200</v>
          </cell>
          <cell r="AN301">
            <v>204792000</v>
          </cell>
          <cell r="AO301">
            <v>64860000</v>
          </cell>
        </row>
        <row r="302">
          <cell r="A302" t="str">
            <v>Y</v>
          </cell>
          <cell r="B302" t="str">
            <v>I</v>
          </cell>
          <cell r="C302" t="str">
            <v>의류</v>
          </cell>
          <cell r="E302" t="str">
            <v>2</v>
          </cell>
          <cell r="F302" t="str">
            <v>7</v>
          </cell>
          <cell r="G302">
            <v>0</v>
          </cell>
          <cell r="H302">
            <v>15895166</v>
          </cell>
          <cell r="I302">
            <v>24</v>
          </cell>
          <cell r="J302">
            <v>2566000</v>
          </cell>
          <cell r="K302">
            <v>5232000</v>
          </cell>
          <cell r="N302" t="str">
            <v>INY7203</v>
          </cell>
          <cell r="O302">
            <v>34</v>
          </cell>
          <cell r="Q302">
            <v>218000</v>
          </cell>
          <cell r="U302">
            <v>721</v>
          </cell>
          <cell r="AJ302">
            <v>231</v>
          </cell>
          <cell r="AK302">
            <v>24582950</v>
          </cell>
          <cell r="AN302">
            <v>157178000</v>
          </cell>
          <cell r="AO302">
            <v>50358000</v>
          </cell>
        </row>
        <row r="303">
          <cell r="A303" t="str">
            <v>Y</v>
          </cell>
          <cell r="B303" t="str">
            <v>I</v>
          </cell>
          <cell r="C303" t="str">
            <v>의류</v>
          </cell>
          <cell r="E303" t="str">
            <v>1</v>
          </cell>
          <cell r="F303" t="str">
            <v>T</v>
          </cell>
          <cell r="G303">
            <v>0</v>
          </cell>
          <cell r="H303">
            <v>23575500</v>
          </cell>
          <cell r="I303">
            <v>-1</v>
          </cell>
          <cell r="J303">
            <v>-179000</v>
          </cell>
          <cell r="K303">
            <v>-358000</v>
          </cell>
          <cell r="N303" t="str">
            <v>ITYT101</v>
          </cell>
          <cell r="O303">
            <v>22</v>
          </cell>
          <cell r="Q303">
            <v>358000</v>
          </cell>
          <cell r="U303">
            <v>585</v>
          </cell>
          <cell r="AJ303">
            <v>188</v>
          </cell>
          <cell r="AK303">
            <v>32633950</v>
          </cell>
          <cell r="AN303">
            <v>209430000</v>
          </cell>
          <cell r="AO303">
            <v>67304000</v>
          </cell>
        </row>
        <row r="304">
          <cell r="A304" t="str">
            <v>Y</v>
          </cell>
          <cell r="B304" t="str">
            <v>P</v>
          </cell>
          <cell r="C304" t="str">
            <v>의류</v>
          </cell>
          <cell r="E304" t="str">
            <v>1</v>
          </cell>
          <cell r="F304" t="str">
            <v>T</v>
          </cell>
          <cell r="G304">
            <v>1</v>
          </cell>
          <cell r="H304">
            <v>22692700</v>
          </cell>
          <cell r="I304">
            <v>-1</v>
          </cell>
          <cell r="J304">
            <v>-159000</v>
          </cell>
          <cell r="K304">
            <v>-318000</v>
          </cell>
          <cell r="N304" t="str">
            <v>PTYT101</v>
          </cell>
          <cell r="O304">
            <v>45</v>
          </cell>
          <cell r="Q304">
            <v>318000</v>
          </cell>
          <cell r="U304">
            <v>596</v>
          </cell>
          <cell r="AJ304">
            <v>192</v>
          </cell>
          <cell r="AK304">
            <v>29090445</v>
          </cell>
          <cell r="AN304">
            <v>189528000</v>
          </cell>
          <cell r="AO304">
            <v>61056000</v>
          </cell>
        </row>
        <row r="305">
          <cell r="A305" t="str">
            <v>Y</v>
          </cell>
          <cell r="B305" t="str">
            <v>P</v>
          </cell>
          <cell r="C305" t="str">
            <v>의류</v>
          </cell>
          <cell r="E305" t="str">
            <v>2</v>
          </cell>
          <cell r="F305" t="str">
            <v>V</v>
          </cell>
          <cell r="G305">
            <v>1</v>
          </cell>
          <cell r="H305">
            <v>12448856</v>
          </cell>
          <cell r="I305">
            <v>9</v>
          </cell>
          <cell r="J305">
            <v>1041000</v>
          </cell>
          <cell r="K305">
            <v>2142000</v>
          </cell>
          <cell r="N305" t="str">
            <v>P0YV202</v>
          </cell>
          <cell r="O305">
            <v>66</v>
          </cell>
          <cell r="Q305">
            <v>238000</v>
          </cell>
          <cell r="U305">
            <v>497</v>
          </cell>
          <cell r="AJ305">
            <v>161</v>
          </cell>
          <cell r="AK305">
            <v>18945700</v>
          </cell>
          <cell r="AN305">
            <v>118286000</v>
          </cell>
          <cell r="AO305">
            <v>38318000</v>
          </cell>
        </row>
        <row r="306">
          <cell r="A306" t="str">
            <v>Y</v>
          </cell>
          <cell r="B306" t="str">
            <v>P</v>
          </cell>
          <cell r="C306" t="str">
            <v>의류</v>
          </cell>
          <cell r="E306" t="str">
            <v>1</v>
          </cell>
          <cell r="F306" t="str">
            <v>7</v>
          </cell>
          <cell r="G306">
            <v>0</v>
          </cell>
          <cell r="H306">
            <v>10779831</v>
          </cell>
          <cell r="I306">
            <v>9</v>
          </cell>
          <cell r="J306">
            <v>801000</v>
          </cell>
          <cell r="K306">
            <v>1602000</v>
          </cell>
          <cell r="N306" t="str">
            <v>PNY7101</v>
          </cell>
          <cell r="O306">
            <v>39</v>
          </cell>
          <cell r="Q306">
            <v>178000</v>
          </cell>
          <cell r="U306">
            <v>531</v>
          </cell>
          <cell r="AJ306">
            <v>172</v>
          </cell>
          <cell r="AK306">
            <v>15131300</v>
          </cell>
          <cell r="AN306">
            <v>94518000</v>
          </cell>
          <cell r="AO306">
            <v>30616000</v>
          </cell>
        </row>
        <row r="307">
          <cell r="A307" t="str">
            <v>Y</v>
          </cell>
          <cell r="B307" t="str">
            <v>I</v>
          </cell>
          <cell r="C307" t="str">
            <v>의류</v>
          </cell>
          <cell r="E307" t="str">
            <v>1</v>
          </cell>
          <cell r="F307" t="str">
            <v>6</v>
          </cell>
          <cell r="G307">
            <v>1</v>
          </cell>
          <cell r="H307">
            <v>13390400</v>
          </cell>
          <cell r="I307">
            <v>3</v>
          </cell>
          <cell r="J307">
            <v>447000</v>
          </cell>
          <cell r="K307">
            <v>894000</v>
          </cell>
          <cell r="N307" t="str">
            <v>I0Y6103</v>
          </cell>
          <cell r="O307">
            <v>49</v>
          </cell>
          <cell r="Q307">
            <v>298000</v>
          </cell>
          <cell r="U307">
            <v>400</v>
          </cell>
          <cell r="AJ307">
            <v>130</v>
          </cell>
          <cell r="AK307">
            <v>19038390</v>
          </cell>
          <cell r="AN307">
            <v>119200000</v>
          </cell>
          <cell r="AO307">
            <v>38740000</v>
          </cell>
        </row>
        <row r="308">
          <cell r="A308" t="str">
            <v>Y</v>
          </cell>
          <cell r="B308" t="str">
            <v>I</v>
          </cell>
          <cell r="C308" t="str">
            <v>의류</v>
          </cell>
          <cell r="E308" t="str">
            <v>1</v>
          </cell>
          <cell r="F308" t="str">
            <v>6</v>
          </cell>
          <cell r="G308">
            <v>1</v>
          </cell>
          <cell r="H308">
            <v>20217400</v>
          </cell>
          <cell r="I308">
            <v>0</v>
          </cell>
          <cell r="J308">
            <v>0</v>
          </cell>
          <cell r="K308">
            <v>0</v>
          </cell>
          <cell r="N308" t="str">
            <v>I0Y6101</v>
          </cell>
          <cell r="O308">
            <v>22</v>
          </cell>
          <cell r="Q308">
            <v>278000</v>
          </cell>
          <cell r="U308">
            <v>700</v>
          </cell>
          <cell r="AJ308">
            <v>228</v>
          </cell>
          <cell r="AK308">
            <v>30344515</v>
          </cell>
          <cell r="AN308">
            <v>194600000</v>
          </cell>
          <cell r="AO308">
            <v>63384000</v>
          </cell>
        </row>
        <row r="309">
          <cell r="A309" t="str">
            <v>Y</v>
          </cell>
          <cell r="B309" t="str">
            <v>I</v>
          </cell>
          <cell r="C309" t="str">
            <v>의류</v>
          </cell>
          <cell r="E309" t="str">
            <v>2</v>
          </cell>
          <cell r="F309" t="str">
            <v>9</v>
          </cell>
          <cell r="G309">
            <v>1</v>
          </cell>
          <cell r="H309">
            <v>20775552</v>
          </cell>
          <cell r="I309">
            <v>6</v>
          </cell>
          <cell r="J309">
            <v>1171800</v>
          </cell>
          <cell r="K309">
            <v>2268000</v>
          </cell>
          <cell r="N309" t="str">
            <v>ITY9206</v>
          </cell>
          <cell r="O309">
            <v>49</v>
          </cell>
          <cell r="Q309">
            <v>378000</v>
          </cell>
          <cell r="U309">
            <v>448</v>
          </cell>
          <cell r="AJ309">
            <v>147</v>
          </cell>
          <cell r="AK309">
            <v>27425650</v>
          </cell>
          <cell r="AN309">
            <v>169344000</v>
          </cell>
          <cell r="AO309">
            <v>55566000</v>
          </cell>
        </row>
        <row r="310">
          <cell r="A310" t="str">
            <v>Y</v>
          </cell>
          <cell r="B310" t="str">
            <v>I</v>
          </cell>
          <cell r="C310" t="str">
            <v>의류</v>
          </cell>
          <cell r="E310" t="str">
            <v>2</v>
          </cell>
          <cell r="F310" t="str">
            <v>8</v>
          </cell>
          <cell r="G310">
            <v>1</v>
          </cell>
          <cell r="H310">
            <v>4718690</v>
          </cell>
          <cell r="I310">
            <v>20</v>
          </cell>
          <cell r="J310">
            <v>1380000</v>
          </cell>
          <cell r="K310">
            <v>2760000</v>
          </cell>
          <cell r="N310" t="str">
            <v>ITY8208</v>
          </cell>
          <cell r="O310">
            <v>49</v>
          </cell>
          <cell r="Q310">
            <v>138000</v>
          </cell>
          <cell r="U310">
            <v>410</v>
          </cell>
          <cell r="AJ310">
            <v>135</v>
          </cell>
          <cell r="AK310">
            <v>9189800</v>
          </cell>
          <cell r="AN310">
            <v>56580000</v>
          </cell>
          <cell r="AO310">
            <v>18630000</v>
          </cell>
        </row>
        <row r="311">
          <cell r="A311" t="str">
            <v>Y</v>
          </cell>
          <cell r="B311" t="str">
            <v>P</v>
          </cell>
          <cell r="C311" t="str">
            <v>의류</v>
          </cell>
          <cell r="E311" t="str">
            <v>2</v>
          </cell>
          <cell r="F311" t="str">
            <v>1</v>
          </cell>
          <cell r="G311">
            <v>0</v>
          </cell>
          <cell r="H311">
            <v>5755911</v>
          </cell>
          <cell r="I311">
            <v>27</v>
          </cell>
          <cell r="J311">
            <v>1029600</v>
          </cell>
          <cell r="K311">
            <v>2106000</v>
          </cell>
          <cell r="N311" t="str">
            <v>P0Y1201</v>
          </cell>
          <cell r="O311">
            <v>22</v>
          </cell>
          <cell r="Q311">
            <v>78000</v>
          </cell>
          <cell r="U311">
            <v>701</v>
          </cell>
          <cell r="AJ311">
            <v>231</v>
          </cell>
          <cell r="AK311">
            <v>8827650</v>
          </cell>
          <cell r="AN311">
            <v>54678000</v>
          </cell>
          <cell r="AO311">
            <v>18018000</v>
          </cell>
        </row>
        <row r="312">
          <cell r="A312" t="str">
            <v>Y</v>
          </cell>
          <cell r="B312" t="str">
            <v>I</v>
          </cell>
          <cell r="C312" t="str">
            <v>의류</v>
          </cell>
          <cell r="E312" t="str">
            <v>2</v>
          </cell>
          <cell r="F312" t="str">
            <v>6</v>
          </cell>
          <cell r="G312">
            <v>1</v>
          </cell>
          <cell r="H312">
            <v>28643184</v>
          </cell>
          <cell r="I312">
            <v>23</v>
          </cell>
          <cell r="J312">
            <v>3197000</v>
          </cell>
          <cell r="K312">
            <v>6394000</v>
          </cell>
          <cell r="N312" t="str">
            <v>ITY6201</v>
          </cell>
          <cell r="O312">
            <v>53</v>
          </cell>
          <cell r="Q312">
            <v>278000</v>
          </cell>
          <cell r="U312">
            <v>912</v>
          </cell>
          <cell r="AJ312">
            <v>303</v>
          </cell>
          <cell r="AK312">
            <v>41311000</v>
          </cell>
          <cell r="AN312">
            <v>253536000</v>
          </cell>
          <cell r="AO312">
            <v>84234000</v>
          </cell>
        </row>
        <row r="313">
          <cell r="A313" t="str">
            <v>Y</v>
          </cell>
          <cell r="B313" t="str">
            <v>I</v>
          </cell>
          <cell r="C313" t="str">
            <v>의류</v>
          </cell>
          <cell r="E313" t="str">
            <v>2</v>
          </cell>
          <cell r="F313" t="str">
            <v>1</v>
          </cell>
          <cell r="G313">
            <v>1</v>
          </cell>
          <cell r="H313">
            <v>5105646</v>
          </cell>
          <cell r="I313">
            <v>8</v>
          </cell>
          <cell r="J313">
            <v>552000</v>
          </cell>
          <cell r="K313">
            <v>1104000</v>
          </cell>
          <cell r="N313" t="str">
            <v>INY1207</v>
          </cell>
          <cell r="O313">
            <v>41</v>
          </cell>
          <cell r="Q313">
            <v>138000</v>
          </cell>
          <cell r="U313">
            <v>351</v>
          </cell>
          <cell r="AJ313">
            <v>117</v>
          </cell>
          <cell r="AK313">
            <v>7782200</v>
          </cell>
          <cell r="AN313">
            <v>48438000</v>
          </cell>
          <cell r="AO313">
            <v>16146000</v>
          </cell>
        </row>
        <row r="314">
          <cell r="A314" t="str">
            <v>Y</v>
          </cell>
          <cell r="B314" t="str">
            <v>I</v>
          </cell>
          <cell r="C314" t="str">
            <v>의류</v>
          </cell>
          <cell r="E314" t="str">
            <v>1</v>
          </cell>
          <cell r="F314" t="str">
            <v>1</v>
          </cell>
          <cell r="G314">
            <v>0</v>
          </cell>
          <cell r="H314">
            <v>12480625</v>
          </cell>
          <cell r="I314">
            <v>0</v>
          </cell>
          <cell r="J314">
            <v>0</v>
          </cell>
          <cell r="K314">
            <v>0</v>
          </cell>
          <cell r="N314" t="str">
            <v>I0Y1106</v>
          </cell>
          <cell r="O314">
            <v>73</v>
          </cell>
          <cell r="Q314">
            <v>158000</v>
          </cell>
          <cell r="U314">
            <v>625</v>
          </cell>
          <cell r="AJ314">
            <v>209</v>
          </cell>
          <cell r="AK314">
            <v>16232500</v>
          </cell>
          <cell r="AN314">
            <v>98750000</v>
          </cell>
          <cell r="AO314">
            <v>33022000</v>
          </cell>
        </row>
        <row r="315">
          <cell r="A315" t="str">
            <v>Y</v>
          </cell>
          <cell r="B315" t="str">
            <v>P</v>
          </cell>
          <cell r="C315" t="str">
            <v>의류</v>
          </cell>
          <cell r="E315" t="str">
            <v>2</v>
          </cell>
          <cell r="F315" t="str">
            <v>6</v>
          </cell>
          <cell r="G315">
            <v>0</v>
          </cell>
          <cell r="H315">
            <v>17512775</v>
          </cell>
          <cell r="I315">
            <v>5</v>
          </cell>
          <cell r="J315">
            <v>745000</v>
          </cell>
          <cell r="K315">
            <v>1490000</v>
          </cell>
          <cell r="N315" t="str">
            <v>P0Y6204</v>
          </cell>
          <cell r="O315">
            <v>49</v>
          </cell>
          <cell r="Q315">
            <v>298000</v>
          </cell>
          <cell r="U315">
            <v>475</v>
          </cell>
          <cell r="AJ315">
            <v>159</v>
          </cell>
          <cell r="AK315">
            <v>22612900</v>
          </cell>
          <cell r="AN315">
            <v>141550000</v>
          </cell>
          <cell r="AO315">
            <v>47382000</v>
          </cell>
        </row>
        <row r="316">
          <cell r="A316" t="str">
            <v>Y</v>
          </cell>
          <cell r="B316" t="str">
            <v>I</v>
          </cell>
          <cell r="C316" t="str">
            <v>의류</v>
          </cell>
          <cell r="E316" t="str">
            <v>1</v>
          </cell>
          <cell r="F316" t="str">
            <v>1</v>
          </cell>
          <cell r="G316">
            <v>1</v>
          </cell>
          <cell r="H316">
            <v>14650976</v>
          </cell>
          <cell r="I316">
            <v>6</v>
          </cell>
          <cell r="J316">
            <v>594000</v>
          </cell>
          <cell r="K316">
            <v>1188000</v>
          </cell>
          <cell r="N316" t="str">
            <v>ITY1102</v>
          </cell>
          <cell r="O316">
            <v>64</v>
          </cell>
          <cell r="Q316">
            <v>198000</v>
          </cell>
          <cell r="U316">
            <v>608</v>
          </cell>
          <cell r="AJ316">
            <v>207</v>
          </cell>
          <cell r="AK316">
            <v>20179150</v>
          </cell>
          <cell r="AN316">
            <v>120384000</v>
          </cell>
          <cell r="AO316">
            <v>40986000</v>
          </cell>
        </row>
        <row r="317">
          <cell r="A317" t="str">
            <v>Y</v>
          </cell>
          <cell r="B317" t="str">
            <v>I</v>
          </cell>
          <cell r="C317" t="str">
            <v>의류</v>
          </cell>
          <cell r="E317" t="str">
            <v>1</v>
          </cell>
          <cell r="F317" t="str">
            <v>1</v>
          </cell>
          <cell r="G317">
            <v>1</v>
          </cell>
          <cell r="H317">
            <v>8337350</v>
          </cell>
          <cell r="I317">
            <v>0</v>
          </cell>
          <cell r="J317">
            <v>0</v>
          </cell>
          <cell r="K317">
            <v>0</v>
          </cell>
          <cell r="N317" t="str">
            <v>INY1102</v>
          </cell>
          <cell r="O317">
            <v>31</v>
          </cell>
          <cell r="Q317">
            <v>178000</v>
          </cell>
          <cell r="U317">
            <v>410</v>
          </cell>
          <cell r="AJ317">
            <v>140</v>
          </cell>
          <cell r="AK317">
            <v>12336600</v>
          </cell>
          <cell r="AN317">
            <v>72980000</v>
          </cell>
          <cell r="AO317">
            <v>24920000</v>
          </cell>
        </row>
        <row r="318">
          <cell r="A318" t="str">
            <v>Y</v>
          </cell>
          <cell r="B318" t="str">
            <v>I</v>
          </cell>
          <cell r="C318" t="str">
            <v>의류</v>
          </cell>
          <cell r="E318" t="str">
            <v>1</v>
          </cell>
          <cell r="F318" t="str">
            <v>7</v>
          </cell>
          <cell r="G318">
            <v>0</v>
          </cell>
          <cell r="H318">
            <v>12480492</v>
          </cell>
          <cell r="I318">
            <v>3</v>
          </cell>
          <cell r="J318">
            <v>237000</v>
          </cell>
          <cell r="K318">
            <v>474000</v>
          </cell>
          <cell r="N318" t="str">
            <v>I0Y7102</v>
          </cell>
          <cell r="O318">
            <v>37</v>
          </cell>
          <cell r="Q318">
            <v>158000</v>
          </cell>
          <cell r="U318">
            <v>722</v>
          </cell>
          <cell r="AJ318">
            <v>249</v>
          </cell>
          <cell r="AK318">
            <v>19202400</v>
          </cell>
          <cell r="AN318">
            <v>114076000</v>
          </cell>
          <cell r="AO318">
            <v>39342000</v>
          </cell>
        </row>
        <row r="319">
          <cell r="A319" t="str">
            <v>Y</v>
          </cell>
          <cell r="B319" t="str">
            <v>I</v>
          </cell>
          <cell r="C319" t="str">
            <v>의류</v>
          </cell>
          <cell r="E319" t="str">
            <v>2</v>
          </cell>
          <cell r="F319" t="str">
            <v>V</v>
          </cell>
          <cell r="G319">
            <v>1</v>
          </cell>
          <cell r="H319">
            <v>13444218</v>
          </cell>
          <cell r="I319">
            <v>16</v>
          </cell>
          <cell r="J319">
            <v>1874000</v>
          </cell>
          <cell r="K319">
            <v>3808000</v>
          </cell>
          <cell r="N319" t="str">
            <v>I0YV201</v>
          </cell>
          <cell r="O319">
            <v>36</v>
          </cell>
          <cell r="Q319">
            <v>238000</v>
          </cell>
          <cell r="U319">
            <v>486</v>
          </cell>
          <cell r="AJ319">
            <v>169</v>
          </cell>
          <cell r="AK319">
            <v>19056350</v>
          </cell>
          <cell r="AN319">
            <v>115668000</v>
          </cell>
          <cell r="AO319">
            <v>40222000</v>
          </cell>
        </row>
        <row r="320">
          <cell r="A320" t="str">
            <v>Y</v>
          </cell>
          <cell r="B320" t="str">
            <v>P</v>
          </cell>
          <cell r="C320" t="str">
            <v>의류</v>
          </cell>
          <cell r="E320" t="str">
            <v>1</v>
          </cell>
          <cell r="F320" t="str">
            <v>1</v>
          </cell>
          <cell r="G320">
            <v>1</v>
          </cell>
          <cell r="H320">
            <v>7187696</v>
          </cell>
          <cell r="I320">
            <v>4</v>
          </cell>
          <cell r="J320">
            <v>316000</v>
          </cell>
          <cell r="K320">
            <v>632000</v>
          </cell>
          <cell r="N320" t="str">
            <v>P0Y1108</v>
          </cell>
          <cell r="O320">
            <v>22</v>
          </cell>
          <cell r="Q320">
            <v>158000</v>
          </cell>
          <cell r="U320">
            <v>457</v>
          </cell>
          <cell r="AJ320">
            <v>160</v>
          </cell>
          <cell r="AK320">
            <v>12438400</v>
          </cell>
          <cell r="AN320">
            <v>72206000</v>
          </cell>
          <cell r="AO320">
            <v>25280000</v>
          </cell>
        </row>
        <row r="321">
          <cell r="A321" t="str">
            <v>Y</v>
          </cell>
          <cell r="B321" t="str">
            <v>P</v>
          </cell>
          <cell r="C321" t="str">
            <v>의류</v>
          </cell>
          <cell r="E321" t="str">
            <v>1</v>
          </cell>
          <cell r="F321" t="str">
            <v>1</v>
          </cell>
          <cell r="G321">
            <v>1</v>
          </cell>
          <cell r="H321">
            <v>8554041</v>
          </cell>
          <cell r="I321">
            <v>2</v>
          </cell>
          <cell r="J321">
            <v>78000</v>
          </cell>
          <cell r="K321">
            <v>156000</v>
          </cell>
          <cell r="N321" t="str">
            <v>P0Y1101</v>
          </cell>
          <cell r="O321">
            <v>76</v>
          </cell>
          <cell r="Q321">
            <v>78000</v>
          </cell>
          <cell r="U321">
            <v>681</v>
          </cell>
          <cell r="AJ321">
            <v>239</v>
          </cell>
          <cell r="AK321">
            <v>9191300</v>
          </cell>
          <cell r="AN321">
            <v>53118000</v>
          </cell>
          <cell r="AO321">
            <v>18642000</v>
          </cell>
        </row>
        <row r="322">
          <cell r="A322" t="str">
            <v>Y</v>
          </cell>
          <cell r="B322" t="str">
            <v>P</v>
          </cell>
          <cell r="C322" t="str">
            <v>의류</v>
          </cell>
          <cell r="E322" t="str">
            <v>1</v>
          </cell>
          <cell r="F322" t="str">
            <v>4</v>
          </cell>
          <cell r="G322">
            <v>1</v>
          </cell>
          <cell r="H322">
            <v>10818400</v>
          </cell>
          <cell r="I322">
            <v>1</v>
          </cell>
          <cell r="J322">
            <v>119000</v>
          </cell>
          <cell r="K322">
            <v>238000</v>
          </cell>
          <cell r="N322" t="str">
            <v>P0Y4101</v>
          </cell>
          <cell r="O322">
            <v>49</v>
          </cell>
          <cell r="Q322">
            <v>238000</v>
          </cell>
          <cell r="U322">
            <v>400</v>
          </cell>
          <cell r="AJ322">
            <v>141</v>
          </cell>
          <cell r="AK322">
            <v>16691260</v>
          </cell>
          <cell r="AN322">
            <v>95200000</v>
          </cell>
          <cell r="AO322">
            <v>33558000</v>
          </cell>
        </row>
        <row r="323">
          <cell r="A323" t="str">
            <v>Y</v>
          </cell>
          <cell r="B323" t="str">
            <v>I</v>
          </cell>
          <cell r="C323" t="str">
            <v>의류</v>
          </cell>
          <cell r="E323" t="str">
            <v>2</v>
          </cell>
          <cell r="F323" t="str">
            <v>6</v>
          </cell>
          <cell r="G323">
            <v>0</v>
          </cell>
          <cell r="H323">
            <v>32578000</v>
          </cell>
          <cell r="I323">
            <v>14</v>
          </cell>
          <cell r="J323">
            <v>1916000</v>
          </cell>
          <cell r="K323">
            <v>3892000</v>
          </cell>
          <cell r="N323" t="str">
            <v>I0Y6201</v>
          </cell>
          <cell r="O323">
            <v>77</v>
          </cell>
          <cell r="Q323">
            <v>278000</v>
          </cell>
          <cell r="U323">
            <v>1000</v>
          </cell>
          <cell r="AJ323">
            <v>353</v>
          </cell>
          <cell r="AK323">
            <v>46898795</v>
          </cell>
          <cell r="AN323">
            <v>278000000</v>
          </cell>
          <cell r="AO323">
            <v>98134000</v>
          </cell>
        </row>
        <row r="324">
          <cell r="A324" t="str">
            <v>Y</v>
          </cell>
          <cell r="B324" t="str">
            <v>P</v>
          </cell>
          <cell r="C324" t="str">
            <v>의류</v>
          </cell>
          <cell r="E324" t="str">
            <v>1</v>
          </cell>
          <cell r="F324" t="str">
            <v>1</v>
          </cell>
          <cell r="G324">
            <v>1</v>
          </cell>
          <cell r="H324">
            <v>4695725</v>
          </cell>
          <cell r="I324">
            <v>2</v>
          </cell>
          <cell r="J324">
            <v>98000</v>
          </cell>
          <cell r="K324">
            <v>196000</v>
          </cell>
          <cell r="N324" t="str">
            <v>P0Y1109</v>
          </cell>
          <cell r="O324">
            <v>49</v>
          </cell>
          <cell r="Q324">
            <v>98000</v>
          </cell>
          <cell r="U324">
            <v>415</v>
          </cell>
          <cell r="AJ324">
            <v>147</v>
          </cell>
          <cell r="AK324">
            <v>6970100</v>
          </cell>
          <cell r="AN324">
            <v>40670000</v>
          </cell>
          <cell r="AO324">
            <v>14406000</v>
          </cell>
        </row>
        <row r="325">
          <cell r="A325" t="str">
            <v>Y</v>
          </cell>
          <cell r="B325" t="str">
            <v>P</v>
          </cell>
          <cell r="C325" t="str">
            <v>의류</v>
          </cell>
          <cell r="E325" t="str">
            <v>1</v>
          </cell>
          <cell r="F325" t="str">
            <v>V</v>
          </cell>
          <cell r="G325">
            <v>1</v>
          </cell>
          <cell r="H325">
            <v>14914854</v>
          </cell>
          <cell r="I325">
            <v>3</v>
          </cell>
          <cell r="J325">
            <v>447000</v>
          </cell>
          <cell r="K325">
            <v>894000</v>
          </cell>
          <cell r="N325" t="str">
            <v>PTYV101</v>
          </cell>
          <cell r="O325">
            <v>31</v>
          </cell>
          <cell r="Q325">
            <v>298000</v>
          </cell>
          <cell r="U325">
            <v>486</v>
          </cell>
          <cell r="AJ325">
            <v>173</v>
          </cell>
          <cell r="AK325">
            <v>25266050</v>
          </cell>
          <cell r="AN325">
            <v>144828000</v>
          </cell>
          <cell r="AO325">
            <v>51554000</v>
          </cell>
        </row>
        <row r="326">
          <cell r="A326" t="str">
            <v>Y</v>
          </cell>
          <cell r="B326" t="str">
            <v>I</v>
          </cell>
          <cell r="C326" t="str">
            <v>의류</v>
          </cell>
          <cell r="E326" t="str">
            <v>2</v>
          </cell>
          <cell r="F326" t="str">
            <v>6</v>
          </cell>
          <cell r="G326">
            <v>0</v>
          </cell>
          <cell r="H326">
            <v>58640400</v>
          </cell>
          <cell r="I326">
            <v>36</v>
          </cell>
          <cell r="J326">
            <v>5004000</v>
          </cell>
          <cell r="K326">
            <v>10008000</v>
          </cell>
          <cell r="N326" t="str">
            <v>I0Y6201</v>
          </cell>
          <cell r="O326">
            <v>49</v>
          </cell>
          <cell r="Q326">
            <v>278000</v>
          </cell>
          <cell r="U326">
            <v>1800</v>
          </cell>
          <cell r="AJ326">
            <v>641</v>
          </cell>
          <cell r="AK326">
            <v>85617595</v>
          </cell>
          <cell r="AN326">
            <v>500400000</v>
          </cell>
          <cell r="AO326">
            <v>178198000</v>
          </cell>
        </row>
        <row r="327">
          <cell r="A327" t="str">
            <v>Y</v>
          </cell>
          <cell r="B327" t="str">
            <v>I</v>
          </cell>
          <cell r="C327" t="str">
            <v>의류</v>
          </cell>
          <cell r="E327" t="str">
            <v>1</v>
          </cell>
          <cell r="F327" t="str">
            <v>1</v>
          </cell>
          <cell r="G327">
            <v>1</v>
          </cell>
          <cell r="H327">
            <v>8741604</v>
          </cell>
          <cell r="I327">
            <v>2</v>
          </cell>
          <cell r="J327">
            <v>78000</v>
          </cell>
          <cell r="K327">
            <v>156000</v>
          </cell>
          <cell r="N327" t="str">
            <v>I0Y1101</v>
          </cell>
          <cell r="O327">
            <v>76</v>
          </cell>
          <cell r="Q327">
            <v>78000</v>
          </cell>
          <cell r="U327">
            <v>587</v>
          </cell>
          <cell r="AJ327">
            <v>210</v>
          </cell>
          <cell r="AK327">
            <v>8053950</v>
          </cell>
          <cell r="AN327">
            <v>45786000</v>
          </cell>
          <cell r="AO327">
            <v>16380000</v>
          </cell>
        </row>
        <row r="328">
          <cell r="A328" t="str">
            <v>Y</v>
          </cell>
          <cell r="B328" t="str">
            <v>P</v>
          </cell>
          <cell r="C328" t="str">
            <v>의류</v>
          </cell>
          <cell r="E328" t="str">
            <v>1</v>
          </cell>
          <cell r="F328" t="str">
            <v>1</v>
          </cell>
          <cell r="G328">
            <v>0</v>
          </cell>
          <cell r="H328">
            <v>6317766</v>
          </cell>
          <cell r="I328">
            <v>3</v>
          </cell>
          <cell r="J328">
            <v>147000</v>
          </cell>
          <cell r="K328">
            <v>414000</v>
          </cell>
          <cell r="N328" t="str">
            <v>PNY1103</v>
          </cell>
          <cell r="O328">
            <v>31</v>
          </cell>
          <cell r="Q328">
            <v>138000</v>
          </cell>
          <cell r="U328">
            <v>377</v>
          </cell>
          <cell r="AJ328">
            <v>135</v>
          </cell>
          <cell r="AK328">
            <v>7545800</v>
          </cell>
          <cell r="AN328">
            <v>52026000</v>
          </cell>
          <cell r="AO328">
            <v>18630000</v>
          </cell>
        </row>
        <row r="329">
          <cell r="A329" t="str">
            <v>Y</v>
          </cell>
          <cell r="B329" t="str">
            <v>P</v>
          </cell>
          <cell r="C329" t="str">
            <v>의류</v>
          </cell>
          <cell r="E329" t="str">
            <v>1</v>
          </cell>
          <cell r="F329" t="str">
            <v>1</v>
          </cell>
          <cell r="G329">
            <v>0</v>
          </cell>
          <cell r="H329">
            <v>10312581</v>
          </cell>
          <cell r="I329">
            <v>-1</v>
          </cell>
          <cell r="J329">
            <v>-39000</v>
          </cell>
          <cell r="K329">
            <v>-78000</v>
          </cell>
          <cell r="N329" t="str">
            <v>P0Y1101</v>
          </cell>
          <cell r="O329">
            <v>49</v>
          </cell>
          <cell r="Q329">
            <v>78000</v>
          </cell>
          <cell r="U329">
            <v>821</v>
          </cell>
          <cell r="AJ329">
            <v>298</v>
          </cell>
          <cell r="AK329">
            <v>11405000</v>
          </cell>
          <cell r="AN329">
            <v>64038000</v>
          </cell>
          <cell r="AO329">
            <v>23244000</v>
          </cell>
        </row>
        <row r="330">
          <cell r="A330" t="str">
            <v>Y</v>
          </cell>
          <cell r="B330" t="str">
            <v>I</v>
          </cell>
          <cell r="C330" t="str">
            <v>의류</v>
          </cell>
          <cell r="E330" t="str">
            <v>2</v>
          </cell>
          <cell r="F330" t="str">
            <v>7</v>
          </cell>
          <cell r="G330">
            <v>1</v>
          </cell>
          <cell r="H330">
            <v>20082849</v>
          </cell>
          <cell r="I330">
            <v>39</v>
          </cell>
          <cell r="J330">
            <v>3471000</v>
          </cell>
          <cell r="K330">
            <v>6942000</v>
          </cell>
          <cell r="N330" t="str">
            <v>ITY7204</v>
          </cell>
          <cell r="O330">
            <v>49</v>
          </cell>
          <cell r="Q330">
            <v>178000</v>
          </cell>
          <cell r="U330">
            <v>1031</v>
          </cell>
          <cell r="AJ330">
            <v>375</v>
          </cell>
          <cell r="AK330">
            <v>32833400</v>
          </cell>
          <cell r="AN330">
            <v>183518000</v>
          </cell>
          <cell r="AO330">
            <v>66750000</v>
          </cell>
        </row>
        <row r="331">
          <cell r="A331" t="str">
            <v>Y</v>
          </cell>
          <cell r="B331" t="str">
            <v>I</v>
          </cell>
          <cell r="C331" t="str">
            <v>의류</v>
          </cell>
          <cell r="E331" t="str">
            <v>2</v>
          </cell>
          <cell r="F331" t="str">
            <v>6</v>
          </cell>
          <cell r="G331">
            <v>0</v>
          </cell>
          <cell r="H331">
            <v>13424640</v>
          </cell>
          <cell r="I331">
            <v>10</v>
          </cell>
          <cell r="J331">
            <v>1360000</v>
          </cell>
          <cell r="K331">
            <v>2780000</v>
          </cell>
          <cell r="N331" t="str">
            <v>ITY6202</v>
          </cell>
          <cell r="O331">
            <v>43</v>
          </cell>
          <cell r="Q331">
            <v>278000</v>
          </cell>
          <cell r="U331">
            <v>437</v>
          </cell>
          <cell r="AJ331">
            <v>159</v>
          </cell>
          <cell r="AK331">
            <v>21892000</v>
          </cell>
          <cell r="AN331">
            <v>121486000</v>
          </cell>
          <cell r="AO331">
            <v>44202000</v>
          </cell>
        </row>
        <row r="332">
          <cell r="A332" t="str">
            <v>Y</v>
          </cell>
          <cell r="B332" t="str">
            <v>P</v>
          </cell>
          <cell r="C332" t="str">
            <v>의류</v>
          </cell>
          <cell r="E332" t="str">
            <v>1</v>
          </cell>
          <cell r="F332" t="str">
            <v>V</v>
          </cell>
          <cell r="G332">
            <v>0</v>
          </cell>
          <cell r="H332">
            <v>8958558</v>
          </cell>
          <cell r="I332">
            <v>2</v>
          </cell>
          <cell r="J332">
            <v>238000</v>
          </cell>
          <cell r="K332">
            <v>476000</v>
          </cell>
          <cell r="N332" t="str">
            <v>PNYV101</v>
          </cell>
          <cell r="O332">
            <v>39</v>
          </cell>
          <cell r="Q332">
            <v>238000</v>
          </cell>
          <cell r="U332">
            <v>357</v>
          </cell>
          <cell r="AJ332">
            <v>131</v>
          </cell>
          <cell r="AK332">
            <v>15199370</v>
          </cell>
          <cell r="AN332">
            <v>84966000</v>
          </cell>
          <cell r="AO332">
            <v>31178000</v>
          </cell>
        </row>
        <row r="333">
          <cell r="A333" t="str">
            <v>Y</v>
          </cell>
          <cell r="B333" t="str">
            <v>P</v>
          </cell>
          <cell r="C333" t="str">
            <v>의류</v>
          </cell>
          <cell r="E333" t="str">
            <v>1</v>
          </cell>
          <cell r="F333" t="str">
            <v>1</v>
          </cell>
          <cell r="G333">
            <v>0</v>
          </cell>
          <cell r="H333">
            <v>8247162</v>
          </cell>
          <cell r="I333">
            <v>2</v>
          </cell>
          <cell r="J333">
            <v>158000</v>
          </cell>
          <cell r="K333">
            <v>316000</v>
          </cell>
          <cell r="N333" t="str">
            <v>P0Y1103</v>
          </cell>
          <cell r="O333">
            <v>73</v>
          </cell>
          <cell r="Q333">
            <v>158000</v>
          </cell>
          <cell r="U333">
            <v>462</v>
          </cell>
          <cell r="AJ333">
            <v>170</v>
          </cell>
          <cell r="AK333">
            <v>13326300</v>
          </cell>
          <cell r="AN333">
            <v>72996000</v>
          </cell>
          <cell r="AO333">
            <v>26860000</v>
          </cell>
        </row>
        <row r="334">
          <cell r="A334" t="str">
            <v>Y</v>
          </cell>
          <cell r="B334" t="str">
            <v>P</v>
          </cell>
          <cell r="C334" t="str">
            <v>의류</v>
          </cell>
          <cell r="E334" t="str">
            <v>1</v>
          </cell>
          <cell r="F334" t="str">
            <v>8</v>
          </cell>
          <cell r="G334">
            <v>0</v>
          </cell>
          <cell r="H334">
            <v>12493852</v>
          </cell>
          <cell r="I334">
            <v>4</v>
          </cell>
          <cell r="J334">
            <v>356000</v>
          </cell>
          <cell r="K334">
            <v>712000</v>
          </cell>
          <cell r="N334" t="str">
            <v>PTY8102</v>
          </cell>
          <cell r="O334">
            <v>49</v>
          </cell>
          <cell r="Q334">
            <v>178000</v>
          </cell>
          <cell r="U334">
            <v>548</v>
          </cell>
          <cell r="AJ334">
            <v>202</v>
          </cell>
          <cell r="AK334">
            <v>17559000</v>
          </cell>
          <cell r="AN334">
            <v>97544000</v>
          </cell>
          <cell r="AO334">
            <v>35956000</v>
          </cell>
        </row>
        <row r="335">
          <cell r="A335" t="str">
            <v>Y</v>
          </cell>
          <cell r="B335" t="str">
            <v>I</v>
          </cell>
          <cell r="C335" t="str">
            <v>의류</v>
          </cell>
          <cell r="E335" t="str">
            <v>1</v>
          </cell>
          <cell r="F335" t="str">
            <v>1</v>
          </cell>
          <cell r="G335">
            <v>0</v>
          </cell>
          <cell r="H335">
            <v>9229077</v>
          </cell>
          <cell r="I335">
            <v>0</v>
          </cell>
          <cell r="J335">
            <v>0</v>
          </cell>
          <cell r="K335">
            <v>0</v>
          </cell>
          <cell r="N335" t="str">
            <v>ITY1103</v>
          </cell>
          <cell r="O335">
            <v>43</v>
          </cell>
          <cell r="Q335">
            <v>158000</v>
          </cell>
          <cell r="U335">
            <v>639</v>
          </cell>
          <cell r="AJ335">
            <v>236</v>
          </cell>
          <cell r="AK335">
            <v>18260200</v>
          </cell>
          <cell r="AN335">
            <v>100962000</v>
          </cell>
          <cell r="AO335">
            <v>37288000</v>
          </cell>
        </row>
        <row r="336">
          <cell r="A336" t="str">
            <v>Y</v>
          </cell>
          <cell r="B336" t="str">
            <v>P</v>
          </cell>
          <cell r="C336" t="str">
            <v>의류</v>
          </cell>
          <cell r="E336" t="str">
            <v>2</v>
          </cell>
          <cell r="F336" t="str">
            <v>1</v>
          </cell>
          <cell r="G336">
            <v>0</v>
          </cell>
          <cell r="H336">
            <v>8255775</v>
          </cell>
          <cell r="I336">
            <v>47</v>
          </cell>
          <cell r="J336">
            <v>1833000</v>
          </cell>
          <cell r="K336">
            <v>3666000</v>
          </cell>
          <cell r="N336" t="str">
            <v>PTY1205</v>
          </cell>
          <cell r="O336">
            <v>49</v>
          </cell>
          <cell r="Q336">
            <v>78000</v>
          </cell>
          <cell r="U336">
            <v>825</v>
          </cell>
          <cell r="AJ336">
            <v>305</v>
          </cell>
          <cell r="AK336">
            <v>11548850</v>
          </cell>
          <cell r="AN336">
            <v>64350000</v>
          </cell>
          <cell r="AO336">
            <v>23790000</v>
          </cell>
        </row>
        <row r="337">
          <cell r="A337" t="str">
            <v>Y</v>
          </cell>
          <cell r="B337" t="str">
            <v>I</v>
          </cell>
          <cell r="C337" t="str">
            <v>의류</v>
          </cell>
          <cell r="E337" t="str">
            <v>2</v>
          </cell>
          <cell r="F337" t="str">
            <v>8</v>
          </cell>
          <cell r="G337">
            <v>1</v>
          </cell>
          <cell r="H337">
            <v>9140475</v>
          </cell>
          <cell r="I337">
            <v>27</v>
          </cell>
          <cell r="J337">
            <v>1863000</v>
          </cell>
          <cell r="K337">
            <v>3726000</v>
          </cell>
          <cell r="N337" t="str">
            <v>ITY8206</v>
          </cell>
          <cell r="O337">
            <v>49</v>
          </cell>
          <cell r="Q337">
            <v>138000</v>
          </cell>
          <cell r="U337">
            <v>535</v>
          </cell>
          <cell r="AJ337">
            <v>198</v>
          </cell>
          <cell r="AK337">
            <v>13346400</v>
          </cell>
          <cell r="AN337">
            <v>73830000</v>
          </cell>
          <cell r="AO337">
            <v>27324000</v>
          </cell>
        </row>
        <row r="338">
          <cell r="A338" t="str">
            <v>Y</v>
          </cell>
          <cell r="B338" t="str">
            <v>P</v>
          </cell>
          <cell r="C338" t="str">
            <v>의류</v>
          </cell>
          <cell r="E338" t="str">
            <v>2</v>
          </cell>
          <cell r="F338" t="str">
            <v>6</v>
          </cell>
          <cell r="G338">
            <v>0</v>
          </cell>
          <cell r="H338">
            <v>16422650</v>
          </cell>
          <cell r="I338">
            <v>16</v>
          </cell>
          <cell r="J338">
            <v>1854000</v>
          </cell>
          <cell r="K338">
            <v>3808000</v>
          </cell>
          <cell r="N338" t="str">
            <v>PTY6201</v>
          </cell>
          <cell r="O338">
            <v>27</v>
          </cell>
          <cell r="Q338">
            <v>238000</v>
          </cell>
          <cell r="U338">
            <v>590</v>
          </cell>
          <cell r="AJ338">
            <v>219</v>
          </cell>
          <cell r="AK338">
            <v>25526550</v>
          </cell>
          <cell r="AN338">
            <v>140420000</v>
          </cell>
          <cell r="AO338">
            <v>52122000</v>
          </cell>
        </row>
        <row r="339">
          <cell r="A339" t="str">
            <v>Y</v>
          </cell>
          <cell r="B339" t="str">
            <v>I</v>
          </cell>
          <cell r="C339" t="str">
            <v>의류</v>
          </cell>
          <cell r="E339" t="str">
            <v>2</v>
          </cell>
          <cell r="F339" t="str">
            <v>V</v>
          </cell>
          <cell r="G339">
            <v>0</v>
          </cell>
          <cell r="H339">
            <v>15989214</v>
          </cell>
          <cell r="I339">
            <v>14</v>
          </cell>
          <cell r="J339">
            <v>1636000</v>
          </cell>
          <cell r="K339">
            <v>3332000</v>
          </cell>
          <cell r="N339" t="str">
            <v>I0YV201</v>
          </cell>
          <cell r="O339">
            <v>49</v>
          </cell>
          <cell r="Q339">
            <v>238000</v>
          </cell>
          <cell r="U339">
            <v>578</v>
          </cell>
          <cell r="AJ339">
            <v>216</v>
          </cell>
          <cell r="AK339">
            <v>24687700</v>
          </cell>
          <cell r="AN339">
            <v>137564000</v>
          </cell>
          <cell r="AO339">
            <v>51408000</v>
          </cell>
        </row>
        <row r="340">
          <cell r="A340" t="str">
            <v>Y</v>
          </cell>
          <cell r="B340" t="str">
            <v>I</v>
          </cell>
          <cell r="C340" t="str">
            <v>의류</v>
          </cell>
          <cell r="E340" t="str">
            <v>1</v>
          </cell>
          <cell r="F340" t="str">
            <v>7</v>
          </cell>
          <cell r="G340">
            <v>0</v>
          </cell>
          <cell r="H340">
            <v>30872796</v>
          </cell>
          <cell r="I340">
            <v>6</v>
          </cell>
          <cell r="J340">
            <v>454000</v>
          </cell>
          <cell r="K340">
            <v>948000</v>
          </cell>
          <cell r="N340" t="str">
            <v>I0Y7102</v>
          </cell>
          <cell r="O340">
            <v>49</v>
          </cell>
          <cell r="Q340">
            <v>158000</v>
          </cell>
          <cell r="U340">
            <v>1786</v>
          </cell>
          <cell r="AJ340">
            <v>669</v>
          </cell>
          <cell r="AK340">
            <v>51184180</v>
          </cell>
          <cell r="AN340">
            <v>282188000</v>
          </cell>
          <cell r="AO340">
            <v>105702000</v>
          </cell>
        </row>
        <row r="341">
          <cell r="A341" t="str">
            <v>Y</v>
          </cell>
          <cell r="B341" t="str">
            <v>I</v>
          </cell>
          <cell r="C341" t="str">
            <v>의류</v>
          </cell>
          <cell r="E341" t="str">
            <v>2</v>
          </cell>
          <cell r="F341" t="str">
            <v>9</v>
          </cell>
          <cell r="G341">
            <v>1</v>
          </cell>
          <cell r="H341">
            <v>16502893</v>
          </cell>
          <cell r="I341">
            <v>15</v>
          </cell>
          <cell r="J341">
            <v>2649200</v>
          </cell>
          <cell r="K341">
            <v>5370000</v>
          </cell>
          <cell r="N341" t="str">
            <v>ITY9205</v>
          </cell>
          <cell r="O341">
            <v>34</v>
          </cell>
          <cell r="Q341">
            <v>358000</v>
          </cell>
          <cell r="U341">
            <v>397</v>
          </cell>
          <cell r="AJ341">
            <v>149</v>
          </cell>
          <cell r="AK341">
            <v>25978700</v>
          </cell>
          <cell r="AN341">
            <v>142126000</v>
          </cell>
          <cell r="AO341">
            <v>53342000</v>
          </cell>
        </row>
        <row r="342">
          <cell r="A342" t="str">
            <v>Y</v>
          </cell>
          <cell r="B342" t="str">
            <v>I</v>
          </cell>
          <cell r="C342" t="str">
            <v>의류</v>
          </cell>
          <cell r="E342" t="str">
            <v>2</v>
          </cell>
          <cell r="F342" t="str">
            <v>7</v>
          </cell>
          <cell r="G342">
            <v>0</v>
          </cell>
          <cell r="H342">
            <v>11137750</v>
          </cell>
          <cell r="I342">
            <v>28</v>
          </cell>
          <cell r="J342">
            <v>2772000</v>
          </cell>
          <cell r="K342">
            <v>5544000</v>
          </cell>
          <cell r="N342" t="str">
            <v>ITY7202</v>
          </cell>
          <cell r="O342">
            <v>49</v>
          </cell>
          <cell r="Q342">
            <v>198000</v>
          </cell>
          <cell r="U342">
            <v>575</v>
          </cell>
          <cell r="AJ342">
            <v>219</v>
          </cell>
          <cell r="AK342">
            <v>21472800</v>
          </cell>
          <cell r="AN342">
            <v>113850000</v>
          </cell>
          <cell r="AO342">
            <v>43362000</v>
          </cell>
        </row>
        <row r="343">
          <cell r="A343" t="str">
            <v>Y</v>
          </cell>
          <cell r="B343" t="str">
            <v>I</v>
          </cell>
          <cell r="C343" t="str">
            <v>의류</v>
          </cell>
          <cell r="E343" t="str">
            <v>2</v>
          </cell>
          <cell r="F343" t="str">
            <v>9</v>
          </cell>
          <cell r="G343">
            <v>0</v>
          </cell>
          <cell r="H343">
            <v>18128511</v>
          </cell>
          <cell r="I343">
            <v>26</v>
          </cell>
          <cell r="J343">
            <v>4654000</v>
          </cell>
          <cell r="K343">
            <v>9308000</v>
          </cell>
          <cell r="N343" t="str">
            <v>ITY9202</v>
          </cell>
          <cell r="O343">
            <v>49</v>
          </cell>
          <cell r="Q343">
            <v>358000</v>
          </cell>
          <cell r="U343">
            <v>423</v>
          </cell>
          <cell r="AJ343">
            <v>162</v>
          </cell>
          <cell r="AK343">
            <v>27684690</v>
          </cell>
          <cell r="AN343">
            <v>151434000</v>
          </cell>
          <cell r="AO343">
            <v>57996000</v>
          </cell>
        </row>
        <row r="344">
          <cell r="A344" t="str">
            <v>Y</v>
          </cell>
          <cell r="B344" t="str">
            <v>P</v>
          </cell>
          <cell r="C344" t="str">
            <v>의류</v>
          </cell>
          <cell r="E344" t="str">
            <v>1</v>
          </cell>
          <cell r="F344" t="str">
            <v>V</v>
          </cell>
          <cell r="G344">
            <v>0</v>
          </cell>
          <cell r="H344">
            <v>14546586</v>
          </cell>
          <cell r="I344">
            <v>2</v>
          </cell>
          <cell r="J344">
            <v>298000</v>
          </cell>
          <cell r="K344">
            <v>596000</v>
          </cell>
          <cell r="N344" t="str">
            <v>PTYV101</v>
          </cell>
          <cell r="O344">
            <v>49</v>
          </cell>
          <cell r="Q344">
            <v>298000</v>
          </cell>
          <cell r="U344">
            <v>474</v>
          </cell>
          <cell r="AJ344">
            <v>183</v>
          </cell>
          <cell r="AK344">
            <v>26939950</v>
          </cell>
          <cell r="AN344">
            <v>141252000</v>
          </cell>
          <cell r="AO344">
            <v>54534000</v>
          </cell>
        </row>
        <row r="345">
          <cell r="A345" t="str">
            <v>Y</v>
          </cell>
          <cell r="B345" t="str">
            <v>P</v>
          </cell>
          <cell r="C345" t="str">
            <v>의류</v>
          </cell>
          <cell r="E345" t="str">
            <v>1</v>
          </cell>
          <cell r="F345" t="str">
            <v>7</v>
          </cell>
          <cell r="G345">
            <v>0</v>
          </cell>
          <cell r="H345">
            <v>7673778</v>
          </cell>
          <cell r="I345">
            <v>9</v>
          </cell>
          <cell r="J345">
            <v>801000</v>
          </cell>
          <cell r="K345">
            <v>1602000</v>
          </cell>
          <cell r="N345" t="str">
            <v>PNY7101</v>
          </cell>
          <cell r="O345">
            <v>31</v>
          </cell>
          <cell r="Q345">
            <v>178000</v>
          </cell>
          <cell r="U345">
            <v>378</v>
          </cell>
          <cell r="AJ345">
            <v>146</v>
          </cell>
          <cell r="AK345">
            <v>12791700</v>
          </cell>
          <cell r="AN345">
            <v>67284000</v>
          </cell>
          <cell r="AO345">
            <v>25988000</v>
          </cell>
        </row>
        <row r="346">
          <cell r="A346" t="str">
            <v>Y</v>
          </cell>
          <cell r="B346" t="str">
            <v>P</v>
          </cell>
          <cell r="C346" t="str">
            <v>의류</v>
          </cell>
          <cell r="E346" t="str">
            <v>1</v>
          </cell>
          <cell r="F346" t="str">
            <v>8</v>
          </cell>
          <cell r="G346">
            <v>1</v>
          </cell>
          <cell r="H346">
            <v>20887776</v>
          </cell>
          <cell r="I346">
            <v>11</v>
          </cell>
          <cell r="J346">
            <v>979000</v>
          </cell>
          <cell r="K346">
            <v>2618000</v>
          </cell>
          <cell r="N346" t="str">
            <v>PTY8101</v>
          </cell>
          <cell r="O346">
            <v>49</v>
          </cell>
          <cell r="Q346">
            <v>238000</v>
          </cell>
          <cell r="U346">
            <v>728</v>
          </cell>
          <cell r="AJ346">
            <v>286</v>
          </cell>
          <cell r="AK346">
            <v>26999500</v>
          </cell>
          <cell r="AN346">
            <v>173264000</v>
          </cell>
          <cell r="AO346">
            <v>68068000</v>
          </cell>
        </row>
        <row r="347">
          <cell r="A347" t="str">
            <v>Y</v>
          </cell>
          <cell r="B347" t="str">
            <v>I</v>
          </cell>
          <cell r="C347" t="str">
            <v>의류</v>
          </cell>
          <cell r="E347" t="str">
            <v>1</v>
          </cell>
          <cell r="F347" t="str">
            <v>1</v>
          </cell>
          <cell r="G347">
            <v>1</v>
          </cell>
          <cell r="H347">
            <v>12709620</v>
          </cell>
          <cell r="I347">
            <v>8</v>
          </cell>
          <cell r="J347">
            <v>472000</v>
          </cell>
          <cell r="K347">
            <v>944000</v>
          </cell>
          <cell r="N347" t="str">
            <v>ITY1101</v>
          </cell>
          <cell r="O347">
            <v>43</v>
          </cell>
          <cell r="Q347">
            <v>118000</v>
          </cell>
          <cell r="U347">
            <v>924</v>
          </cell>
          <cell r="AJ347">
            <v>367</v>
          </cell>
          <cell r="AK347">
            <v>20956100</v>
          </cell>
          <cell r="AN347">
            <v>109032000</v>
          </cell>
          <cell r="AO347">
            <v>43306000</v>
          </cell>
        </row>
        <row r="348">
          <cell r="A348" t="str">
            <v>Y</v>
          </cell>
          <cell r="B348" t="str">
            <v>P</v>
          </cell>
          <cell r="C348" t="str">
            <v>의류</v>
          </cell>
          <cell r="E348" t="str">
            <v>2</v>
          </cell>
          <cell r="F348" t="str">
            <v>1</v>
          </cell>
          <cell r="G348">
            <v>1</v>
          </cell>
          <cell r="H348">
            <v>11636240</v>
          </cell>
          <cell r="I348">
            <v>30</v>
          </cell>
          <cell r="J348">
            <v>1170000</v>
          </cell>
          <cell r="K348">
            <v>2340000</v>
          </cell>
          <cell r="N348" t="str">
            <v>PTY1203</v>
          </cell>
          <cell r="O348">
            <v>76</v>
          </cell>
          <cell r="Q348">
            <v>78000</v>
          </cell>
          <cell r="U348">
            <v>1232</v>
          </cell>
          <cell r="AJ348">
            <v>496</v>
          </cell>
          <cell r="AK348">
            <v>19255500</v>
          </cell>
          <cell r="AN348">
            <v>96096000</v>
          </cell>
          <cell r="AO348">
            <v>38688000</v>
          </cell>
        </row>
        <row r="349">
          <cell r="A349" t="str">
            <v>Y</v>
          </cell>
          <cell r="B349" t="str">
            <v>P</v>
          </cell>
          <cell r="C349" t="str">
            <v>의류</v>
          </cell>
          <cell r="E349" t="str">
            <v>1</v>
          </cell>
          <cell r="F349" t="str">
            <v>1</v>
          </cell>
          <cell r="G349">
            <v>0</v>
          </cell>
          <cell r="H349">
            <v>6619647</v>
          </cell>
          <cell r="I349">
            <v>8</v>
          </cell>
          <cell r="J349">
            <v>312000</v>
          </cell>
          <cell r="K349">
            <v>624000</v>
          </cell>
          <cell r="N349" t="str">
            <v>P0Y1101</v>
          </cell>
          <cell r="O349">
            <v>31</v>
          </cell>
          <cell r="Q349">
            <v>78000</v>
          </cell>
          <cell r="U349">
            <v>527</v>
          </cell>
          <cell r="AJ349">
            <v>213</v>
          </cell>
          <cell r="AK349">
            <v>8144600</v>
          </cell>
          <cell r="AN349">
            <v>41106000</v>
          </cell>
          <cell r="AO349">
            <v>16614000</v>
          </cell>
        </row>
        <row r="350">
          <cell r="A350" t="str">
            <v>Y</v>
          </cell>
          <cell r="B350" t="str">
            <v>I</v>
          </cell>
          <cell r="C350" t="str">
            <v>의류</v>
          </cell>
          <cell r="E350" t="str">
            <v>2</v>
          </cell>
          <cell r="F350" t="str">
            <v>7</v>
          </cell>
          <cell r="G350">
            <v>1</v>
          </cell>
          <cell r="H350">
            <v>15418452</v>
          </cell>
          <cell r="I350">
            <v>56</v>
          </cell>
          <cell r="J350">
            <v>3304000</v>
          </cell>
          <cell r="K350">
            <v>6608000</v>
          </cell>
          <cell r="N350" t="str">
            <v>I0Y7207</v>
          </cell>
          <cell r="O350">
            <v>37</v>
          </cell>
          <cell r="Q350">
            <v>118000</v>
          </cell>
          <cell r="U350">
            <v>1211</v>
          </cell>
          <cell r="AJ350">
            <v>491</v>
          </cell>
          <cell r="AK350">
            <v>28458600</v>
          </cell>
          <cell r="AN350">
            <v>142898000</v>
          </cell>
          <cell r="AO350">
            <v>57938000</v>
          </cell>
        </row>
        <row r="351">
          <cell r="A351" t="str">
            <v>Y</v>
          </cell>
          <cell r="B351" t="str">
            <v>I</v>
          </cell>
          <cell r="C351" t="str">
            <v>의류</v>
          </cell>
          <cell r="E351" t="str">
            <v>2</v>
          </cell>
          <cell r="F351" t="str">
            <v>7</v>
          </cell>
          <cell r="G351">
            <v>0</v>
          </cell>
          <cell r="H351">
            <v>32262888</v>
          </cell>
          <cell r="I351">
            <v>126</v>
          </cell>
          <cell r="J351">
            <v>7364000</v>
          </cell>
          <cell r="K351">
            <v>14868000</v>
          </cell>
          <cell r="N351" t="str">
            <v>I0Y7207</v>
          </cell>
          <cell r="O351">
            <v>49</v>
          </cell>
          <cell r="Q351">
            <v>118000</v>
          </cell>
          <cell r="U351">
            <v>2534</v>
          </cell>
          <cell r="AJ351">
            <v>1038</v>
          </cell>
          <cell r="AK351">
            <v>60266240</v>
          </cell>
          <cell r="AN351">
            <v>299012000</v>
          </cell>
          <cell r="AO351">
            <v>122484000</v>
          </cell>
        </row>
        <row r="352">
          <cell r="A352" t="str">
            <v>Y</v>
          </cell>
          <cell r="B352" t="str">
            <v>P</v>
          </cell>
          <cell r="C352" t="str">
            <v>의류</v>
          </cell>
          <cell r="E352" t="str">
            <v>1</v>
          </cell>
          <cell r="F352" t="str">
            <v>C</v>
          </cell>
          <cell r="G352">
            <v>1</v>
          </cell>
          <cell r="H352">
            <v>36305500</v>
          </cell>
          <cell r="I352">
            <v>7</v>
          </cell>
          <cell r="J352">
            <v>1743000</v>
          </cell>
          <cell r="K352">
            <v>3486000</v>
          </cell>
          <cell r="N352" t="str">
            <v>PNYC101</v>
          </cell>
          <cell r="O352">
            <v>39</v>
          </cell>
          <cell r="Q352">
            <v>498000</v>
          </cell>
          <cell r="U352">
            <v>500</v>
          </cell>
          <cell r="AJ352">
            <v>206</v>
          </cell>
          <cell r="AK352">
            <v>50192500</v>
          </cell>
          <cell r="AN352">
            <v>249000000</v>
          </cell>
          <cell r="AO352">
            <v>102588000</v>
          </cell>
        </row>
        <row r="353">
          <cell r="A353" t="str">
            <v>Y</v>
          </cell>
          <cell r="B353" t="str">
            <v>I</v>
          </cell>
          <cell r="C353" t="str">
            <v>의류</v>
          </cell>
          <cell r="E353" t="str">
            <v>2</v>
          </cell>
          <cell r="F353" t="str">
            <v>8</v>
          </cell>
          <cell r="G353">
            <v>1</v>
          </cell>
          <cell r="H353">
            <v>6027671</v>
          </cell>
          <cell r="I353">
            <v>18</v>
          </cell>
          <cell r="J353">
            <v>1212000</v>
          </cell>
          <cell r="K353">
            <v>2484000</v>
          </cell>
          <cell r="N353" t="str">
            <v>ITY8201</v>
          </cell>
          <cell r="O353">
            <v>73</v>
          </cell>
          <cell r="Q353">
            <v>138000</v>
          </cell>
          <cell r="U353">
            <v>403</v>
          </cell>
          <cell r="AJ353">
            <v>167</v>
          </cell>
          <cell r="AK353">
            <v>11396100</v>
          </cell>
          <cell r="AN353">
            <v>55614000</v>
          </cell>
          <cell r="AO353">
            <v>23046000</v>
          </cell>
        </row>
        <row r="354">
          <cell r="A354" t="str">
            <v>Y</v>
          </cell>
          <cell r="B354" t="str">
            <v>P</v>
          </cell>
          <cell r="C354" t="str">
            <v>의류</v>
          </cell>
          <cell r="E354" t="str">
            <v>1</v>
          </cell>
          <cell r="F354" t="str">
            <v>8</v>
          </cell>
          <cell r="G354">
            <v>0</v>
          </cell>
          <cell r="H354">
            <v>17989884</v>
          </cell>
          <cell r="I354">
            <v>26</v>
          </cell>
          <cell r="J354">
            <v>2314000</v>
          </cell>
          <cell r="K354">
            <v>6188000</v>
          </cell>
          <cell r="N354" t="str">
            <v>PTY8101</v>
          </cell>
          <cell r="O354">
            <v>73</v>
          </cell>
          <cell r="Q354">
            <v>238000</v>
          </cell>
          <cell r="U354">
            <v>627</v>
          </cell>
          <cell r="AJ354">
            <v>260</v>
          </cell>
          <cell r="AK354">
            <v>24997100</v>
          </cell>
          <cell r="AN354">
            <v>149226000</v>
          </cell>
          <cell r="AO354">
            <v>61880000</v>
          </cell>
        </row>
        <row r="355">
          <cell r="A355" t="str">
            <v>Y</v>
          </cell>
          <cell r="B355" t="str">
            <v>P</v>
          </cell>
          <cell r="C355" t="str">
            <v>의류</v>
          </cell>
          <cell r="E355" t="str">
            <v>1</v>
          </cell>
          <cell r="F355" t="str">
            <v>1</v>
          </cell>
          <cell r="G355">
            <v>1</v>
          </cell>
          <cell r="H355">
            <v>12425232</v>
          </cell>
          <cell r="I355">
            <v>4</v>
          </cell>
          <cell r="J355">
            <v>316000</v>
          </cell>
          <cell r="K355">
            <v>632000</v>
          </cell>
          <cell r="N355" t="str">
            <v>PTY1101</v>
          </cell>
          <cell r="O355">
            <v>73</v>
          </cell>
          <cell r="Q355">
            <v>158000</v>
          </cell>
          <cell r="U355">
            <v>816</v>
          </cell>
          <cell r="AJ355">
            <v>341</v>
          </cell>
          <cell r="AK355">
            <v>26203850</v>
          </cell>
          <cell r="AN355">
            <v>128928000</v>
          </cell>
          <cell r="AO355">
            <v>53878000</v>
          </cell>
        </row>
        <row r="356">
          <cell r="A356" t="str">
            <v>Y</v>
          </cell>
          <cell r="B356" t="str">
            <v>I</v>
          </cell>
          <cell r="C356" t="str">
            <v>의류</v>
          </cell>
          <cell r="E356" t="str">
            <v>1</v>
          </cell>
          <cell r="F356" t="str">
            <v>7</v>
          </cell>
          <cell r="G356">
            <v>1</v>
          </cell>
          <cell r="H356">
            <v>27083745</v>
          </cell>
          <cell r="I356">
            <v>15</v>
          </cell>
          <cell r="J356">
            <v>1485000</v>
          </cell>
          <cell r="K356">
            <v>2970000</v>
          </cell>
          <cell r="N356" t="str">
            <v>ITY7103</v>
          </cell>
          <cell r="O356">
            <v>49</v>
          </cell>
          <cell r="Q356">
            <v>198000</v>
          </cell>
          <cell r="U356">
            <v>1005</v>
          </cell>
          <cell r="AJ356">
            <v>423</v>
          </cell>
          <cell r="AK356">
            <v>41017940</v>
          </cell>
          <cell r="AN356">
            <v>198990000</v>
          </cell>
          <cell r="AO356">
            <v>83754000</v>
          </cell>
        </row>
        <row r="357">
          <cell r="A357" t="str">
            <v>Y</v>
          </cell>
          <cell r="B357" t="str">
            <v>P</v>
          </cell>
          <cell r="C357" t="str">
            <v>의류</v>
          </cell>
          <cell r="E357" t="str">
            <v>2</v>
          </cell>
          <cell r="F357" t="str">
            <v>1</v>
          </cell>
          <cell r="G357">
            <v>0</v>
          </cell>
          <cell r="H357">
            <v>13314510</v>
          </cell>
          <cell r="I357">
            <v>31</v>
          </cell>
          <cell r="J357">
            <v>2139000</v>
          </cell>
          <cell r="K357">
            <v>4278000</v>
          </cell>
          <cell r="N357" t="str">
            <v>P0Y1217</v>
          </cell>
          <cell r="O357">
            <v>73</v>
          </cell>
          <cell r="Q357">
            <v>138000</v>
          </cell>
          <cell r="U357">
            <v>990</v>
          </cell>
          <cell r="AJ357">
            <v>417</v>
          </cell>
          <cell r="AK357">
            <v>27189200</v>
          </cell>
          <cell r="AN357">
            <v>136620000</v>
          </cell>
          <cell r="AO357">
            <v>57546000</v>
          </cell>
        </row>
        <row r="358">
          <cell r="A358" t="str">
            <v>Y</v>
          </cell>
          <cell r="B358" t="str">
            <v>P</v>
          </cell>
          <cell r="C358" t="str">
            <v>의류</v>
          </cell>
          <cell r="E358" t="str">
            <v>2</v>
          </cell>
          <cell r="F358" t="str">
            <v>V</v>
          </cell>
          <cell r="G358">
            <v>1</v>
          </cell>
          <cell r="H358">
            <v>6979061</v>
          </cell>
          <cell r="I358">
            <v>11</v>
          </cell>
          <cell r="J358">
            <v>1309000</v>
          </cell>
          <cell r="K358">
            <v>2618000</v>
          </cell>
          <cell r="N358" t="str">
            <v>P0YV203</v>
          </cell>
          <cell r="O358">
            <v>54</v>
          </cell>
          <cell r="Q358">
            <v>238000</v>
          </cell>
          <cell r="U358">
            <v>289</v>
          </cell>
          <cell r="AJ358">
            <v>123</v>
          </cell>
          <cell r="AK358">
            <v>14459900</v>
          </cell>
          <cell r="AN358">
            <v>68782000</v>
          </cell>
          <cell r="AO358">
            <v>29274000</v>
          </cell>
        </row>
        <row r="359">
          <cell r="A359" t="str">
            <v>Y</v>
          </cell>
          <cell r="B359" t="str">
            <v>I</v>
          </cell>
          <cell r="C359" t="str">
            <v>의류</v>
          </cell>
          <cell r="E359" t="str">
            <v>2</v>
          </cell>
          <cell r="F359" t="str">
            <v>8</v>
          </cell>
          <cell r="G359">
            <v>1</v>
          </cell>
          <cell r="H359">
            <v>8949990</v>
          </cell>
          <cell r="I359">
            <v>23</v>
          </cell>
          <cell r="J359">
            <v>1787000</v>
          </cell>
          <cell r="K359">
            <v>3634000</v>
          </cell>
          <cell r="N359" t="str">
            <v>ITY8205</v>
          </cell>
          <cell r="O359">
            <v>73</v>
          </cell>
          <cell r="Q359">
            <v>158000</v>
          </cell>
          <cell r="U359">
            <v>654</v>
          </cell>
          <cell r="AJ359">
            <v>280</v>
          </cell>
          <cell r="AK359">
            <v>21655700</v>
          </cell>
          <cell r="AN359">
            <v>103332000</v>
          </cell>
          <cell r="AO359">
            <v>44240000</v>
          </cell>
        </row>
        <row r="360">
          <cell r="A360" t="str">
            <v>Y</v>
          </cell>
          <cell r="B360" t="str">
            <v>P</v>
          </cell>
          <cell r="C360" t="str">
            <v>의류</v>
          </cell>
          <cell r="E360" t="str">
            <v>1</v>
          </cell>
          <cell r="F360" t="str">
            <v>7</v>
          </cell>
          <cell r="G360">
            <v>0</v>
          </cell>
          <cell r="H360">
            <v>22699387</v>
          </cell>
          <cell r="I360">
            <v>4</v>
          </cell>
          <cell r="J360">
            <v>426000</v>
          </cell>
          <cell r="K360">
            <v>952000</v>
          </cell>
          <cell r="N360" t="str">
            <v>PNY7102</v>
          </cell>
          <cell r="O360">
            <v>39</v>
          </cell>
          <cell r="Q360">
            <v>238000</v>
          </cell>
          <cell r="U360">
            <v>911</v>
          </cell>
          <cell r="AJ360">
            <v>391</v>
          </cell>
          <cell r="AK360">
            <v>45750370</v>
          </cell>
          <cell r="AN360">
            <v>216818000</v>
          </cell>
          <cell r="AO360">
            <v>93058000</v>
          </cell>
        </row>
        <row r="361">
          <cell r="A361" t="str">
            <v>Y</v>
          </cell>
          <cell r="B361" t="str">
            <v>P</v>
          </cell>
          <cell r="C361" t="str">
            <v>의류</v>
          </cell>
          <cell r="E361" t="str">
            <v>2</v>
          </cell>
          <cell r="F361" t="str">
            <v>8</v>
          </cell>
          <cell r="G361">
            <v>1</v>
          </cell>
          <cell r="H361">
            <v>20326004</v>
          </cell>
          <cell r="I361">
            <v>18</v>
          </cell>
          <cell r="J361">
            <v>1752000</v>
          </cell>
          <cell r="K361">
            <v>3564000</v>
          </cell>
          <cell r="N361" t="str">
            <v>PTY8201</v>
          </cell>
          <cell r="O361">
            <v>73</v>
          </cell>
          <cell r="Q361">
            <v>198000</v>
          </cell>
          <cell r="U361">
            <v>892</v>
          </cell>
          <cell r="AJ361">
            <v>383</v>
          </cell>
          <cell r="AK361">
            <v>37444050</v>
          </cell>
          <cell r="AN361">
            <v>176616000</v>
          </cell>
          <cell r="AO361">
            <v>75834000</v>
          </cell>
        </row>
        <row r="362">
          <cell r="A362" t="str">
            <v>Y</v>
          </cell>
          <cell r="B362" t="str">
            <v>P</v>
          </cell>
          <cell r="C362" t="str">
            <v>의류</v>
          </cell>
          <cell r="E362" t="str">
            <v>1</v>
          </cell>
          <cell r="F362" t="str">
            <v>T</v>
          </cell>
          <cell r="G362">
            <v>0</v>
          </cell>
          <cell r="H362">
            <v>26909841</v>
          </cell>
          <cell r="I362">
            <v>0</v>
          </cell>
          <cell r="J362">
            <v>0</v>
          </cell>
          <cell r="K362">
            <v>0</v>
          </cell>
          <cell r="N362" t="str">
            <v>P0YT101</v>
          </cell>
          <cell r="O362">
            <v>49</v>
          </cell>
          <cell r="Q362">
            <v>398000</v>
          </cell>
          <cell r="U362">
            <v>587</v>
          </cell>
          <cell r="AJ362">
            <v>253</v>
          </cell>
          <cell r="AK362">
            <v>49878300</v>
          </cell>
          <cell r="AN362">
            <v>233626000</v>
          </cell>
          <cell r="AO362">
            <v>100694000</v>
          </cell>
        </row>
        <row r="363">
          <cell r="A363" t="str">
            <v>Y</v>
          </cell>
          <cell r="B363" t="str">
            <v>P</v>
          </cell>
          <cell r="C363" t="str">
            <v>의류</v>
          </cell>
          <cell r="E363" t="str">
            <v>1</v>
          </cell>
          <cell r="F363" t="str">
            <v>1</v>
          </cell>
          <cell r="G363">
            <v>0</v>
          </cell>
          <cell r="H363">
            <v>7210014</v>
          </cell>
          <cell r="I363">
            <v>1</v>
          </cell>
          <cell r="J363">
            <v>39000</v>
          </cell>
          <cell r="K363">
            <v>78000</v>
          </cell>
          <cell r="N363" t="str">
            <v>P0Y1101</v>
          </cell>
          <cell r="O363">
            <v>73</v>
          </cell>
          <cell r="Q363">
            <v>78000</v>
          </cell>
          <cell r="U363">
            <v>574</v>
          </cell>
          <cell r="AJ363">
            <v>248</v>
          </cell>
          <cell r="AK363">
            <v>9465750</v>
          </cell>
          <cell r="AN363">
            <v>44772000</v>
          </cell>
          <cell r="AO363">
            <v>19344000</v>
          </cell>
        </row>
        <row r="364">
          <cell r="A364" t="str">
            <v>Y</v>
          </cell>
          <cell r="B364" t="str">
            <v>I</v>
          </cell>
          <cell r="C364" t="str">
            <v>의류</v>
          </cell>
          <cell r="E364" t="str">
            <v>2</v>
          </cell>
          <cell r="F364" t="str">
            <v>6</v>
          </cell>
          <cell r="G364">
            <v>0</v>
          </cell>
          <cell r="H364">
            <v>34641921</v>
          </cell>
          <cell r="I364">
            <v>26</v>
          </cell>
          <cell r="J364">
            <v>3614000</v>
          </cell>
          <cell r="K364">
            <v>7228000</v>
          </cell>
          <cell r="N364" t="str">
            <v>ITY6201</v>
          </cell>
          <cell r="O364">
            <v>38</v>
          </cell>
          <cell r="Q364">
            <v>278000</v>
          </cell>
          <cell r="U364">
            <v>1103</v>
          </cell>
          <cell r="AJ364">
            <v>482</v>
          </cell>
          <cell r="AK364">
            <v>65834830</v>
          </cell>
          <cell r="AN364">
            <v>306634000</v>
          </cell>
          <cell r="AO364">
            <v>133996000</v>
          </cell>
        </row>
        <row r="365">
          <cell r="A365" t="str">
            <v>Y</v>
          </cell>
          <cell r="B365" t="str">
            <v>P</v>
          </cell>
          <cell r="C365" t="str">
            <v>의류</v>
          </cell>
          <cell r="E365" t="str">
            <v>2</v>
          </cell>
          <cell r="F365" t="str">
            <v>V</v>
          </cell>
          <cell r="G365">
            <v>0</v>
          </cell>
          <cell r="H365">
            <v>9618432</v>
          </cell>
          <cell r="I365">
            <v>11</v>
          </cell>
          <cell r="J365">
            <v>1309000</v>
          </cell>
          <cell r="K365">
            <v>2618000</v>
          </cell>
          <cell r="N365" t="str">
            <v>P0YV202</v>
          </cell>
          <cell r="O365">
            <v>31</v>
          </cell>
          <cell r="Q365">
            <v>238000</v>
          </cell>
          <cell r="U365">
            <v>384</v>
          </cell>
          <cell r="AJ365">
            <v>169</v>
          </cell>
          <cell r="AK365">
            <v>20001000</v>
          </cell>
          <cell r="AN365">
            <v>91392000</v>
          </cell>
          <cell r="AO365">
            <v>40222000</v>
          </cell>
        </row>
        <row r="366">
          <cell r="A366" t="str">
            <v>Y</v>
          </cell>
          <cell r="B366" t="str">
            <v>P</v>
          </cell>
          <cell r="C366" t="str">
            <v>의류</v>
          </cell>
          <cell r="E366" t="str">
            <v>2</v>
          </cell>
          <cell r="F366" t="str">
            <v>1</v>
          </cell>
          <cell r="G366">
            <v>0</v>
          </cell>
          <cell r="H366">
            <v>6775104</v>
          </cell>
          <cell r="I366">
            <v>17</v>
          </cell>
          <cell r="J366">
            <v>923000</v>
          </cell>
          <cell r="K366">
            <v>2006000</v>
          </cell>
          <cell r="N366" t="str">
            <v>P0Y1223</v>
          </cell>
          <cell r="O366">
            <v>49</v>
          </cell>
          <cell r="Q366">
            <v>118000</v>
          </cell>
          <cell r="U366">
            <v>497</v>
          </cell>
          <cell r="AJ366">
            <v>219</v>
          </cell>
          <cell r="AK366">
            <v>12231000</v>
          </cell>
          <cell r="AN366">
            <v>58646000</v>
          </cell>
          <cell r="AO366">
            <v>25842000</v>
          </cell>
        </row>
        <row r="367">
          <cell r="A367" t="str">
            <v>Y</v>
          </cell>
          <cell r="B367" t="str">
            <v>I</v>
          </cell>
          <cell r="C367" t="str">
            <v>의류</v>
          </cell>
          <cell r="E367" t="str">
            <v>2</v>
          </cell>
          <cell r="F367" t="str">
            <v>9</v>
          </cell>
          <cell r="G367">
            <v>1</v>
          </cell>
          <cell r="H367">
            <v>24010014</v>
          </cell>
          <cell r="I367">
            <v>48</v>
          </cell>
          <cell r="J367">
            <v>8490400</v>
          </cell>
          <cell r="K367">
            <v>17184000</v>
          </cell>
          <cell r="N367" t="str">
            <v>ITY9204</v>
          </cell>
          <cell r="O367">
            <v>49</v>
          </cell>
          <cell r="Q367">
            <v>358000</v>
          </cell>
          <cell r="U367">
            <v>678</v>
          </cell>
          <cell r="AJ367">
            <v>299</v>
          </cell>
          <cell r="AK367">
            <v>52559200</v>
          </cell>
          <cell r="AN367">
            <v>242724000</v>
          </cell>
          <cell r="AO367">
            <v>107042000</v>
          </cell>
        </row>
        <row r="368">
          <cell r="A368" t="str">
            <v>Y</v>
          </cell>
          <cell r="B368" t="str">
            <v>P</v>
          </cell>
          <cell r="C368" t="str">
            <v>의류</v>
          </cell>
          <cell r="E368" t="str">
            <v>2</v>
          </cell>
          <cell r="F368" t="str">
            <v>7</v>
          </cell>
          <cell r="G368">
            <v>1</v>
          </cell>
          <cell r="H368">
            <v>10659276</v>
          </cell>
          <cell r="I368">
            <v>27</v>
          </cell>
          <cell r="J368">
            <v>2403000</v>
          </cell>
          <cell r="K368">
            <v>4806000</v>
          </cell>
          <cell r="N368" t="str">
            <v>P0Y7202</v>
          </cell>
          <cell r="O368">
            <v>31</v>
          </cell>
          <cell r="Q368">
            <v>178000</v>
          </cell>
          <cell r="U368">
            <v>591</v>
          </cell>
          <cell r="AJ368">
            <v>262</v>
          </cell>
          <cell r="AK368">
            <v>22475900</v>
          </cell>
          <cell r="AN368">
            <v>105198000</v>
          </cell>
          <cell r="AO368">
            <v>46636000</v>
          </cell>
        </row>
        <row r="369">
          <cell r="A369" t="str">
            <v>Y</v>
          </cell>
          <cell r="B369" t="str">
            <v>P</v>
          </cell>
          <cell r="C369" t="str">
            <v>의류</v>
          </cell>
          <cell r="E369" t="str">
            <v>2</v>
          </cell>
          <cell r="F369" t="str">
            <v>7</v>
          </cell>
          <cell r="G369">
            <v>1</v>
          </cell>
          <cell r="H369">
            <v>18520320</v>
          </cell>
          <cell r="I369">
            <v>63</v>
          </cell>
          <cell r="J369">
            <v>5537000</v>
          </cell>
          <cell r="K369">
            <v>11214000</v>
          </cell>
          <cell r="N369" t="str">
            <v>P0Y7203</v>
          </cell>
          <cell r="O369">
            <v>37</v>
          </cell>
          <cell r="Q369">
            <v>178000</v>
          </cell>
          <cell r="U369">
            <v>1120</v>
          </cell>
          <cell r="AJ369">
            <v>506</v>
          </cell>
          <cell r="AK369">
            <v>43867800</v>
          </cell>
          <cell r="AN369">
            <v>199360000</v>
          </cell>
          <cell r="AO369">
            <v>90068000</v>
          </cell>
        </row>
        <row r="370">
          <cell r="A370" t="str">
            <v>Y</v>
          </cell>
          <cell r="B370" t="str">
            <v>I</v>
          </cell>
          <cell r="C370" t="str">
            <v>의류</v>
          </cell>
          <cell r="E370" t="str">
            <v>2</v>
          </cell>
          <cell r="F370" t="str">
            <v>7</v>
          </cell>
          <cell r="G370">
            <v>0</v>
          </cell>
          <cell r="H370">
            <v>21708060</v>
          </cell>
          <cell r="I370">
            <v>91</v>
          </cell>
          <cell r="J370">
            <v>5369000</v>
          </cell>
          <cell r="K370">
            <v>10738000</v>
          </cell>
          <cell r="N370" t="str">
            <v>I0Y7207</v>
          </cell>
          <cell r="O370">
            <v>43</v>
          </cell>
          <cell r="Q370">
            <v>118000</v>
          </cell>
          <cell r="U370">
            <v>1705</v>
          </cell>
          <cell r="AJ370">
            <v>773</v>
          </cell>
          <cell r="AK370">
            <v>44835570</v>
          </cell>
          <cell r="AN370">
            <v>201190000</v>
          </cell>
          <cell r="AO370">
            <v>91214000</v>
          </cell>
        </row>
        <row r="371">
          <cell r="A371" t="str">
            <v>Y</v>
          </cell>
          <cell r="B371" t="str">
            <v>P</v>
          </cell>
          <cell r="C371" t="str">
            <v>의류</v>
          </cell>
          <cell r="E371" t="str">
            <v>2</v>
          </cell>
          <cell r="F371" t="str">
            <v>8</v>
          </cell>
          <cell r="G371">
            <v>0</v>
          </cell>
          <cell r="H371">
            <v>10492000</v>
          </cell>
          <cell r="I371">
            <v>39</v>
          </cell>
          <cell r="J371">
            <v>3391000</v>
          </cell>
          <cell r="K371">
            <v>6942000</v>
          </cell>
          <cell r="N371" t="str">
            <v>PTY8202</v>
          </cell>
          <cell r="O371">
            <v>49</v>
          </cell>
          <cell r="Q371">
            <v>178000</v>
          </cell>
          <cell r="U371">
            <v>688</v>
          </cell>
          <cell r="AJ371">
            <v>312</v>
          </cell>
          <cell r="AK371">
            <v>26723200</v>
          </cell>
          <cell r="AN371">
            <v>122464000</v>
          </cell>
          <cell r="AO371">
            <v>55536000</v>
          </cell>
        </row>
        <row r="372">
          <cell r="A372" t="str">
            <v>Y</v>
          </cell>
          <cell r="B372" t="str">
            <v>P</v>
          </cell>
          <cell r="C372" t="str">
            <v>의류</v>
          </cell>
          <cell r="E372" t="str">
            <v>2</v>
          </cell>
          <cell r="F372" t="str">
            <v>1</v>
          </cell>
          <cell r="G372">
            <v>1</v>
          </cell>
          <cell r="H372">
            <v>9351072</v>
          </cell>
          <cell r="I372">
            <v>23</v>
          </cell>
          <cell r="J372">
            <v>1537000</v>
          </cell>
          <cell r="K372">
            <v>3174000</v>
          </cell>
          <cell r="N372" t="str">
            <v>P0Y1213</v>
          </cell>
          <cell r="O372">
            <v>49</v>
          </cell>
          <cell r="Q372">
            <v>138000</v>
          </cell>
          <cell r="U372">
            <v>632</v>
          </cell>
          <cell r="AJ372">
            <v>288</v>
          </cell>
          <cell r="AK372">
            <v>19472600</v>
          </cell>
          <cell r="AN372">
            <v>87216000</v>
          </cell>
          <cell r="AO372">
            <v>39744000</v>
          </cell>
        </row>
        <row r="373">
          <cell r="A373" t="str">
            <v>Y</v>
          </cell>
          <cell r="B373" t="str">
            <v>I</v>
          </cell>
          <cell r="C373" t="str">
            <v>의류</v>
          </cell>
          <cell r="E373" t="str">
            <v>1</v>
          </cell>
          <cell r="F373" t="str">
            <v>1</v>
          </cell>
          <cell r="G373">
            <v>0</v>
          </cell>
          <cell r="H373">
            <v>10439292</v>
          </cell>
          <cell r="I373">
            <v>-2</v>
          </cell>
          <cell r="J373">
            <v>-78000</v>
          </cell>
          <cell r="K373">
            <v>-156000</v>
          </cell>
          <cell r="N373" t="str">
            <v>I0Y1101</v>
          </cell>
          <cell r="O373">
            <v>49</v>
          </cell>
          <cell r="Q373">
            <v>78000</v>
          </cell>
          <cell r="U373">
            <v>701</v>
          </cell>
          <cell r="AJ373">
            <v>323</v>
          </cell>
          <cell r="AK373">
            <v>12454150</v>
          </cell>
          <cell r="AN373">
            <v>54678000</v>
          </cell>
          <cell r="AO373">
            <v>25194000</v>
          </cell>
        </row>
        <row r="374">
          <cell r="A374" t="str">
            <v>Y</v>
          </cell>
          <cell r="B374" t="str">
            <v>P</v>
          </cell>
          <cell r="C374" t="str">
            <v>의류</v>
          </cell>
          <cell r="E374" t="str">
            <v>2</v>
          </cell>
          <cell r="F374" t="str">
            <v>1</v>
          </cell>
          <cell r="G374">
            <v>0</v>
          </cell>
          <cell r="H374">
            <v>9303874</v>
          </cell>
          <cell r="I374">
            <v>29</v>
          </cell>
          <cell r="J374">
            <v>2291000</v>
          </cell>
          <cell r="K374">
            <v>4582000</v>
          </cell>
          <cell r="N374" t="str">
            <v>P0Y1214</v>
          </cell>
          <cell r="O374">
            <v>31</v>
          </cell>
          <cell r="Q374">
            <v>158000</v>
          </cell>
          <cell r="U374">
            <v>571</v>
          </cell>
          <cell r="AJ374">
            <v>264</v>
          </cell>
          <cell r="AK374">
            <v>20574550</v>
          </cell>
          <cell r="AN374">
            <v>90218000</v>
          </cell>
          <cell r="AO374">
            <v>41712000</v>
          </cell>
        </row>
        <row r="375">
          <cell r="A375" t="str">
            <v>Y</v>
          </cell>
          <cell r="B375" t="str">
            <v>I</v>
          </cell>
          <cell r="C375" t="str">
            <v>의류</v>
          </cell>
          <cell r="E375" t="str">
            <v>1</v>
          </cell>
          <cell r="F375" t="str">
            <v>6</v>
          </cell>
          <cell r="G375">
            <v>0</v>
          </cell>
          <cell r="H375">
            <v>13390400</v>
          </cell>
          <cell r="I375">
            <v>0</v>
          </cell>
          <cell r="J375">
            <v>0</v>
          </cell>
          <cell r="K375">
            <v>0</v>
          </cell>
          <cell r="N375" t="str">
            <v>I0Y6103</v>
          </cell>
          <cell r="O375">
            <v>22</v>
          </cell>
          <cell r="Q375">
            <v>298000</v>
          </cell>
          <cell r="U375">
            <v>400</v>
          </cell>
          <cell r="AJ375">
            <v>185</v>
          </cell>
          <cell r="AK375">
            <v>26934990</v>
          </cell>
          <cell r="AN375">
            <v>119200000</v>
          </cell>
          <cell r="AO375">
            <v>55130000</v>
          </cell>
        </row>
        <row r="376">
          <cell r="A376" t="str">
            <v>Y</v>
          </cell>
          <cell r="B376" t="str">
            <v>P</v>
          </cell>
          <cell r="C376" t="str">
            <v>의류</v>
          </cell>
          <cell r="E376" t="str">
            <v>2</v>
          </cell>
          <cell r="F376" t="str">
            <v>6</v>
          </cell>
          <cell r="G376">
            <v>1</v>
          </cell>
          <cell r="H376">
            <v>48418505</v>
          </cell>
          <cell r="I376">
            <v>16</v>
          </cell>
          <cell r="J376">
            <v>2076900</v>
          </cell>
          <cell r="K376">
            <v>4128000</v>
          </cell>
          <cell r="N376" t="str">
            <v>P0Y6201</v>
          </cell>
          <cell r="O376">
            <v>49</v>
          </cell>
          <cell r="Q376">
            <v>258000</v>
          </cell>
          <cell r="U376">
            <v>1535</v>
          </cell>
          <cell r="AJ376">
            <v>715</v>
          </cell>
          <cell r="AK376">
            <v>88476230</v>
          </cell>
          <cell r="AN376">
            <v>396030000</v>
          </cell>
          <cell r="AO376">
            <v>184470000</v>
          </cell>
        </row>
        <row r="377">
          <cell r="A377" t="str">
            <v>Y</v>
          </cell>
          <cell r="B377" t="str">
            <v>I</v>
          </cell>
          <cell r="C377" t="str">
            <v>의류</v>
          </cell>
          <cell r="E377" t="str">
            <v>1</v>
          </cell>
          <cell r="F377" t="str">
            <v>1</v>
          </cell>
          <cell r="G377">
            <v>0</v>
          </cell>
          <cell r="H377">
            <v>6673674</v>
          </cell>
          <cell r="I377">
            <v>10</v>
          </cell>
          <cell r="J377">
            <v>690000</v>
          </cell>
          <cell r="K377">
            <v>1380000</v>
          </cell>
          <cell r="N377" t="str">
            <v>INY1101</v>
          </cell>
          <cell r="O377">
            <v>31</v>
          </cell>
          <cell r="Q377">
            <v>138000</v>
          </cell>
          <cell r="U377">
            <v>399</v>
          </cell>
          <cell r="AJ377">
            <v>186</v>
          </cell>
          <cell r="AK377">
            <v>12591500</v>
          </cell>
          <cell r="AN377">
            <v>55062000</v>
          </cell>
          <cell r="AO377">
            <v>25668000</v>
          </cell>
        </row>
        <row r="378">
          <cell r="A378" t="str">
            <v>Y</v>
          </cell>
          <cell r="B378" t="str">
            <v>I</v>
          </cell>
          <cell r="C378" t="str">
            <v>의류</v>
          </cell>
          <cell r="E378" t="str">
            <v>1</v>
          </cell>
          <cell r="F378" t="str">
            <v>6</v>
          </cell>
          <cell r="G378">
            <v>1</v>
          </cell>
          <cell r="H378">
            <v>25678765</v>
          </cell>
          <cell r="I378">
            <v>3</v>
          </cell>
          <cell r="J378">
            <v>447000</v>
          </cell>
          <cell r="K378">
            <v>894000</v>
          </cell>
          <cell r="N378" t="str">
            <v>I0Y6102</v>
          </cell>
          <cell r="O378">
            <v>49</v>
          </cell>
          <cell r="Q378">
            <v>298000</v>
          </cell>
          <cell r="U378">
            <v>763</v>
          </cell>
          <cell r="AJ378">
            <v>358</v>
          </cell>
          <cell r="AK378">
            <v>51945910</v>
          </cell>
          <cell r="AN378">
            <v>227374000</v>
          </cell>
          <cell r="AO378">
            <v>106684000</v>
          </cell>
        </row>
        <row r="379">
          <cell r="A379" t="str">
            <v>Y</v>
          </cell>
          <cell r="B379" t="str">
            <v>I</v>
          </cell>
          <cell r="C379" t="str">
            <v>의류</v>
          </cell>
          <cell r="E379" t="str">
            <v>1</v>
          </cell>
          <cell r="F379" t="str">
            <v>1</v>
          </cell>
          <cell r="G379">
            <v>1</v>
          </cell>
          <cell r="H379">
            <v>9509475</v>
          </cell>
          <cell r="I379">
            <v>-1</v>
          </cell>
          <cell r="J379">
            <v>-79000</v>
          </cell>
          <cell r="K379">
            <v>-158000</v>
          </cell>
          <cell r="N379" t="str">
            <v>I0Y1102</v>
          </cell>
          <cell r="O379">
            <v>76</v>
          </cell>
          <cell r="Q379">
            <v>158000</v>
          </cell>
          <cell r="U379">
            <v>515</v>
          </cell>
          <cell r="AJ379">
            <v>242</v>
          </cell>
          <cell r="AK379">
            <v>18813200</v>
          </cell>
          <cell r="AN379">
            <v>81370000</v>
          </cell>
          <cell r="AO379">
            <v>38236000</v>
          </cell>
        </row>
        <row r="380">
          <cell r="A380" t="str">
            <v>Y</v>
          </cell>
          <cell r="B380" t="str">
            <v>I</v>
          </cell>
          <cell r="C380" t="str">
            <v>의류</v>
          </cell>
          <cell r="E380" t="str">
            <v>2</v>
          </cell>
          <cell r="F380" t="str">
            <v>9</v>
          </cell>
          <cell r="G380">
            <v>0</v>
          </cell>
          <cell r="H380">
            <v>16277274</v>
          </cell>
          <cell r="I380">
            <v>7</v>
          </cell>
          <cell r="J380">
            <v>1323000</v>
          </cell>
          <cell r="K380">
            <v>2646000</v>
          </cell>
          <cell r="N380" t="str">
            <v>ITY9206</v>
          </cell>
          <cell r="O380">
            <v>34</v>
          </cell>
          <cell r="Q380">
            <v>378000</v>
          </cell>
          <cell r="U380">
            <v>351</v>
          </cell>
          <cell r="AJ380">
            <v>165</v>
          </cell>
          <cell r="AK380">
            <v>30697000</v>
          </cell>
          <cell r="AN380">
            <v>132678000</v>
          </cell>
          <cell r="AO380">
            <v>62370000</v>
          </cell>
        </row>
        <row r="381">
          <cell r="A381" t="str">
            <v>Y</v>
          </cell>
          <cell r="B381" t="str">
            <v>I</v>
          </cell>
          <cell r="C381" t="str">
            <v>의류</v>
          </cell>
          <cell r="E381" t="str">
            <v>2</v>
          </cell>
          <cell r="F381" t="str">
            <v>1</v>
          </cell>
          <cell r="G381">
            <v>0</v>
          </cell>
          <cell r="H381">
            <v>6294543</v>
          </cell>
          <cell r="I381">
            <v>37</v>
          </cell>
          <cell r="J381">
            <v>1423000</v>
          </cell>
          <cell r="K381">
            <v>2886000</v>
          </cell>
          <cell r="N381" t="str">
            <v>I0Y1201</v>
          </cell>
          <cell r="O381">
            <v>22</v>
          </cell>
          <cell r="Q381">
            <v>78000</v>
          </cell>
          <cell r="U381">
            <v>717</v>
          </cell>
          <cell r="AJ381">
            <v>345</v>
          </cell>
          <cell r="AK381">
            <v>13266300</v>
          </cell>
          <cell r="AN381">
            <v>55926000</v>
          </cell>
          <cell r="AO381">
            <v>26910000</v>
          </cell>
        </row>
        <row r="382">
          <cell r="A382" t="str">
            <v>Y</v>
          </cell>
          <cell r="B382" t="str">
            <v>P</v>
          </cell>
          <cell r="C382" t="str">
            <v>의류</v>
          </cell>
          <cell r="E382" t="str">
            <v>2</v>
          </cell>
          <cell r="F382" t="str">
            <v>8</v>
          </cell>
          <cell r="G382">
            <v>0</v>
          </cell>
          <cell r="H382">
            <v>15950900</v>
          </cell>
          <cell r="I382">
            <v>18</v>
          </cell>
          <cell r="J382">
            <v>1752000</v>
          </cell>
          <cell r="K382">
            <v>3564000</v>
          </cell>
          <cell r="N382" t="str">
            <v>PTY8201</v>
          </cell>
          <cell r="O382">
            <v>49</v>
          </cell>
          <cell r="Q382">
            <v>198000</v>
          </cell>
          <cell r="U382">
            <v>700</v>
          </cell>
          <cell r="AJ382">
            <v>343</v>
          </cell>
          <cell r="AK382">
            <v>33437900</v>
          </cell>
          <cell r="AN382">
            <v>138600000</v>
          </cell>
          <cell r="AO382">
            <v>67914000</v>
          </cell>
        </row>
        <row r="383">
          <cell r="A383" t="str">
            <v>Y</v>
          </cell>
          <cell r="B383" t="str">
            <v>P</v>
          </cell>
          <cell r="C383" t="str">
            <v>의류</v>
          </cell>
          <cell r="E383" t="str">
            <v>1</v>
          </cell>
          <cell r="F383" t="str">
            <v>6</v>
          </cell>
          <cell r="G383">
            <v>0</v>
          </cell>
          <cell r="H383">
            <v>18397530</v>
          </cell>
          <cell r="I383">
            <v>2</v>
          </cell>
          <cell r="J383">
            <v>278000</v>
          </cell>
          <cell r="K383">
            <v>556000</v>
          </cell>
          <cell r="N383" t="str">
            <v>P0Y6101</v>
          </cell>
          <cell r="O383">
            <v>76</v>
          </cell>
          <cell r="Q383">
            <v>278000</v>
          </cell>
          <cell r="U383">
            <v>565</v>
          </cell>
          <cell r="AJ383">
            <v>286</v>
          </cell>
          <cell r="AK383">
            <v>38681700</v>
          </cell>
          <cell r="AN383">
            <v>157070000</v>
          </cell>
          <cell r="AO383">
            <v>79508000</v>
          </cell>
        </row>
        <row r="384">
          <cell r="A384" t="str">
            <v>Y</v>
          </cell>
          <cell r="B384" t="str">
            <v>I</v>
          </cell>
          <cell r="C384" t="str">
            <v>의류</v>
          </cell>
          <cell r="E384" t="str">
            <v>1</v>
          </cell>
          <cell r="F384" t="str">
            <v>1</v>
          </cell>
          <cell r="G384">
            <v>0</v>
          </cell>
          <cell r="H384">
            <v>13699980</v>
          </cell>
          <cell r="I384">
            <v>3</v>
          </cell>
          <cell r="J384">
            <v>177000</v>
          </cell>
          <cell r="K384">
            <v>354000</v>
          </cell>
          <cell r="N384" t="str">
            <v>ITY1101</v>
          </cell>
          <cell r="O384">
            <v>34</v>
          </cell>
          <cell r="Q384">
            <v>118000</v>
          </cell>
          <cell r="U384">
            <v>996</v>
          </cell>
          <cell r="AJ384">
            <v>508</v>
          </cell>
          <cell r="AK384">
            <v>28640100</v>
          </cell>
          <cell r="AN384">
            <v>117528000</v>
          </cell>
          <cell r="AO384">
            <v>59944000</v>
          </cell>
        </row>
        <row r="385">
          <cell r="A385" t="str">
            <v>Y</v>
          </cell>
          <cell r="B385" t="str">
            <v>P</v>
          </cell>
          <cell r="C385" t="str">
            <v>의류</v>
          </cell>
          <cell r="E385" t="str">
            <v>1</v>
          </cell>
          <cell r="F385" t="str">
            <v>6</v>
          </cell>
          <cell r="G385">
            <v>0</v>
          </cell>
          <cell r="H385">
            <v>8367513</v>
          </cell>
          <cell r="I385">
            <v>1</v>
          </cell>
          <cell r="J385">
            <v>149000</v>
          </cell>
          <cell r="K385">
            <v>298000</v>
          </cell>
          <cell r="N385" t="str">
            <v>PNY6101</v>
          </cell>
          <cell r="O385">
            <v>76</v>
          </cell>
          <cell r="Q385">
            <v>298000</v>
          </cell>
          <cell r="U385">
            <v>259</v>
          </cell>
          <cell r="AJ385">
            <v>133</v>
          </cell>
          <cell r="AK385">
            <v>19333900</v>
          </cell>
          <cell r="AN385">
            <v>77182000</v>
          </cell>
          <cell r="AO385">
            <v>39634000</v>
          </cell>
        </row>
        <row r="386">
          <cell r="A386" t="str">
            <v>Y</v>
          </cell>
          <cell r="B386" t="str">
            <v>P</v>
          </cell>
          <cell r="C386" t="str">
            <v>의류</v>
          </cell>
          <cell r="E386" t="str">
            <v>2</v>
          </cell>
          <cell r="F386" t="str">
            <v>7</v>
          </cell>
          <cell r="G386">
            <v>0</v>
          </cell>
          <cell r="H386">
            <v>12153960</v>
          </cell>
          <cell r="I386">
            <v>52</v>
          </cell>
          <cell r="J386">
            <v>4608000</v>
          </cell>
          <cell r="K386">
            <v>9256000</v>
          </cell>
          <cell r="N386" t="str">
            <v>P0Y7203</v>
          </cell>
          <cell r="O386">
            <v>49</v>
          </cell>
          <cell r="Q386">
            <v>178000</v>
          </cell>
          <cell r="U386">
            <v>735</v>
          </cell>
          <cell r="AJ386">
            <v>382</v>
          </cell>
          <cell r="AK386">
            <v>32986350</v>
          </cell>
          <cell r="AN386">
            <v>130830000</v>
          </cell>
          <cell r="AO386">
            <v>67996000</v>
          </cell>
        </row>
        <row r="387">
          <cell r="A387" t="str">
            <v>Y</v>
          </cell>
          <cell r="B387" t="str">
            <v>I</v>
          </cell>
          <cell r="C387" t="str">
            <v>의류</v>
          </cell>
          <cell r="E387" t="str">
            <v>1</v>
          </cell>
          <cell r="F387" t="str">
            <v>7</v>
          </cell>
          <cell r="G387">
            <v>0</v>
          </cell>
          <cell r="H387">
            <v>13860792</v>
          </cell>
          <cell r="I387">
            <v>6</v>
          </cell>
          <cell r="J387">
            <v>534000</v>
          </cell>
          <cell r="K387">
            <v>1068000</v>
          </cell>
          <cell r="N387" t="str">
            <v>I0Y7104</v>
          </cell>
          <cell r="O387">
            <v>49</v>
          </cell>
          <cell r="Q387">
            <v>178000</v>
          </cell>
          <cell r="U387">
            <v>792</v>
          </cell>
          <cell r="AJ387">
            <v>415</v>
          </cell>
          <cell r="AK387">
            <v>36228050</v>
          </cell>
          <cell r="AN387">
            <v>140976000</v>
          </cell>
          <cell r="AO387">
            <v>73870000</v>
          </cell>
        </row>
        <row r="388">
          <cell r="A388" t="str">
            <v>Y</v>
          </cell>
          <cell r="B388" t="str">
            <v>I</v>
          </cell>
          <cell r="C388" t="str">
            <v>의류</v>
          </cell>
          <cell r="E388" t="str">
            <v>1</v>
          </cell>
          <cell r="F388" t="str">
            <v>6</v>
          </cell>
          <cell r="G388">
            <v>0</v>
          </cell>
          <cell r="H388">
            <v>28882000</v>
          </cell>
          <cell r="I388">
            <v>3</v>
          </cell>
          <cell r="J388">
            <v>417000</v>
          </cell>
          <cell r="K388">
            <v>834000</v>
          </cell>
          <cell r="N388" t="str">
            <v>I0Y6101</v>
          </cell>
          <cell r="O388">
            <v>49</v>
          </cell>
          <cell r="Q388">
            <v>278000</v>
          </cell>
          <cell r="U388">
            <v>1000</v>
          </cell>
          <cell r="AJ388">
            <v>525</v>
          </cell>
          <cell r="AK388">
            <v>70930700</v>
          </cell>
          <cell r="AN388">
            <v>278000000</v>
          </cell>
          <cell r="AO388">
            <v>145950000</v>
          </cell>
        </row>
        <row r="389">
          <cell r="A389" t="str">
            <v>Y</v>
          </cell>
          <cell r="B389" t="str">
            <v>P</v>
          </cell>
          <cell r="C389" t="str">
            <v>의류</v>
          </cell>
          <cell r="E389" t="str">
            <v>1</v>
          </cell>
          <cell r="F389" t="str">
            <v>7</v>
          </cell>
          <cell r="G389">
            <v>1</v>
          </cell>
          <cell r="H389">
            <v>5267520</v>
          </cell>
          <cell r="I389">
            <v>-1</v>
          </cell>
          <cell r="J389">
            <v>-79000</v>
          </cell>
          <cell r="K389">
            <v>-158000</v>
          </cell>
          <cell r="N389" t="str">
            <v>P0Y7102</v>
          </cell>
          <cell r="O389">
            <v>27</v>
          </cell>
          <cell r="Q389">
            <v>158000</v>
          </cell>
          <cell r="U389">
            <v>295</v>
          </cell>
          <cell r="AJ389">
            <v>157</v>
          </cell>
          <cell r="AK389">
            <v>12037700</v>
          </cell>
          <cell r="AN389">
            <v>46610000</v>
          </cell>
          <cell r="AO389">
            <v>24806000</v>
          </cell>
        </row>
        <row r="390">
          <cell r="A390" t="str">
            <v>Y</v>
          </cell>
          <cell r="B390" t="str">
            <v>P</v>
          </cell>
          <cell r="C390" t="str">
            <v>의류</v>
          </cell>
          <cell r="E390" t="str">
            <v>1</v>
          </cell>
          <cell r="F390" t="str">
            <v>7</v>
          </cell>
          <cell r="G390">
            <v>0</v>
          </cell>
          <cell r="H390">
            <v>15294960</v>
          </cell>
          <cell r="I390">
            <v>24</v>
          </cell>
          <cell r="J390">
            <v>936000</v>
          </cell>
          <cell r="K390">
            <v>2832000</v>
          </cell>
          <cell r="N390" t="str">
            <v>PTY7101</v>
          </cell>
          <cell r="O390">
            <v>39</v>
          </cell>
          <cell r="Q390">
            <v>118000</v>
          </cell>
          <cell r="U390">
            <v>1164</v>
          </cell>
          <cell r="AJ390">
            <v>620</v>
          </cell>
          <cell r="AK390">
            <v>26891810</v>
          </cell>
          <cell r="AN390">
            <v>137352000</v>
          </cell>
          <cell r="AO390">
            <v>73160000</v>
          </cell>
        </row>
        <row r="391">
          <cell r="A391" t="str">
            <v>Y</v>
          </cell>
          <cell r="B391" t="str">
            <v>P</v>
          </cell>
          <cell r="C391" t="str">
            <v>의류</v>
          </cell>
          <cell r="E391" t="str">
            <v>1</v>
          </cell>
          <cell r="F391" t="str">
            <v>6</v>
          </cell>
          <cell r="G391">
            <v>0</v>
          </cell>
          <cell r="H391">
            <v>14066784</v>
          </cell>
          <cell r="I391">
            <v>3</v>
          </cell>
          <cell r="J391">
            <v>417000</v>
          </cell>
          <cell r="K391">
            <v>834000</v>
          </cell>
          <cell r="N391" t="str">
            <v>P0Y6101</v>
          </cell>
          <cell r="O391">
            <v>43</v>
          </cell>
          <cell r="Q391">
            <v>278000</v>
          </cell>
          <cell r="U391">
            <v>432</v>
          </cell>
          <cell r="AJ391">
            <v>232</v>
          </cell>
          <cell r="AK391">
            <v>31669840</v>
          </cell>
          <cell r="AN391">
            <v>120096000</v>
          </cell>
          <cell r="AO391">
            <v>64496000</v>
          </cell>
        </row>
        <row r="392">
          <cell r="A392" t="str">
            <v>Y</v>
          </cell>
          <cell r="B392" t="str">
            <v>P</v>
          </cell>
          <cell r="C392" t="str">
            <v>의류</v>
          </cell>
          <cell r="E392" t="str">
            <v>1</v>
          </cell>
          <cell r="F392" t="str">
            <v>1</v>
          </cell>
          <cell r="G392">
            <v>0</v>
          </cell>
          <cell r="H392">
            <v>12440459</v>
          </cell>
          <cell r="I392">
            <v>15</v>
          </cell>
          <cell r="J392">
            <v>1165000</v>
          </cell>
          <cell r="K392">
            <v>2370000</v>
          </cell>
          <cell r="N392" t="str">
            <v>PTY1101</v>
          </cell>
          <cell r="O392">
            <v>45</v>
          </cell>
          <cell r="Q392">
            <v>158000</v>
          </cell>
          <cell r="U392">
            <v>817</v>
          </cell>
          <cell r="AJ392">
            <v>440</v>
          </cell>
          <cell r="AK392">
            <v>33698100</v>
          </cell>
          <cell r="AN392">
            <v>129086000</v>
          </cell>
          <cell r="AO392">
            <v>69520000</v>
          </cell>
        </row>
        <row r="393">
          <cell r="A393" t="str">
            <v>Y</v>
          </cell>
          <cell r="B393" t="str">
            <v>I</v>
          </cell>
          <cell r="C393" t="str">
            <v>의류</v>
          </cell>
          <cell r="E393" t="str">
            <v>2</v>
          </cell>
          <cell r="F393" t="str">
            <v>6</v>
          </cell>
          <cell r="G393">
            <v>0</v>
          </cell>
          <cell r="H393">
            <v>32121908</v>
          </cell>
          <cell r="I393">
            <v>23</v>
          </cell>
          <cell r="J393">
            <v>3169200</v>
          </cell>
          <cell r="K393">
            <v>6394000</v>
          </cell>
          <cell r="N393" t="str">
            <v>I0Y6201</v>
          </cell>
          <cell r="O393">
            <v>22</v>
          </cell>
          <cell r="Q393">
            <v>278000</v>
          </cell>
          <cell r="U393">
            <v>986</v>
          </cell>
          <cell r="AJ393">
            <v>536</v>
          </cell>
          <cell r="AK393">
            <v>71310035</v>
          </cell>
          <cell r="AN393">
            <v>274108000</v>
          </cell>
          <cell r="AO393">
            <v>149008000</v>
          </cell>
        </row>
        <row r="394">
          <cell r="A394" t="str">
            <v>Y</v>
          </cell>
          <cell r="B394" t="str">
            <v>I</v>
          </cell>
          <cell r="C394" t="str">
            <v>의류</v>
          </cell>
          <cell r="E394" t="str">
            <v>2</v>
          </cell>
          <cell r="F394" t="str">
            <v>1</v>
          </cell>
          <cell r="G394">
            <v>0</v>
          </cell>
          <cell r="H394">
            <v>9949512</v>
          </cell>
          <cell r="I394">
            <v>31</v>
          </cell>
          <cell r="J394">
            <v>2729000</v>
          </cell>
          <cell r="K394">
            <v>5518000</v>
          </cell>
          <cell r="N394" t="str">
            <v>ITY1202</v>
          </cell>
          <cell r="O394">
            <v>73</v>
          </cell>
          <cell r="Q394">
            <v>178000</v>
          </cell>
          <cell r="U394">
            <v>516</v>
          </cell>
          <cell r="AJ394">
            <v>283</v>
          </cell>
          <cell r="AK394">
            <v>24608045</v>
          </cell>
          <cell r="AN394">
            <v>91848000</v>
          </cell>
          <cell r="AO394">
            <v>50374000</v>
          </cell>
        </row>
        <row r="395">
          <cell r="A395" t="str">
            <v>Y</v>
          </cell>
          <cell r="B395" t="str">
            <v>P</v>
          </cell>
          <cell r="C395" t="str">
            <v>의류</v>
          </cell>
          <cell r="E395" t="str">
            <v>2</v>
          </cell>
          <cell r="F395" t="str">
            <v>8</v>
          </cell>
          <cell r="G395">
            <v>1</v>
          </cell>
          <cell r="H395">
            <v>13110313</v>
          </cell>
          <cell r="I395">
            <v>31</v>
          </cell>
          <cell r="J395">
            <v>2699000</v>
          </cell>
          <cell r="K395">
            <v>5518000</v>
          </cell>
          <cell r="N395" t="str">
            <v>PTY8206</v>
          </cell>
          <cell r="O395">
            <v>49</v>
          </cell>
          <cell r="Q395">
            <v>178000</v>
          </cell>
          <cell r="U395">
            <v>599</v>
          </cell>
          <cell r="AJ395">
            <v>340</v>
          </cell>
          <cell r="AK395">
            <v>29687700</v>
          </cell>
          <cell r="AN395">
            <v>106622000</v>
          </cell>
          <cell r="AO395">
            <v>60520000</v>
          </cell>
        </row>
        <row r="396">
          <cell r="A396" t="str">
            <v>Y</v>
          </cell>
          <cell r="B396" t="str">
            <v>I</v>
          </cell>
          <cell r="C396" t="str">
            <v>의류</v>
          </cell>
          <cell r="E396" t="str">
            <v>1</v>
          </cell>
          <cell r="F396" t="str">
            <v>6</v>
          </cell>
          <cell r="G396">
            <v>1</v>
          </cell>
          <cell r="H396">
            <v>18889684</v>
          </cell>
          <cell r="I396">
            <v>-1</v>
          </cell>
          <cell r="J396">
            <v>-179000</v>
          </cell>
          <cell r="K396">
            <v>-358000</v>
          </cell>
          <cell r="N396" t="str">
            <v>I0Y6104</v>
          </cell>
          <cell r="O396">
            <v>63</v>
          </cell>
          <cell r="Q396">
            <v>358000</v>
          </cell>
          <cell r="U396">
            <v>407</v>
          </cell>
          <cell r="AJ396">
            <v>234</v>
          </cell>
          <cell r="AK396">
            <v>41217540</v>
          </cell>
          <cell r="AN396">
            <v>145706000</v>
          </cell>
          <cell r="AO396">
            <v>83772000</v>
          </cell>
        </row>
        <row r="397">
          <cell r="A397" t="str">
            <v>Y</v>
          </cell>
          <cell r="B397" t="str">
            <v>I</v>
          </cell>
          <cell r="C397" t="str">
            <v>의류</v>
          </cell>
          <cell r="E397" t="str">
            <v>2</v>
          </cell>
          <cell r="F397" t="str">
            <v>8</v>
          </cell>
          <cell r="G397">
            <v>0</v>
          </cell>
          <cell r="H397">
            <v>6072542</v>
          </cell>
          <cell r="I397">
            <v>27</v>
          </cell>
          <cell r="J397">
            <v>1863000</v>
          </cell>
          <cell r="K397">
            <v>3726000</v>
          </cell>
          <cell r="N397" t="str">
            <v>ITY8201</v>
          </cell>
          <cell r="O397">
            <v>45</v>
          </cell>
          <cell r="Q397">
            <v>138000</v>
          </cell>
          <cell r="U397">
            <v>406</v>
          </cell>
          <cell r="AJ397">
            <v>234</v>
          </cell>
          <cell r="AK397">
            <v>16071200</v>
          </cell>
          <cell r="AN397">
            <v>56028000</v>
          </cell>
          <cell r="AO397">
            <v>32292000</v>
          </cell>
        </row>
        <row r="398">
          <cell r="A398" t="str">
            <v>Y</v>
          </cell>
          <cell r="B398" t="str">
            <v>P</v>
          </cell>
          <cell r="C398" t="str">
            <v>의류</v>
          </cell>
          <cell r="E398" t="str">
            <v>1</v>
          </cell>
          <cell r="F398" t="str">
            <v>1</v>
          </cell>
          <cell r="G398">
            <v>0</v>
          </cell>
          <cell r="H398">
            <v>8446464</v>
          </cell>
          <cell r="I398">
            <v>6</v>
          </cell>
          <cell r="J398">
            <v>474000</v>
          </cell>
          <cell r="K398">
            <v>948000</v>
          </cell>
          <cell r="N398" t="str">
            <v>P0Y1104</v>
          </cell>
          <cell r="O398">
            <v>49</v>
          </cell>
          <cell r="Q398">
            <v>158000</v>
          </cell>
          <cell r="U398">
            <v>611</v>
          </cell>
          <cell r="AJ398">
            <v>353</v>
          </cell>
          <cell r="AK398">
            <v>27350690</v>
          </cell>
          <cell r="AN398">
            <v>96538000</v>
          </cell>
          <cell r="AO398">
            <v>55774000</v>
          </cell>
        </row>
        <row r="399">
          <cell r="A399" t="str">
            <v>Y</v>
          </cell>
          <cell r="B399" t="str">
            <v>P</v>
          </cell>
          <cell r="C399" t="str">
            <v>의류</v>
          </cell>
          <cell r="E399" t="str">
            <v>1</v>
          </cell>
          <cell r="F399" t="str">
            <v>T</v>
          </cell>
          <cell r="G399">
            <v>1</v>
          </cell>
          <cell r="H399">
            <v>20498107</v>
          </cell>
          <cell r="I399">
            <v>-1</v>
          </cell>
          <cell r="J399">
            <v>-159000</v>
          </cell>
          <cell r="K399">
            <v>-318000</v>
          </cell>
          <cell r="N399" t="str">
            <v>PTYT102</v>
          </cell>
          <cell r="O399">
            <v>39</v>
          </cell>
          <cell r="Q399">
            <v>318000</v>
          </cell>
          <cell r="U399">
            <v>613</v>
          </cell>
          <cell r="AJ399">
            <v>355</v>
          </cell>
          <cell r="AK399">
            <v>55173300</v>
          </cell>
          <cell r="AN399">
            <v>194934000</v>
          </cell>
          <cell r="AO399">
            <v>112890000</v>
          </cell>
        </row>
        <row r="400">
          <cell r="A400" t="str">
            <v>Y</v>
          </cell>
          <cell r="B400" t="str">
            <v>P</v>
          </cell>
          <cell r="C400" t="str">
            <v>의류</v>
          </cell>
          <cell r="E400" t="str">
            <v>1</v>
          </cell>
          <cell r="F400" t="str">
            <v>1</v>
          </cell>
          <cell r="G400">
            <v>0</v>
          </cell>
          <cell r="H400">
            <v>5980770</v>
          </cell>
          <cell r="I400">
            <v>4</v>
          </cell>
          <cell r="J400">
            <v>196000</v>
          </cell>
          <cell r="K400">
            <v>392000</v>
          </cell>
          <cell r="N400" t="str">
            <v>P0Y1102</v>
          </cell>
          <cell r="O400">
            <v>31</v>
          </cell>
          <cell r="Q400">
            <v>98000</v>
          </cell>
          <cell r="U400">
            <v>510</v>
          </cell>
          <cell r="AJ400">
            <v>296</v>
          </cell>
          <cell r="AK400">
            <v>13943050</v>
          </cell>
          <cell r="AN400">
            <v>49980000</v>
          </cell>
          <cell r="AO400">
            <v>29008000</v>
          </cell>
        </row>
        <row r="401">
          <cell r="A401" t="str">
            <v>Y</v>
          </cell>
          <cell r="B401" t="str">
            <v>I</v>
          </cell>
          <cell r="C401" t="str">
            <v>의류</v>
          </cell>
          <cell r="E401" t="str">
            <v>2</v>
          </cell>
          <cell r="F401" t="str">
            <v>9</v>
          </cell>
          <cell r="G401">
            <v>1</v>
          </cell>
          <cell r="H401">
            <v>19456912</v>
          </cell>
          <cell r="I401">
            <v>26</v>
          </cell>
          <cell r="J401">
            <v>4394000</v>
          </cell>
          <cell r="K401">
            <v>8788000</v>
          </cell>
          <cell r="N401" t="str">
            <v>ITY9201</v>
          </cell>
          <cell r="O401">
            <v>49</v>
          </cell>
          <cell r="Q401">
            <v>338000</v>
          </cell>
          <cell r="U401">
            <v>464</v>
          </cell>
          <cell r="AJ401">
            <v>270</v>
          </cell>
          <cell r="AK401">
            <v>45037650</v>
          </cell>
          <cell r="AN401">
            <v>156832000</v>
          </cell>
          <cell r="AO401">
            <v>91260000</v>
          </cell>
        </row>
        <row r="402">
          <cell r="A402" t="str">
            <v>Y</v>
          </cell>
          <cell r="B402" t="str">
            <v>P</v>
          </cell>
          <cell r="C402" t="str">
            <v>의류</v>
          </cell>
          <cell r="E402" t="str">
            <v>1</v>
          </cell>
          <cell r="F402" t="str">
            <v>4</v>
          </cell>
          <cell r="G402">
            <v>1</v>
          </cell>
          <cell r="H402">
            <v>9845290</v>
          </cell>
          <cell r="I402">
            <v>0</v>
          </cell>
          <cell r="J402">
            <v>0</v>
          </cell>
          <cell r="K402">
            <v>0</v>
          </cell>
          <cell r="N402" t="str">
            <v>P0Y4102</v>
          </cell>
          <cell r="O402">
            <v>76</v>
          </cell>
          <cell r="Q402">
            <v>218000</v>
          </cell>
          <cell r="U402">
            <v>403</v>
          </cell>
          <cell r="AJ402">
            <v>235</v>
          </cell>
          <cell r="AK402">
            <v>25314510</v>
          </cell>
          <cell r="AN402">
            <v>87854000</v>
          </cell>
          <cell r="AO402">
            <v>51230000</v>
          </cell>
        </row>
        <row r="403">
          <cell r="A403" t="str">
            <v>Y</v>
          </cell>
          <cell r="B403" t="str">
            <v>I</v>
          </cell>
          <cell r="C403" t="str">
            <v>의류</v>
          </cell>
          <cell r="E403" t="str">
            <v>2</v>
          </cell>
          <cell r="F403" t="str">
            <v>8</v>
          </cell>
          <cell r="G403">
            <v>1</v>
          </cell>
          <cell r="H403">
            <v>6866170</v>
          </cell>
          <cell r="I403">
            <v>32</v>
          </cell>
          <cell r="J403">
            <v>2528000</v>
          </cell>
          <cell r="K403">
            <v>5056000</v>
          </cell>
          <cell r="N403" t="str">
            <v>ITY8207</v>
          </cell>
          <cell r="O403">
            <v>49</v>
          </cell>
          <cell r="Q403">
            <v>158000</v>
          </cell>
          <cell r="U403">
            <v>446</v>
          </cell>
          <cell r="AJ403">
            <v>261</v>
          </cell>
          <cell r="AK403">
            <v>20412100</v>
          </cell>
          <cell r="AN403">
            <v>70468000</v>
          </cell>
          <cell r="AO403">
            <v>41238000</v>
          </cell>
        </row>
        <row r="404">
          <cell r="A404" t="str">
            <v>Y</v>
          </cell>
          <cell r="B404" t="str">
            <v>P</v>
          </cell>
          <cell r="C404" t="str">
            <v>의류</v>
          </cell>
          <cell r="E404" t="str">
            <v>1</v>
          </cell>
          <cell r="F404" t="str">
            <v>C</v>
          </cell>
          <cell r="G404">
            <v>0</v>
          </cell>
          <cell r="H404">
            <v>51916865</v>
          </cell>
          <cell r="I404">
            <v>9</v>
          </cell>
          <cell r="J404">
            <v>2191000</v>
          </cell>
          <cell r="K404">
            <v>4482000</v>
          </cell>
          <cell r="N404" t="str">
            <v>PNYC101</v>
          </cell>
          <cell r="O404">
            <v>76</v>
          </cell>
          <cell r="Q404">
            <v>498000</v>
          </cell>
          <cell r="U404">
            <v>715</v>
          </cell>
          <cell r="AJ404">
            <v>420</v>
          </cell>
          <cell r="AK404">
            <v>101346500</v>
          </cell>
          <cell r="AN404">
            <v>356070000</v>
          </cell>
          <cell r="AO404">
            <v>209160000</v>
          </cell>
        </row>
        <row r="405">
          <cell r="A405" t="str">
            <v>Y</v>
          </cell>
          <cell r="B405" t="str">
            <v>P</v>
          </cell>
          <cell r="C405" t="str">
            <v>의류</v>
          </cell>
          <cell r="E405" t="str">
            <v>1</v>
          </cell>
          <cell r="F405" t="str">
            <v>1</v>
          </cell>
          <cell r="G405">
            <v>0</v>
          </cell>
          <cell r="H405">
            <v>10647856</v>
          </cell>
          <cell r="I405">
            <v>7</v>
          </cell>
          <cell r="J405">
            <v>553000</v>
          </cell>
          <cell r="K405">
            <v>1106000</v>
          </cell>
          <cell r="N405" t="str">
            <v>P0Y1108</v>
          </cell>
          <cell r="O405">
            <v>49</v>
          </cell>
          <cell r="Q405">
            <v>158000</v>
          </cell>
          <cell r="U405">
            <v>677</v>
          </cell>
          <cell r="AJ405">
            <v>399</v>
          </cell>
          <cell r="AK405">
            <v>30621150</v>
          </cell>
          <cell r="AN405">
            <v>106966000</v>
          </cell>
          <cell r="AO405">
            <v>63042000</v>
          </cell>
        </row>
        <row r="406">
          <cell r="A406" t="str">
            <v>Y</v>
          </cell>
          <cell r="B406" t="str">
            <v>I</v>
          </cell>
          <cell r="C406" t="str">
            <v>의류</v>
          </cell>
          <cell r="E406" t="str">
            <v>1</v>
          </cell>
          <cell r="F406" t="str">
            <v>1</v>
          </cell>
          <cell r="G406">
            <v>0</v>
          </cell>
          <cell r="H406">
            <v>6746076</v>
          </cell>
          <cell r="I406">
            <v>8</v>
          </cell>
          <cell r="J406">
            <v>312000</v>
          </cell>
          <cell r="K406">
            <v>624000</v>
          </cell>
          <cell r="N406" t="str">
            <v>I0Y1101</v>
          </cell>
          <cell r="O406">
            <v>31</v>
          </cell>
          <cell r="Q406">
            <v>78000</v>
          </cell>
          <cell r="U406">
            <v>453</v>
          </cell>
          <cell r="AJ406">
            <v>269</v>
          </cell>
          <cell r="AK406">
            <v>10247200</v>
          </cell>
          <cell r="AN406">
            <v>35334000</v>
          </cell>
          <cell r="AO406">
            <v>20982000</v>
          </cell>
        </row>
        <row r="407">
          <cell r="A407" t="str">
            <v>Y</v>
          </cell>
          <cell r="B407" t="str">
            <v>I</v>
          </cell>
          <cell r="C407" t="str">
            <v>의류</v>
          </cell>
          <cell r="E407" t="str">
            <v>1</v>
          </cell>
          <cell r="F407" t="str">
            <v>6</v>
          </cell>
          <cell r="G407">
            <v>0</v>
          </cell>
          <cell r="H407">
            <v>32117104</v>
          </cell>
          <cell r="I407">
            <v>1</v>
          </cell>
          <cell r="J407">
            <v>179000</v>
          </cell>
          <cell r="K407">
            <v>358000</v>
          </cell>
          <cell r="N407" t="str">
            <v>I0Y6104</v>
          </cell>
          <cell r="O407">
            <v>48</v>
          </cell>
          <cell r="Q407">
            <v>358000</v>
          </cell>
          <cell r="U407">
            <v>692</v>
          </cell>
          <cell r="AJ407">
            <v>416</v>
          </cell>
          <cell r="AK407">
            <v>72434050</v>
          </cell>
          <cell r="AN407">
            <v>247736000</v>
          </cell>
          <cell r="AO407">
            <v>148928000</v>
          </cell>
        </row>
        <row r="408">
          <cell r="A408" t="str">
            <v>Y</v>
          </cell>
          <cell r="B408" t="str">
            <v>I</v>
          </cell>
          <cell r="C408" t="str">
            <v>의류</v>
          </cell>
          <cell r="E408" t="str">
            <v>2</v>
          </cell>
          <cell r="F408" t="str">
            <v>1</v>
          </cell>
          <cell r="G408">
            <v>0</v>
          </cell>
          <cell r="H408">
            <v>18472156</v>
          </cell>
          <cell r="I408">
            <v>59</v>
          </cell>
          <cell r="J408">
            <v>5191000</v>
          </cell>
          <cell r="K408">
            <v>10502000</v>
          </cell>
          <cell r="N408" t="str">
            <v>ITY1202</v>
          </cell>
          <cell r="O408">
            <v>49</v>
          </cell>
          <cell r="Q408">
            <v>178000</v>
          </cell>
          <cell r="U408">
            <v>958</v>
          </cell>
          <cell r="AJ408">
            <v>578</v>
          </cell>
          <cell r="AK408">
            <v>50211050</v>
          </cell>
          <cell r="AN408">
            <v>170524000</v>
          </cell>
          <cell r="AO408">
            <v>102884000</v>
          </cell>
        </row>
        <row r="409">
          <cell r="A409" t="str">
            <v>Y</v>
          </cell>
          <cell r="B409" t="str">
            <v>P</v>
          </cell>
          <cell r="C409" t="str">
            <v>의류</v>
          </cell>
          <cell r="E409" t="str">
            <v>2</v>
          </cell>
          <cell r="F409" t="str">
            <v>6</v>
          </cell>
          <cell r="G409">
            <v>0</v>
          </cell>
          <cell r="H409">
            <v>32236946</v>
          </cell>
          <cell r="I409">
            <v>34</v>
          </cell>
          <cell r="J409">
            <v>4334400</v>
          </cell>
          <cell r="K409">
            <v>8772000</v>
          </cell>
          <cell r="N409" t="str">
            <v>P0Y6201</v>
          </cell>
          <cell r="O409">
            <v>31</v>
          </cell>
          <cell r="Q409">
            <v>258000</v>
          </cell>
          <cell r="U409">
            <v>1022</v>
          </cell>
          <cell r="AJ409">
            <v>638</v>
          </cell>
          <cell r="AK409">
            <v>78789300</v>
          </cell>
          <cell r="AN409">
            <v>263676000</v>
          </cell>
          <cell r="AO409">
            <v>164604000</v>
          </cell>
        </row>
        <row r="410">
          <cell r="A410" t="str">
            <v>Y</v>
          </cell>
          <cell r="B410" t="str">
            <v>P</v>
          </cell>
          <cell r="C410" t="str">
            <v>의류</v>
          </cell>
          <cell r="E410" t="str">
            <v>2</v>
          </cell>
          <cell r="F410" t="str">
            <v>6</v>
          </cell>
          <cell r="G410">
            <v>0</v>
          </cell>
          <cell r="H410">
            <v>38703261</v>
          </cell>
          <cell r="I410">
            <v>19</v>
          </cell>
          <cell r="J410">
            <v>2451000</v>
          </cell>
          <cell r="K410">
            <v>4902000</v>
          </cell>
          <cell r="N410" t="str">
            <v>P0Y6201</v>
          </cell>
          <cell r="O410">
            <v>74</v>
          </cell>
          <cell r="Q410">
            <v>258000</v>
          </cell>
          <cell r="U410">
            <v>1227</v>
          </cell>
          <cell r="AJ410">
            <v>779</v>
          </cell>
          <cell r="AK410">
            <v>96096200</v>
          </cell>
          <cell r="AN410">
            <v>316566000</v>
          </cell>
          <cell r="AO410">
            <v>200982000</v>
          </cell>
        </row>
        <row r="411">
          <cell r="A411" t="str">
            <v>Y</v>
          </cell>
          <cell r="B411" t="str">
            <v>P</v>
          </cell>
          <cell r="C411" t="str">
            <v>의류</v>
          </cell>
          <cell r="E411" t="str">
            <v>1</v>
          </cell>
          <cell r="F411" t="str">
            <v>7</v>
          </cell>
          <cell r="G411">
            <v>0</v>
          </cell>
          <cell r="H411">
            <v>10552896</v>
          </cell>
          <cell r="I411">
            <v>-2</v>
          </cell>
          <cell r="J411">
            <v>-158000</v>
          </cell>
          <cell r="K411">
            <v>-316000</v>
          </cell>
          <cell r="N411" t="str">
            <v>P0Y7102</v>
          </cell>
          <cell r="O411">
            <v>49</v>
          </cell>
          <cell r="Q411">
            <v>158000</v>
          </cell>
          <cell r="U411">
            <v>591</v>
          </cell>
          <cell r="AJ411">
            <v>379</v>
          </cell>
          <cell r="AK411">
            <v>28774850</v>
          </cell>
          <cell r="AN411">
            <v>93378000</v>
          </cell>
          <cell r="AO411">
            <v>59882000</v>
          </cell>
        </row>
        <row r="412">
          <cell r="A412" t="str">
            <v>Y</v>
          </cell>
          <cell r="B412" t="str">
            <v>I</v>
          </cell>
          <cell r="C412" t="str">
            <v>의류</v>
          </cell>
          <cell r="E412" t="str">
            <v>1</v>
          </cell>
          <cell r="F412" t="str">
            <v>9</v>
          </cell>
          <cell r="G412">
            <v>1</v>
          </cell>
          <cell r="H412">
            <v>20006506</v>
          </cell>
          <cell r="I412">
            <v>4</v>
          </cell>
          <cell r="J412">
            <v>716000</v>
          </cell>
          <cell r="K412">
            <v>1432000</v>
          </cell>
          <cell r="N412" t="str">
            <v>ITY9102</v>
          </cell>
          <cell r="O412">
            <v>49</v>
          </cell>
          <cell r="Q412">
            <v>358000</v>
          </cell>
          <cell r="U412">
            <v>494</v>
          </cell>
          <cell r="AJ412">
            <v>317</v>
          </cell>
          <cell r="AK412">
            <v>55039630</v>
          </cell>
          <cell r="AN412">
            <v>176852000</v>
          </cell>
          <cell r="AO412">
            <v>113486000</v>
          </cell>
        </row>
        <row r="413">
          <cell r="A413" t="str">
            <v>Y</v>
          </cell>
          <cell r="B413" t="str">
            <v>P</v>
          </cell>
          <cell r="C413" t="str">
            <v>의류</v>
          </cell>
          <cell r="E413" t="str">
            <v>2</v>
          </cell>
          <cell r="F413" t="str">
            <v>7</v>
          </cell>
          <cell r="G413">
            <v>0</v>
          </cell>
          <cell r="H413">
            <v>12246444</v>
          </cell>
          <cell r="I413">
            <v>32</v>
          </cell>
          <cell r="J413">
            <v>2844700</v>
          </cell>
          <cell r="K413">
            <v>5696000</v>
          </cell>
          <cell r="N413" t="str">
            <v>P0Y7202</v>
          </cell>
          <cell r="O413">
            <v>49</v>
          </cell>
          <cell r="Q413">
            <v>178000</v>
          </cell>
          <cell r="U413">
            <v>679</v>
          </cell>
          <cell r="AJ413">
            <v>440</v>
          </cell>
          <cell r="AK413">
            <v>37682295</v>
          </cell>
          <cell r="AN413">
            <v>120862000</v>
          </cell>
          <cell r="AO413">
            <v>78320000</v>
          </cell>
        </row>
        <row r="414">
          <cell r="A414" t="str">
            <v>Y</v>
          </cell>
          <cell r="B414" t="str">
            <v>P</v>
          </cell>
          <cell r="C414" t="str">
            <v>의류</v>
          </cell>
          <cell r="E414" t="str">
            <v>1</v>
          </cell>
          <cell r="F414" t="str">
            <v>8</v>
          </cell>
          <cell r="G414">
            <v>0</v>
          </cell>
          <cell r="H414">
            <v>8464140</v>
          </cell>
          <cell r="I414">
            <v>8</v>
          </cell>
          <cell r="J414">
            <v>712000</v>
          </cell>
          <cell r="K414">
            <v>1904000</v>
          </cell>
          <cell r="N414" t="str">
            <v>PTY8101</v>
          </cell>
          <cell r="O414">
            <v>43</v>
          </cell>
          <cell r="Q414">
            <v>238000</v>
          </cell>
          <cell r="U414">
            <v>295</v>
          </cell>
          <cell r="AJ414">
            <v>196</v>
          </cell>
          <cell r="AK414">
            <v>18629050</v>
          </cell>
          <cell r="AN414">
            <v>70210000</v>
          </cell>
          <cell r="AO414">
            <v>46648000</v>
          </cell>
        </row>
        <row r="415">
          <cell r="A415" t="str">
            <v>Y</v>
          </cell>
          <cell r="B415" t="str">
            <v>P</v>
          </cell>
          <cell r="C415" t="str">
            <v>의류</v>
          </cell>
          <cell r="E415" t="str">
            <v>2</v>
          </cell>
          <cell r="F415" t="str">
            <v>1</v>
          </cell>
          <cell r="G415">
            <v>0</v>
          </cell>
          <cell r="H415">
            <v>15697590</v>
          </cell>
          <cell r="I415">
            <v>43</v>
          </cell>
          <cell r="J415">
            <v>1677000</v>
          </cell>
          <cell r="K415">
            <v>3354000</v>
          </cell>
          <cell r="N415" t="str">
            <v>PTY1203</v>
          </cell>
          <cell r="O415">
            <v>49</v>
          </cell>
          <cell r="Q415">
            <v>78000</v>
          </cell>
          <cell r="U415">
            <v>1662</v>
          </cell>
          <cell r="AJ415">
            <v>1182</v>
          </cell>
          <cell r="AK415">
            <v>45590600</v>
          </cell>
          <cell r="AN415">
            <v>129636000</v>
          </cell>
          <cell r="AO415">
            <v>92196000</v>
          </cell>
        </row>
        <row r="416">
          <cell r="A416" t="str">
            <v>Y</v>
          </cell>
          <cell r="B416" t="str">
            <v>P</v>
          </cell>
          <cell r="C416" t="str">
            <v>의류</v>
          </cell>
          <cell r="E416" t="str">
            <v>1</v>
          </cell>
          <cell r="F416" t="str">
            <v>1</v>
          </cell>
          <cell r="G416">
            <v>0</v>
          </cell>
          <cell r="H416">
            <v>5916231</v>
          </cell>
          <cell r="I416">
            <v>1</v>
          </cell>
          <cell r="J416">
            <v>39000</v>
          </cell>
          <cell r="K416">
            <v>78000</v>
          </cell>
          <cell r="N416" t="str">
            <v>P0Y1101</v>
          </cell>
          <cell r="O416">
            <v>22</v>
          </cell>
          <cell r="Q416">
            <v>78000</v>
          </cell>
          <cell r="U416">
            <v>471</v>
          </cell>
          <cell r="AJ416">
            <v>360</v>
          </cell>
          <cell r="AK416">
            <v>13889800</v>
          </cell>
          <cell r="AN416">
            <v>36738000</v>
          </cell>
          <cell r="AO416">
            <v>28080000</v>
          </cell>
        </row>
        <row r="417">
          <cell r="A417" t="str">
            <v>Y</v>
          </cell>
          <cell r="B417" t="str">
            <v>P</v>
          </cell>
          <cell r="C417" t="str">
            <v>의류</v>
          </cell>
          <cell r="E417" t="str">
            <v>1</v>
          </cell>
          <cell r="F417" t="str">
            <v>1</v>
          </cell>
          <cell r="G417">
            <v>1</v>
          </cell>
          <cell r="H417">
            <v>10680376</v>
          </cell>
          <cell r="I417">
            <v>1</v>
          </cell>
          <cell r="J417">
            <v>79000</v>
          </cell>
          <cell r="K417">
            <v>158000</v>
          </cell>
          <cell r="N417" t="str">
            <v>P0Y1107</v>
          </cell>
          <cell r="O417">
            <v>49</v>
          </cell>
          <cell r="Q417">
            <v>158000</v>
          </cell>
          <cell r="U417">
            <v>709</v>
          </cell>
          <cell r="AJ417">
            <v>555</v>
          </cell>
          <cell r="AK417">
            <v>42985250</v>
          </cell>
          <cell r="AN417">
            <v>112022000</v>
          </cell>
          <cell r="AO417">
            <v>87690000</v>
          </cell>
        </row>
        <row r="418">
          <cell r="A418" t="str">
            <v>Y</v>
          </cell>
          <cell r="B418" t="str">
            <v>P</v>
          </cell>
          <cell r="C418" t="str">
            <v>의류</v>
          </cell>
          <cell r="E418" t="str">
            <v>2</v>
          </cell>
          <cell r="F418" t="str">
            <v>V</v>
          </cell>
          <cell r="G418">
            <v>0</v>
          </cell>
          <cell r="H418">
            <v>13161205</v>
          </cell>
          <cell r="I418">
            <v>37</v>
          </cell>
          <cell r="J418">
            <v>4373000</v>
          </cell>
          <cell r="K418">
            <v>8806000</v>
          </cell>
          <cell r="N418" t="str">
            <v>P0YV203</v>
          </cell>
          <cell r="O418">
            <v>49</v>
          </cell>
          <cell r="Q418">
            <v>238000</v>
          </cell>
          <cell r="U418">
            <v>545</v>
          </cell>
          <cell r="AJ418">
            <v>431</v>
          </cell>
          <cell r="AK418">
            <v>50365300</v>
          </cell>
          <cell r="AN418">
            <v>129710000</v>
          </cell>
          <cell r="AO418">
            <v>102578000</v>
          </cell>
        </row>
        <row r="419">
          <cell r="A419" t="str">
            <v>Y</v>
          </cell>
          <cell r="B419" t="str">
            <v>I</v>
          </cell>
          <cell r="C419" t="str">
            <v>의류</v>
          </cell>
          <cell r="E419" t="str">
            <v>2</v>
          </cell>
          <cell r="F419" t="str">
            <v>1</v>
          </cell>
          <cell r="G419">
            <v>0</v>
          </cell>
          <cell r="H419">
            <v>4931094</v>
          </cell>
          <cell r="I419">
            <v>12</v>
          </cell>
          <cell r="J419">
            <v>748000</v>
          </cell>
          <cell r="K419">
            <v>1656000</v>
          </cell>
          <cell r="N419" t="str">
            <v>INY1207</v>
          </cell>
          <cell r="O419">
            <v>34</v>
          </cell>
          <cell r="Q419">
            <v>138000</v>
          </cell>
          <cell r="U419">
            <v>339</v>
          </cell>
          <cell r="AJ419">
            <v>269</v>
          </cell>
          <cell r="AK419">
            <v>17920100</v>
          </cell>
          <cell r="AN419">
            <v>46782000</v>
          </cell>
          <cell r="AO419">
            <v>37122000</v>
          </cell>
        </row>
        <row r="420">
          <cell r="A420" t="str">
            <v>Y</v>
          </cell>
          <cell r="B420" t="str">
            <v>P</v>
          </cell>
          <cell r="C420" t="str">
            <v>의류</v>
          </cell>
          <cell r="E420" t="str">
            <v>1</v>
          </cell>
          <cell r="F420" t="str">
            <v>T</v>
          </cell>
          <cell r="G420">
            <v>0</v>
          </cell>
          <cell r="H420">
            <v>18923275</v>
          </cell>
          <cell r="I420">
            <v>-2</v>
          </cell>
          <cell r="J420">
            <v>-318000</v>
          </cell>
          <cell r="K420">
            <v>-636000</v>
          </cell>
          <cell r="N420" t="str">
            <v>PTYT101</v>
          </cell>
          <cell r="O420">
            <v>74</v>
          </cell>
          <cell r="Q420">
            <v>318000</v>
          </cell>
          <cell r="U420">
            <v>497</v>
          </cell>
          <cell r="AJ420">
            <v>397</v>
          </cell>
          <cell r="AK420">
            <v>60160250</v>
          </cell>
          <cell r="AN420">
            <v>158046000</v>
          </cell>
          <cell r="AO420">
            <v>126246000</v>
          </cell>
        </row>
        <row r="421">
          <cell r="A421" t="str">
            <v>Y</v>
          </cell>
          <cell r="B421" t="str">
            <v>I</v>
          </cell>
          <cell r="C421" t="str">
            <v>의류</v>
          </cell>
          <cell r="E421" t="str">
            <v>2</v>
          </cell>
          <cell r="F421" t="str">
            <v>9</v>
          </cell>
          <cell r="G421">
            <v>1</v>
          </cell>
          <cell r="H421">
            <v>24036600</v>
          </cell>
          <cell r="I421">
            <v>34</v>
          </cell>
          <cell r="J421">
            <v>6103900</v>
          </cell>
          <cell r="K421">
            <v>12172000</v>
          </cell>
          <cell r="N421" t="str">
            <v>ITY9203</v>
          </cell>
          <cell r="O421">
            <v>49</v>
          </cell>
          <cell r="Q421">
            <v>358000</v>
          </cell>
          <cell r="U421">
            <v>600</v>
          </cell>
          <cell r="AJ421">
            <v>491</v>
          </cell>
          <cell r="AK421">
            <v>86390200</v>
          </cell>
          <cell r="AN421">
            <v>214800000</v>
          </cell>
          <cell r="AO421">
            <v>175778000</v>
          </cell>
        </row>
        <row r="422">
          <cell r="A422" t="str">
            <v>Y</v>
          </cell>
          <cell r="B422" t="str">
            <v>I</v>
          </cell>
          <cell r="C422" t="str">
            <v>의류</v>
          </cell>
          <cell r="E422" t="str">
            <v>1</v>
          </cell>
          <cell r="F422" t="str">
            <v>1</v>
          </cell>
          <cell r="G422">
            <v>0</v>
          </cell>
          <cell r="H422">
            <v>21494524</v>
          </cell>
          <cell r="I422">
            <v>8</v>
          </cell>
          <cell r="J422">
            <v>792000</v>
          </cell>
          <cell r="K422">
            <v>1584000</v>
          </cell>
          <cell r="N422" t="str">
            <v>ITY1102</v>
          </cell>
          <cell r="O422">
            <v>49</v>
          </cell>
          <cell r="Q422">
            <v>198000</v>
          </cell>
          <cell r="U422">
            <v>892</v>
          </cell>
          <cell r="AJ422">
            <v>732</v>
          </cell>
          <cell r="AK422">
            <v>70596400</v>
          </cell>
          <cell r="AN422">
            <v>176616000</v>
          </cell>
          <cell r="AO422">
            <v>144936000</v>
          </cell>
        </row>
        <row r="423">
          <cell r="A423" t="str">
            <v>Y</v>
          </cell>
          <cell r="B423" t="str">
            <v>I</v>
          </cell>
          <cell r="C423" t="str">
            <v>의류</v>
          </cell>
          <cell r="E423" t="str">
            <v>1</v>
          </cell>
          <cell r="F423" t="str">
            <v>6</v>
          </cell>
          <cell r="G423">
            <v>0</v>
          </cell>
          <cell r="H423">
            <v>19351625</v>
          </cell>
          <cell r="I423">
            <v>-1</v>
          </cell>
          <cell r="J423">
            <v>-134100</v>
          </cell>
          <cell r="K423">
            <v>-298000</v>
          </cell>
          <cell r="N423" t="str">
            <v>I0Y6102</v>
          </cell>
          <cell r="O423">
            <v>31</v>
          </cell>
          <cell r="Q423">
            <v>298000</v>
          </cell>
          <cell r="U423">
            <v>575</v>
          </cell>
          <cell r="AJ423">
            <v>473</v>
          </cell>
          <cell r="AK423">
            <v>65523500</v>
          </cell>
          <cell r="AN423">
            <v>171350000</v>
          </cell>
          <cell r="AO423">
            <v>140954000</v>
          </cell>
        </row>
        <row r="424">
          <cell r="A424" t="str">
            <v>Y</v>
          </cell>
          <cell r="B424" t="str">
            <v>I</v>
          </cell>
          <cell r="C424" t="str">
            <v>의류</v>
          </cell>
          <cell r="E424" t="str">
            <v>1</v>
          </cell>
          <cell r="F424" t="str">
            <v>1</v>
          </cell>
          <cell r="G424">
            <v>0</v>
          </cell>
          <cell r="H424">
            <v>11780670</v>
          </cell>
          <cell r="I424">
            <v>0</v>
          </cell>
          <cell r="J424">
            <v>0</v>
          </cell>
          <cell r="K424">
            <v>0</v>
          </cell>
          <cell r="N424" t="str">
            <v>I0Y1102</v>
          </cell>
          <cell r="O424">
            <v>22</v>
          </cell>
          <cell r="Q424">
            <v>158000</v>
          </cell>
          <cell r="U424">
            <v>638</v>
          </cell>
          <cell r="AJ424">
            <v>536</v>
          </cell>
          <cell r="AK424">
            <v>41445550</v>
          </cell>
          <cell r="AN424">
            <v>100804000</v>
          </cell>
          <cell r="AO424">
            <v>84688000</v>
          </cell>
        </row>
        <row r="425">
          <cell r="A425" t="str">
            <v>Y</v>
          </cell>
          <cell r="B425" t="str">
            <v>I</v>
          </cell>
          <cell r="C425" t="str">
            <v>의류</v>
          </cell>
          <cell r="E425" t="str">
            <v>1</v>
          </cell>
          <cell r="F425" t="str">
            <v>1</v>
          </cell>
          <cell r="G425">
            <v>0</v>
          </cell>
          <cell r="H425">
            <v>8622468</v>
          </cell>
          <cell r="I425">
            <v>2</v>
          </cell>
          <cell r="J425">
            <v>78000</v>
          </cell>
          <cell r="K425">
            <v>156000</v>
          </cell>
          <cell r="N425" t="str">
            <v>I0Y1101</v>
          </cell>
          <cell r="O425">
            <v>34</v>
          </cell>
          <cell r="Q425">
            <v>78000</v>
          </cell>
          <cell r="U425">
            <v>579</v>
          </cell>
          <cell r="AJ425">
            <v>519</v>
          </cell>
          <cell r="AK425">
            <v>19904600</v>
          </cell>
          <cell r="AN425">
            <v>45162000</v>
          </cell>
          <cell r="AO425">
            <v>40482000</v>
          </cell>
        </row>
        <row r="426">
          <cell r="A426" t="str">
            <v>Y</v>
          </cell>
          <cell r="B426" t="str">
            <v>I</v>
          </cell>
          <cell r="C426" t="str">
            <v>의류</v>
          </cell>
          <cell r="E426" t="str">
            <v>1</v>
          </cell>
          <cell r="F426" t="str">
            <v>1</v>
          </cell>
          <cell r="G426">
            <v>0</v>
          </cell>
          <cell r="H426">
            <v>6224856</v>
          </cell>
          <cell r="I426">
            <v>1</v>
          </cell>
          <cell r="J426">
            <v>39000</v>
          </cell>
          <cell r="K426">
            <v>78000</v>
          </cell>
          <cell r="N426" t="str">
            <v>I0Y1101</v>
          </cell>
          <cell r="O426">
            <v>22</v>
          </cell>
          <cell r="Q426">
            <v>78000</v>
          </cell>
          <cell r="U426">
            <v>418</v>
          </cell>
          <cell r="AJ426">
            <v>384</v>
          </cell>
          <cell r="AK426">
            <v>14764850</v>
          </cell>
          <cell r="AN426">
            <v>32604000</v>
          </cell>
          <cell r="AO426">
            <v>29952000</v>
          </cell>
        </row>
        <row r="427">
          <cell r="A427" t="str">
            <v>Y</v>
          </cell>
          <cell r="B427" t="str">
            <v>P</v>
          </cell>
          <cell r="C427" t="str">
            <v>의류</v>
          </cell>
          <cell r="E427" t="str">
            <v>1</v>
          </cell>
          <cell r="F427" t="str">
            <v>1</v>
          </cell>
          <cell r="G427">
            <v>0</v>
          </cell>
          <cell r="H427">
            <v>7441616</v>
          </cell>
          <cell r="I427">
            <v>3</v>
          </cell>
          <cell r="J427">
            <v>237000</v>
          </cell>
          <cell r="K427">
            <v>474000</v>
          </cell>
          <cell r="N427" t="str">
            <v>P0Y1107</v>
          </cell>
          <cell r="O427">
            <v>31</v>
          </cell>
          <cell r="Q427">
            <v>158000</v>
          </cell>
          <cell r="U427">
            <v>494</v>
          </cell>
          <cell r="AJ427">
            <v>470</v>
          </cell>
          <cell r="AK427">
            <v>36625700</v>
          </cell>
          <cell r="AN427">
            <v>78052000</v>
          </cell>
          <cell r="AO427">
            <v>74260000</v>
          </cell>
        </row>
        <row r="428">
          <cell r="A428" t="str">
            <v>Y</v>
          </cell>
          <cell r="B428" t="str">
            <v>P</v>
          </cell>
          <cell r="C428" t="str">
            <v>의류</v>
          </cell>
          <cell r="E428" t="str">
            <v>1</v>
          </cell>
          <cell r="F428" t="str">
            <v>T</v>
          </cell>
          <cell r="G428">
            <v>0</v>
          </cell>
          <cell r="H428">
            <v>15749769</v>
          </cell>
          <cell r="I428">
            <v>0</v>
          </cell>
          <cell r="J428">
            <v>0</v>
          </cell>
          <cell r="K428">
            <v>0</v>
          </cell>
          <cell r="N428" t="str">
            <v>PTYT102</v>
          </cell>
          <cell r="O428">
            <v>26</v>
          </cell>
          <cell r="Q428">
            <v>318000</v>
          </cell>
          <cell r="U428">
            <v>471</v>
          </cell>
          <cell r="AJ428">
            <v>459</v>
          </cell>
          <cell r="AK428">
            <v>72112910</v>
          </cell>
          <cell r="AN428">
            <v>149778000</v>
          </cell>
          <cell r="AO428">
            <v>145962000</v>
          </cell>
        </row>
        <row r="429">
          <cell r="A429" t="str">
            <v>Y</v>
          </cell>
          <cell r="B429" t="str">
            <v>I</v>
          </cell>
          <cell r="C429" t="str">
            <v>T커머스</v>
          </cell>
          <cell r="E429" t="str">
            <v>2</v>
          </cell>
          <cell r="F429" t="str">
            <v>7</v>
          </cell>
          <cell r="G429">
            <v>1</v>
          </cell>
          <cell r="H429">
            <v>49044567</v>
          </cell>
          <cell r="I429">
            <v>22</v>
          </cell>
          <cell r="J429">
            <v>858000</v>
          </cell>
          <cell r="K429">
            <v>1738000</v>
          </cell>
          <cell r="N429" t="str">
            <v>IEY7201</v>
          </cell>
          <cell r="O429">
            <v>39</v>
          </cell>
          <cell r="Q429">
            <v>79000</v>
          </cell>
          <cell r="U429">
            <v>6017</v>
          </cell>
          <cell r="AJ429">
            <v>5537</v>
          </cell>
          <cell r="AK429">
            <v>144087212</v>
          </cell>
          <cell r="AN429">
            <v>475343000</v>
          </cell>
          <cell r="AO429">
            <v>437423000</v>
          </cell>
        </row>
        <row r="430">
          <cell r="A430" t="str">
            <v>Y</v>
          </cell>
          <cell r="B430" t="str">
            <v>I</v>
          </cell>
          <cell r="C430" t="str">
            <v>T커머스</v>
          </cell>
          <cell r="E430" t="str">
            <v>2</v>
          </cell>
          <cell r="F430" t="str">
            <v>7</v>
          </cell>
          <cell r="G430">
            <v>1</v>
          </cell>
          <cell r="H430">
            <v>49085322</v>
          </cell>
          <cell r="I430">
            <v>32</v>
          </cell>
          <cell r="J430">
            <v>1248000</v>
          </cell>
          <cell r="K430">
            <v>2528000</v>
          </cell>
          <cell r="N430" t="str">
            <v>IEY7202</v>
          </cell>
          <cell r="O430">
            <v>34</v>
          </cell>
          <cell r="Q430">
            <v>79000</v>
          </cell>
          <cell r="U430">
            <v>6022</v>
          </cell>
          <cell r="AJ430">
            <v>5571</v>
          </cell>
          <cell r="AK430">
            <v>148350388</v>
          </cell>
          <cell r="AN430">
            <v>475738000</v>
          </cell>
          <cell r="AO430">
            <v>440109000</v>
          </cell>
        </row>
        <row r="431">
          <cell r="A431" t="str">
            <v>Y</v>
          </cell>
          <cell r="B431" t="str">
            <v>I</v>
          </cell>
          <cell r="C431" t="str">
            <v>T커머스</v>
          </cell>
          <cell r="E431" t="str">
            <v>2</v>
          </cell>
          <cell r="F431" t="str">
            <v>7</v>
          </cell>
          <cell r="G431">
            <v>1</v>
          </cell>
          <cell r="H431">
            <v>49166832</v>
          </cell>
          <cell r="I431">
            <v>32</v>
          </cell>
          <cell r="J431">
            <v>1248000</v>
          </cell>
          <cell r="K431">
            <v>2528000</v>
          </cell>
          <cell r="N431" t="str">
            <v>IEY7203</v>
          </cell>
          <cell r="O431">
            <v>49</v>
          </cell>
          <cell r="Q431">
            <v>79000</v>
          </cell>
          <cell r="U431">
            <v>6032</v>
          </cell>
          <cell r="AJ431">
            <v>5621</v>
          </cell>
          <cell r="AK431">
            <v>150287407</v>
          </cell>
          <cell r="AN431">
            <v>476528000</v>
          </cell>
          <cell r="AO431">
            <v>444059000</v>
          </cell>
        </row>
        <row r="432">
          <cell r="A432" t="str">
            <v>Y</v>
          </cell>
          <cell r="B432" t="str">
            <v>P</v>
          </cell>
          <cell r="C432" t="str">
            <v>ACC</v>
          </cell>
          <cell r="E432" t="str">
            <v>2</v>
          </cell>
          <cell r="F432" t="str">
            <v>X</v>
          </cell>
          <cell r="G432">
            <v>1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N432" t="str">
            <v>PAYX201</v>
          </cell>
          <cell r="O432">
            <v>49</v>
          </cell>
          <cell r="Q432">
            <v>578000</v>
          </cell>
          <cell r="U432">
            <v>150</v>
          </cell>
          <cell r="AJ432">
            <v>2</v>
          </cell>
          <cell r="AK432">
            <v>867000</v>
          </cell>
          <cell r="AN432">
            <v>86700000</v>
          </cell>
          <cell r="AO432">
            <v>1156000</v>
          </cell>
        </row>
        <row r="433">
          <cell r="A433" t="str">
            <v>Y</v>
          </cell>
          <cell r="B433" t="str">
            <v>P</v>
          </cell>
          <cell r="C433" t="str">
            <v>ACC</v>
          </cell>
          <cell r="E433" t="str">
            <v>2</v>
          </cell>
          <cell r="F433" t="str">
            <v>X</v>
          </cell>
          <cell r="G433">
            <v>1</v>
          </cell>
          <cell r="H433">
            <v>0</v>
          </cell>
          <cell r="I433">
            <v>1</v>
          </cell>
          <cell r="J433">
            <v>254400</v>
          </cell>
          <cell r="K433">
            <v>318000</v>
          </cell>
          <cell r="N433" t="str">
            <v>PAYX202</v>
          </cell>
          <cell r="O433">
            <v>49</v>
          </cell>
          <cell r="Q433">
            <v>318000</v>
          </cell>
          <cell r="U433">
            <v>150</v>
          </cell>
          <cell r="AJ433">
            <v>3</v>
          </cell>
          <cell r="AK433">
            <v>731400</v>
          </cell>
          <cell r="AN433">
            <v>47700000</v>
          </cell>
          <cell r="AO433">
            <v>954000</v>
          </cell>
        </row>
        <row r="434">
          <cell r="A434" t="str">
            <v>Y</v>
          </cell>
          <cell r="B434" t="str">
            <v>P</v>
          </cell>
          <cell r="C434" t="str">
            <v>ACC</v>
          </cell>
          <cell r="E434" t="str">
            <v>1</v>
          </cell>
          <cell r="F434" t="str">
            <v>W</v>
          </cell>
          <cell r="G434">
            <v>1</v>
          </cell>
          <cell r="H434">
            <v>2027800</v>
          </cell>
          <cell r="I434">
            <v>0</v>
          </cell>
          <cell r="J434">
            <v>0</v>
          </cell>
          <cell r="K434">
            <v>0</v>
          </cell>
          <cell r="N434" t="str">
            <v>PAYW102</v>
          </cell>
          <cell r="O434">
            <v>49</v>
          </cell>
          <cell r="Q434">
            <v>58000</v>
          </cell>
          <cell r="U434">
            <v>200</v>
          </cell>
          <cell r="AJ434">
            <v>10</v>
          </cell>
          <cell r="AK434">
            <v>464000</v>
          </cell>
          <cell r="AN434">
            <v>11600000</v>
          </cell>
          <cell r="AO434">
            <v>580000</v>
          </cell>
        </row>
        <row r="435">
          <cell r="A435" t="str">
            <v>Y</v>
          </cell>
          <cell r="B435" t="str">
            <v>P</v>
          </cell>
          <cell r="C435" t="str">
            <v>ACC</v>
          </cell>
          <cell r="E435" t="str">
            <v>2</v>
          </cell>
          <cell r="F435" t="str">
            <v>W</v>
          </cell>
          <cell r="G435">
            <v>1</v>
          </cell>
          <cell r="H435">
            <v>4880547</v>
          </cell>
          <cell r="I435">
            <v>5</v>
          </cell>
          <cell r="J435">
            <v>232000</v>
          </cell>
          <cell r="K435">
            <v>290000</v>
          </cell>
          <cell r="N435" t="str">
            <v>PAYW211</v>
          </cell>
          <cell r="O435">
            <v>49</v>
          </cell>
          <cell r="Q435">
            <v>58000</v>
          </cell>
          <cell r="U435">
            <v>459</v>
          </cell>
          <cell r="AJ435">
            <v>25</v>
          </cell>
          <cell r="AK435">
            <v>1140000</v>
          </cell>
          <cell r="AN435">
            <v>26622000</v>
          </cell>
          <cell r="AO435">
            <v>1450000</v>
          </cell>
        </row>
        <row r="436">
          <cell r="A436" t="str">
            <v>Y</v>
          </cell>
          <cell r="B436" t="str">
            <v>P</v>
          </cell>
          <cell r="C436" t="str">
            <v>ACC</v>
          </cell>
          <cell r="E436" t="str">
            <v>1</v>
          </cell>
          <cell r="F436" t="str">
            <v>G</v>
          </cell>
          <cell r="G436">
            <v>1</v>
          </cell>
          <cell r="H436">
            <v>6764472</v>
          </cell>
          <cell r="I436">
            <v>2</v>
          </cell>
          <cell r="J436">
            <v>108800</v>
          </cell>
          <cell r="K436">
            <v>136000</v>
          </cell>
          <cell r="N436" t="str">
            <v>PAYG102</v>
          </cell>
          <cell r="O436">
            <v>31</v>
          </cell>
          <cell r="Q436">
            <v>68000</v>
          </cell>
          <cell r="U436">
            <v>396</v>
          </cell>
          <cell r="AJ436">
            <v>22</v>
          </cell>
          <cell r="AK436">
            <v>1176800</v>
          </cell>
          <cell r="AN436">
            <v>26928000</v>
          </cell>
          <cell r="AO436">
            <v>1496000</v>
          </cell>
        </row>
        <row r="437">
          <cell r="A437" t="str">
            <v>Y</v>
          </cell>
          <cell r="B437" t="str">
            <v>P</v>
          </cell>
          <cell r="C437" t="str">
            <v>ACC</v>
          </cell>
          <cell r="E437" t="str">
            <v>1</v>
          </cell>
          <cell r="F437" t="str">
            <v>G</v>
          </cell>
          <cell r="G437">
            <v>1</v>
          </cell>
          <cell r="H437">
            <v>6295128</v>
          </cell>
          <cell r="I437">
            <v>1</v>
          </cell>
          <cell r="J437">
            <v>47600</v>
          </cell>
          <cell r="K437">
            <v>68000</v>
          </cell>
          <cell r="N437" t="str">
            <v>PAYG101</v>
          </cell>
          <cell r="O437">
            <v>41</v>
          </cell>
          <cell r="Q437">
            <v>68000</v>
          </cell>
          <cell r="U437">
            <v>404</v>
          </cell>
          <cell r="AJ437">
            <v>24</v>
          </cell>
          <cell r="AK437">
            <v>1258800</v>
          </cell>
          <cell r="AN437">
            <v>27472000</v>
          </cell>
          <cell r="AO437">
            <v>1632000</v>
          </cell>
        </row>
        <row r="438">
          <cell r="A438" t="str">
            <v>Y</v>
          </cell>
          <cell r="B438" t="str">
            <v>P</v>
          </cell>
          <cell r="C438" t="str">
            <v>ACC</v>
          </cell>
          <cell r="E438" t="str">
            <v>2</v>
          </cell>
          <cell r="F438" t="str">
            <v>W</v>
          </cell>
          <cell r="G438">
            <v>1</v>
          </cell>
          <cell r="H438">
            <v>5555367</v>
          </cell>
          <cell r="I438">
            <v>6</v>
          </cell>
          <cell r="J438">
            <v>326400</v>
          </cell>
          <cell r="K438">
            <v>408000</v>
          </cell>
          <cell r="N438" t="str">
            <v>PAYW212</v>
          </cell>
          <cell r="O438">
            <v>49</v>
          </cell>
          <cell r="Q438">
            <v>68000</v>
          </cell>
          <cell r="U438">
            <v>499</v>
          </cell>
          <cell r="AJ438">
            <v>31</v>
          </cell>
          <cell r="AK438">
            <v>1686400</v>
          </cell>
          <cell r="AN438">
            <v>33932000</v>
          </cell>
          <cell r="AO438">
            <v>2108000</v>
          </cell>
        </row>
        <row r="439">
          <cell r="A439" t="str">
            <v>Y</v>
          </cell>
          <cell r="B439" t="str">
            <v>I</v>
          </cell>
          <cell r="C439" t="str">
            <v>ACC</v>
          </cell>
          <cell r="E439" t="str">
            <v>1</v>
          </cell>
          <cell r="F439" t="str">
            <v>T</v>
          </cell>
          <cell r="G439">
            <v>1</v>
          </cell>
          <cell r="H439">
            <v>3781400</v>
          </cell>
          <cell r="I439">
            <v>3</v>
          </cell>
          <cell r="J439">
            <v>59700</v>
          </cell>
          <cell r="K439">
            <v>80700</v>
          </cell>
          <cell r="N439" t="str">
            <v>IAYT102</v>
          </cell>
          <cell r="O439">
            <v>31</v>
          </cell>
          <cell r="Q439">
            <v>26900</v>
          </cell>
          <cell r="U439">
            <v>518</v>
          </cell>
          <cell r="AJ439">
            <v>34</v>
          </cell>
          <cell r="AK439">
            <v>664594</v>
          </cell>
          <cell r="AN439">
            <v>13934200</v>
          </cell>
          <cell r="AO439">
            <v>914600</v>
          </cell>
        </row>
        <row r="440">
          <cell r="A440" t="str">
            <v>Y</v>
          </cell>
          <cell r="B440" t="str">
            <v>P</v>
          </cell>
          <cell r="C440" t="str">
            <v>ACC</v>
          </cell>
          <cell r="E440" t="str">
            <v>1</v>
          </cell>
          <cell r="F440" t="str">
            <v>W</v>
          </cell>
          <cell r="G440">
            <v>0</v>
          </cell>
          <cell r="H440">
            <v>1520850</v>
          </cell>
          <cell r="I440">
            <v>-2</v>
          </cell>
          <cell r="J440">
            <v>-122800</v>
          </cell>
          <cell r="K440">
            <v>-116000</v>
          </cell>
          <cell r="N440" t="str">
            <v>PAYW102</v>
          </cell>
          <cell r="O440">
            <v>76</v>
          </cell>
          <cell r="Q440">
            <v>58000</v>
          </cell>
          <cell r="U440">
            <v>150</v>
          </cell>
          <cell r="AJ440">
            <v>10</v>
          </cell>
          <cell r="AK440">
            <v>414000</v>
          </cell>
          <cell r="AN440">
            <v>8700000</v>
          </cell>
          <cell r="AO440">
            <v>580000</v>
          </cell>
        </row>
        <row r="441">
          <cell r="A441" t="str">
            <v>Y</v>
          </cell>
          <cell r="B441" t="str">
            <v>P</v>
          </cell>
          <cell r="C441" t="str">
            <v>ACC</v>
          </cell>
          <cell r="E441" t="str">
            <v>2</v>
          </cell>
          <cell r="F441" t="str">
            <v>W</v>
          </cell>
          <cell r="G441">
            <v>0</v>
          </cell>
          <cell r="H441">
            <v>5555367</v>
          </cell>
          <cell r="I441">
            <v>4</v>
          </cell>
          <cell r="J441">
            <v>217600</v>
          </cell>
          <cell r="K441">
            <v>272000</v>
          </cell>
          <cell r="N441" t="str">
            <v>PAYW212</v>
          </cell>
          <cell r="O441">
            <v>53</v>
          </cell>
          <cell r="Q441">
            <v>68000</v>
          </cell>
          <cell r="U441">
            <v>499</v>
          </cell>
          <cell r="AJ441">
            <v>34</v>
          </cell>
          <cell r="AK441">
            <v>1849600</v>
          </cell>
          <cell r="AN441">
            <v>33932000</v>
          </cell>
          <cell r="AO441">
            <v>2312000</v>
          </cell>
        </row>
        <row r="442">
          <cell r="A442" t="str">
            <v>Y</v>
          </cell>
          <cell r="B442" t="str">
            <v>I</v>
          </cell>
          <cell r="C442" t="str">
            <v>ACC</v>
          </cell>
          <cell r="E442" t="str">
            <v>2</v>
          </cell>
          <cell r="F442" t="str">
            <v>W</v>
          </cell>
          <cell r="G442">
            <v>1</v>
          </cell>
          <cell r="H442">
            <v>4225767</v>
          </cell>
          <cell r="I442">
            <v>4</v>
          </cell>
          <cell r="J442">
            <v>217600</v>
          </cell>
          <cell r="K442">
            <v>272000</v>
          </cell>
          <cell r="N442" t="str">
            <v>IAYW213</v>
          </cell>
          <cell r="O442">
            <v>39</v>
          </cell>
          <cell r="Q442">
            <v>68000</v>
          </cell>
          <cell r="U442">
            <v>299</v>
          </cell>
          <cell r="AJ442">
            <v>23</v>
          </cell>
          <cell r="AK442">
            <v>1221200</v>
          </cell>
          <cell r="AN442">
            <v>20332000</v>
          </cell>
          <cell r="AO442">
            <v>1564000</v>
          </cell>
        </row>
        <row r="443">
          <cell r="A443" t="str">
            <v>Y</v>
          </cell>
          <cell r="B443" t="str">
            <v>I</v>
          </cell>
          <cell r="C443" t="str">
            <v>ACC</v>
          </cell>
          <cell r="E443" t="str">
            <v>1</v>
          </cell>
          <cell r="F443" t="str">
            <v>G</v>
          </cell>
          <cell r="G443">
            <v>1</v>
          </cell>
          <cell r="H443">
            <v>3813636</v>
          </cell>
          <cell r="I443">
            <v>7</v>
          </cell>
          <cell r="J443">
            <v>264000</v>
          </cell>
          <cell r="K443">
            <v>336000</v>
          </cell>
          <cell r="N443" t="str">
            <v>IAYG101</v>
          </cell>
          <cell r="O443">
            <v>31</v>
          </cell>
          <cell r="Q443">
            <v>48000</v>
          </cell>
          <cell r="U443">
            <v>398</v>
          </cell>
          <cell r="AJ443">
            <v>31</v>
          </cell>
          <cell r="AK443">
            <v>1185600</v>
          </cell>
          <cell r="AN443">
            <v>19104000</v>
          </cell>
          <cell r="AO443">
            <v>1488000</v>
          </cell>
        </row>
        <row r="444">
          <cell r="A444" t="str">
            <v>Y</v>
          </cell>
          <cell r="B444" t="str">
            <v>P</v>
          </cell>
          <cell r="C444" t="str">
            <v>ACC</v>
          </cell>
          <cell r="E444" t="str">
            <v>2</v>
          </cell>
          <cell r="F444" t="str">
            <v>W</v>
          </cell>
          <cell r="G444">
            <v>0</v>
          </cell>
          <cell r="H444">
            <v>4880547</v>
          </cell>
          <cell r="I444">
            <v>6</v>
          </cell>
          <cell r="J444">
            <v>278400</v>
          </cell>
          <cell r="K444">
            <v>348000</v>
          </cell>
          <cell r="N444" t="str">
            <v>PAYW211</v>
          </cell>
          <cell r="O444">
            <v>31</v>
          </cell>
          <cell r="Q444">
            <v>58000</v>
          </cell>
          <cell r="U444">
            <v>459</v>
          </cell>
          <cell r="AJ444">
            <v>36</v>
          </cell>
          <cell r="AK444">
            <v>1650400</v>
          </cell>
          <cell r="AN444">
            <v>26622000</v>
          </cell>
          <cell r="AO444">
            <v>2088000</v>
          </cell>
        </row>
        <row r="445">
          <cell r="A445" t="str">
            <v>Y</v>
          </cell>
          <cell r="B445" t="str">
            <v>I</v>
          </cell>
          <cell r="C445" t="str">
            <v>ACC</v>
          </cell>
          <cell r="E445" t="str">
            <v>2</v>
          </cell>
          <cell r="F445" t="str">
            <v>T</v>
          </cell>
          <cell r="G445">
            <v>1</v>
          </cell>
          <cell r="H445">
            <v>4546010</v>
          </cell>
          <cell r="I445">
            <v>14</v>
          </cell>
          <cell r="J445">
            <v>212800</v>
          </cell>
          <cell r="K445">
            <v>266000</v>
          </cell>
          <cell r="N445" t="str">
            <v>IAYT201</v>
          </cell>
          <cell r="O445">
            <v>31</v>
          </cell>
          <cell r="Q445">
            <v>19000</v>
          </cell>
          <cell r="U445">
            <v>1010</v>
          </cell>
          <cell r="AJ445">
            <v>85</v>
          </cell>
          <cell r="AK445">
            <v>1292000</v>
          </cell>
          <cell r="AN445">
            <v>19190000</v>
          </cell>
          <cell r="AO445">
            <v>1615000</v>
          </cell>
        </row>
        <row r="446">
          <cell r="A446" t="str">
            <v>Y</v>
          </cell>
          <cell r="B446" t="str">
            <v>P</v>
          </cell>
          <cell r="C446" t="str">
            <v>ACC</v>
          </cell>
          <cell r="E446" t="str">
            <v>2</v>
          </cell>
          <cell r="F446" t="str">
            <v>V</v>
          </cell>
          <cell r="G446">
            <v>1</v>
          </cell>
          <cell r="H446">
            <v>3035301</v>
          </cell>
          <cell r="I446">
            <v>0</v>
          </cell>
          <cell r="J446">
            <v>0</v>
          </cell>
          <cell r="K446">
            <v>0</v>
          </cell>
          <cell r="N446" t="str">
            <v>PAYV201</v>
          </cell>
          <cell r="O446">
            <v>49</v>
          </cell>
          <cell r="Q446">
            <v>68000</v>
          </cell>
          <cell r="U446">
            <v>201</v>
          </cell>
          <cell r="AJ446">
            <v>19</v>
          </cell>
          <cell r="AK446">
            <v>1006800</v>
          </cell>
          <cell r="AN446">
            <v>13668000</v>
          </cell>
          <cell r="AO446">
            <v>1292000</v>
          </cell>
        </row>
        <row r="447">
          <cell r="A447" t="str">
            <v>Y</v>
          </cell>
          <cell r="B447" t="str">
            <v>P</v>
          </cell>
          <cell r="C447" t="str">
            <v>ACC</v>
          </cell>
          <cell r="E447" t="str">
            <v>2</v>
          </cell>
          <cell r="F447" t="str">
            <v>W</v>
          </cell>
          <cell r="G447">
            <v>1</v>
          </cell>
          <cell r="H447">
            <v>2148669</v>
          </cell>
          <cell r="I447">
            <v>3</v>
          </cell>
          <cell r="J447">
            <v>163200</v>
          </cell>
          <cell r="K447">
            <v>204000</v>
          </cell>
          <cell r="N447" t="str">
            <v>PAYW207</v>
          </cell>
          <cell r="O447">
            <v>63</v>
          </cell>
          <cell r="Q447">
            <v>68000</v>
          </cell>
          <cell r="U447">
            <v>193</v>
          </cell>
          <cell r="AJ447">
            <v>19</v>
          </cell>
          <cell r="AK447">
            <v>1033600</v>
          </cell>
          <cell r="AN447">
            <v>13124000</v>
          </cell>
          <cell r="AO447">
            <v>1292000</v>
          </cell>
        </row>
        <row r="448">
          <cell r="A448" t="str">
            <v>Y</v>
          </cell>
          <cell r="B448" t="str">
            <v>P</v>
          </cell>
          <cell r="C448" t="str">
            <v>ACC</v>
          </cell>
          <cell r="E448" t="str">
            <v>1</v>
          </cell>
          <cell r="F448" t="str">
            <v>X</v>
          </cell>
          <cell r="G448">
            <v>1</v>
          </cell>
          <cell r="H448">
            <v>8441700</v>
          </cell>
          <cell r="I448">
            <v>4</v>
          </cell>
          <cell r="J448">
            <v>365800</v>
          </cell>
          <cell r="K448">
            <v>472000</v>
          </cell>
          <cell r="N448" t="str">
            <v>PAYX101</v>
          </cell>
          <cell r="O448">
            <v>49</v>
          </cell>
          <cell r="Q448">
            <v>118000</v>
          </cell>
          <cell r="U448">
            <v>300</v>
          </cell>
          <cell r="AJ448">
            <v>33</v>
          </cell>
          <cell r="AK448">
            <v>3054520</v>
          </cell>
          <cell r="AN448">
            <v>35400000</v>
          </cell>
          <cell r="AO448">
            <v>3894000</v>
          </cell>
        </row>
        <row r="449">
          <cell r="A449" t="str">
            <v>Y</v>
          </cell>
          <cell r="B449" t="str">
            <v>I</v>
          </cell>
          <cell r="C449" t="str">
            <v>ACC</v>
          </cell>
          <cell r="E449" t="str">
            <v>2</v>
          </cell>
          <cell r="F449" t="str">
            <v>W</v>
          </cell>
          <cell r="G449">
            <v>1</v>
          </cell>
          <cell r="H449">
            <v>1584317</v>
          </cell>
          <cell r="I449">
            <v>5</v>
          </cell>
          <cell r="J449">
            <v>232000</v>
          </cell>
          <cell r="K449">
            <v>290000</v>
          </cell>
          <cell r="N449" t="str">
            <v>IAYW211</v>
          </cell>
          <cell r="O449">
            <v>31</v>
          </cell>
          <cell r="Q449">
            <v>58000</v>
          </cell>
          <cell r="U449">
            <v>149</v>
          </cell>
          <cell r="AJ449">
            <v>18</v>
          </cell>
          <cell r="AK449">
            <v>835200</v>
          </cell>
          <cell r="AN449">
            <v>8642000</v>
          </cell>
          <cell r="AO449">
            <v>1044000</v>
          </cell>
        </row>
        <row r="450">
          <cell r="A450" t="str">
            <v>Y</v>
          </cell>
          <cell r="B450" t="str">
            <v>P</v>
          </cell>
          <cell r="C450" t="str">
            <v>ACC</v>
          </cell>
          <cell r="E450" t="str">
            <v>2</v>
          </cell>
          <cell r="F450" t="str">
            <v>W</v>
          </cell>
          <cell r="G450">
            <v>1</v>
          </cell>
          <cell r="H450">
            <v>3210467</v>
          </cell>
          <cell r="I450">
            <v>2</v>
          </cell>
          <cell r="J450">
            <v>108800</v>
          </cell>
          <cell r="K450">
            <v>136000</v>
          </cell>
          <cell r="N450" t="str">
            <v>PAYW208</v>
          </cell>
          <cell r="O450">
            <v>22</v>
          </cell>
          <cell r="Q450">
            <v>68000</v>
          </cell>
          <cell r="U450">
            <v>199</v>
          </cell>
          <cell r="AJ450">
            <v>25</v>
          </cell>
          <cell r="AK450">
            <v>1340000</v>
          </cell>
          <cell r="AN450">
            <v>13532000</v>
          </cell>
          <cell r="AO450">
            <v>1700000</v>
          </cell>
        </row>
        <row r="451">
          <cell r="A451" t="str">
            <v>Y</v>
          </cell>
          <cell r="B451" t="str">
            <v>I</v>
          </cell>
          <cell r="C451" t="str">
            <v>ACC</v>
          </cell>
          <cell r="E451" t="str">
            <v>2</v>
          </cell>
          <cell r="F451" t="str">
            <v>W</v>
          </cell>
          <cell r="G451">
            <v>1</v>
          </cell>
          <cell r="H451">
            <v>2513967</v>
          </cell>
          <cell r="I451">
            <v>2</v>
          </cell>
          <cell r="J451">
            <v>108800</v>
          </cell>
          <cell r="K451">
            <v>136000</v>
          </cell>
          <cell r="N451" t="str">
            <v>IAYW212</v>
          </cell>
          <cell r="O451">
            <v>39</v>
          </cell>
          <cell r="Q451">
            <v>68000</v>
          </cell>
          <cell r="U451">
            <v>199</v>
          </cell>
          <cell r="AJ451">
            <v>26</v>
          </cell>
          <cell r="AK451">
            <v>1428000</v>
          </cell>
          <cell r="AN451">
            <v>13532000</v>
          </cell>
          <cell r="AO451">
            <v>1768000</v>
          </cell>
        </row>
        <row r="452">
          <cell r="A452" t="str">
            <v>Y</v>
          </cell>
          <cell r="B452" t="str">
            <v>P</v>
          </cell>
          <cell r="C452" t="str">
            <v>ACC</v>
          </cell>
          <cell r="E452" t="str">
            <v>2</v>
          </cell>
          <cell r="F452" t="str">
            <v>W</v>
          </cell>
          <cell r="G452">
            <v>1</v>
          </cell>
          <cell r="H452">
            <v>1584317</v>
          </cell>
          <cell r="I452">
            <v>4</v>
          </cell>
          <cell r="J452">
            <v>185600</v>
          </cell>
          <cell r="K452">
            <v>232000</v>
          </cell>
          <cell r="N452" t="str">
            <v>PAYW202</v>
          </cell>
          <cell r="O452">
            <v>49</v>
          </cell>
          <cell r="Q452">
            <v>58000</v>
          </cell>
          <cell r="U452">
            <v>149</v>
          </cell>
          <cell r="AJ452">
            <v>20</v>
          </cell>
          <cell r="AK452">
            <v>898000</v>
          </cell>
          <cell r="AN452">
            <v>8642000</v>
          </cell>
          <cell r="AO452">
            <v>1160000</v>
          </cell>
        </row>
        <row r="453">
          <cell r="A453" t="str">
            <v>Y</v>
          </cell>
          <cell r="B453" t="str">
            <v>P</v>
          </cell>
          <cell r="C453" t="str">
            <v>ACC</v>
          </cell>
          <cell r="E453" t="str">
            <v>2</v>
          </cell>
          <cell r="F453" t="str">
            <v>W</v>
          </cell>
          <cell r="G453">
            <v>1</v>
          </cell>
          <cell r="H453">
            <v>2264922</v>
          </cell>
          <cell r="I453">
            <v>2</v>
          </cell>
          <cell r="J453">
            <v>108800</v>
          </cell>
          <cell r="K453">
            <v>136000</v>
          </cell>
          <cell r="N453" t="str">
            <v>PAYW201</v>
          </cell>
          <cell r="O453">
            <v>49</v>
          </cell>
          <cell r="Q453">
            <v>68000</v>
          </cell>
          <cell r="U453">
            <v>198</v>
          </cell>
          <cell r="AJ453">
            <v>29</v>
          </cell>
          <cell r="AK453">
            <v>1557600</v>
          </cell>
          <cell r="AN453">
            <v>13464000</v>
          </cell>
          <cell r="AO453">
            <v>1972000</v>
          </cell>
        </row>
        <row r="454">
          <cell r="A454" t="str">
            <v>Y</v>
          </cell>
          <cell r="B454" t="str">
            <v>P</v>
          </cell>
          <cell r="C454" t="str">
            <v>ACC</v>
          </cell>
          <cell r="E454" t="str">
            <v>1</v>
          </cell>
          <cell r="F454" t="str">
            <v>T</v>
          </cell>
          <cell r="G454">
            <v>1</v>
          </cell>
          <cell r="H454">
            <v>2255700</v>
          </cell>
          <cell r="I454">
            <v>0</v>
          </cell>
          <cell r="J454">
            <v>0</v>
          </cell>
          <cell r="K454">
            <v>0</v>
          </cell>
          <cell r="N454" t="str">
            <v>PAYT102</v>
          </cell>
          <cell r="O454">
            <v>31</v>
          </cell>
          <cell r="Q454">
            <v>26900</v>
          </cell>
          <cell r="U454">
            <v>309</v>
          </cell>
          <cell r="AJ454">
            <v>46</v>
          </cell>
          <cell r="AK454">
            <v>884660</v>
          </cell>
          <cell r="AN454">
            <v>8312100</v>
          </cell>
          <cell r="AO454">
            <v>1237400</v>
          </cell>
        </row>
        <row r="455">
          <cell r="A455" t="str">
            <v>Y</v>
          </cell>
          <cell r="B455" t="str">
            <v>P</v>
          </cell>
          <cell r="C455" t="str">
            <v>ACC</v>
          </cell>
          <cell r="E455" t="str">
            <v>2</v>
          </cell>
          <cell r="F455" t="str">
            <v>W</v>
          </cell>
          <cell r="G455">
            <v>0</v>
          </cell>
          <cell r="H455">
            <v>2115967</v>
          </cell>
          <cell r="I455">
            <v>1</v>
          </cell>
          <cell r="J455">
            <v>46400</v>
          </cell>
          <cell r="K455">
            <v>58000</v>
          </cell>
          <cell r="N455" t="str">
            <v>PAYW202</v>
          </cell>
          <cell r="O455">
            <v>31</v>
          </cell>
          <cell r="Q455">
            <v>58000</v>
          </cell>
          <cell r="U455">
            <v>199</v>
          </cell>
          <cell r="AJ455">
            <v>30</v>
          </cell>
          <cell r="AK455">
            <v>1296600</v>
          </cell>
          <cell r="AN455">
            <v>11542000</v>
          </cell>
          <cell r="AO455">
            <v>1740000</v>
          </cell>
        </row>
        <row r="456">
          <cell r="A456" t="str">
            <v>Y</v>
          </cell>
          <cell r="B456" t="str">
            <v>P</v>
          </cell>
          <cell r="C456" t="str">
            <v>ACC</v>
          </cell>
          <cell r="E456" t="str">
            <v>2</v>
          </cell>
          <cell r="F456" t="str">
            <v>X</v>
          </cell>
          <cell r="G456">
            <v>1</v>
          </cell>
          <cell r="H456">
            <v>0</v>
          </cell>
          <cell r="I456">
            <v>8</v>
          </cell>
          <cell r="J456">
            <v>759200</v>
          </cell>
          <cell r="K456">
            <v>1024000</v>
          </cell>
          <cell r="N456" t="str">
            <v>PAYX203</v>
          </cell>
          <cell r="O456">
            <v>49</v>
          </cell>
          <cell r="Q456">
            <v>128000</v>
          </cell>
          <cell r="U456">
            <v>197</v>
          </cell>
          <cell r="AJ456">
            <v>30</v>
          </cell>
          <cell r="AK456">
            <v>3012000</v>
          </cell>
          <cell r="AN456">
            <v>25216000</v>
          </cell>
          <cell r="AO456">
            <v>3840000</v>
          </cell>
        </row>
        <row r="457">
          <cell r="A457" t="str">
            <v>Y</v>
          </cell>
          <cell r="B457" t="str">
            <v>P</v>
          </cell>
          <cell r="C457" t="str">
            <v>ACC</v>
          </cell>
          <cell r="E457" t="str">
            <v>1</v>
          </cell>
          <cell r="F457" t="str">
            <v>W</v>
          </cell>
          <cell r="G457">
            <v>1</v>
          </cell>
          <cell r="H457">
            <v>2601522</v>
          </cell>
          <cell r="I457">
            <v>1</v>
          </cell>
          <cell r="J457">
            <v>54400</v>
          </cell>
          <cell r="K457">
            <v>68000</v>
          </cell>
          <cell r="N457" t="str">
            <v>PAYW104</v>
          </cell>
          <cell r="O457">
            <v>41</v>
          </cell>
          <cell r="Q457">
            <v>68000</v>
          </cell>
          <cell r="U457">
            <v>198</v>
          </cell>
          <cell r="AJ457">
            <v>33</v>
          </cell>
          <cell r="AK457">
            <v>1795200</v>
          </cell>
          <cell r="AN457">
            <v>13464000</v>
          </cell>
          <cell r="AO457">
            <v>2244000</v>
          </cell>
        </row>
        <row r="458">
          <cell r="A458" t="str">
            <v>Y</v>
          </cell>
          <cell r="B458" t="str">
            <v>P</v>
          </cell>
          <cell r="C458" t="str">
            <v>ACC</v>
          </cell>
          <cell r="E458" t="str">
            <v>2</v>
          </cell>
          <cell r="F458" t="str">
            <v>W</v>
          </cell>
          <cell r="G458">
            <v>0</v>
          </cell>
          <cell r="H458">
            <v>4823767</v>
          </cell>
          <cell r="I458">
            <v>10</v>
          </cell>
          <cell r="J458">
            <v>544000</v>
          </cell>
          <cell r="K458">
            <v>680000</v>
          </cell>
          <cell r="N458" t="str">
            <v>PAYW208</v>
          </cell>
          <cell r="O458">
            <v>49</v>
          </cell>
          <cell r="Q458">
            <v>68000</v>
          </cell>
          <cell r="U458">
            <v>299</v>
          </cell>
          <cell r="AJ458">
            <v>50</v>
          </cell>
          <cell r="AK458">
            <v>2720000</v>
          </cell>
          <cell r="AN458">
            <v>20332000</v>
          </cell>
          <cell r="AO458">
            <v>3400000</v>
          </cell>
        </row>
        <row r="459">
          <cell r="A459" t="str">
            <v>Y</v>
          </cell>
          <cell r="B459" t="str">
            <v>P</v>
          </cell>
          <cell r="C459" t="str">
            <v>ACC</v>
          </cell>
          <cell r="E459" t="str">
            <v>2</v>
          </cell>
          <cell r="F459" t="str">
            <v>W</v>
          </cell>
          <cell r="G459">
            <v>1</v>
          </cell>
          <cell r="H459">
            <v>4560361</v>
          </cell>
          <cell r="I459">
            <v>4</v>
          </cell>
          <cell r="J459">
            <v>185600</v>
          </cell>
          <cell r="K459">
            <v>232000</v>
          </cell>
          <cell r="N459" t="str">
            <v>PAYW214</v>
          </cell>
          <cell r="O459">
            <v>76</v>
          </cell>
          <cell r="Q459">
            <v>58000</v>
          </cell>
          <cell r="U459">
            <v>499</v>
          </cell>
          <cell r="AJ459">
            <v>88</v>
          </cell>
          <cell r="AK459">
            <v>3917800</v>
          </cell>
          <cell r="AN459">
            <v>28942000</v>
          </cell>
          <cell r="AO459">
            <v>5104000</v>
          </cell>
        </row>
        <row r="460">
          <cell r="A460" t="str">
            <v>Y</v>
          </cell>
          <cell r="B460" t="str">
            <v>I</v>
          </cell>
          <cell r="C460" t="str">
            <v>ACC</v>
          </cell>
          <cell r="E460" t="str">
            <v>1</v>
          </cell>
          <cell r="F460" t="str">
            <v>T</v>
          </cell>
          <cell r="G460">
            <v>0</v>
          </cell>
          <cell r="H460">
            <v>7446000</v>
          </cell>
          <cell r="I460">
            <v>2</v>
          </cell>
          <cell r="J460">
            <v>39800</v>
          </cell>
          <cell r="K460">
            <v>53800</v>
          </cell>
          <cell r="N460" t="str">
            <v>IAYT102</v>
          </cell>
          <cell r="O460">
            <v>39</v>
          </cell>
          <cell r="Q460">
            <v>26900</v>
          </cell>
          <cell r="U460">
            <v>1020</v>
          </cell>
          <cell r="AJ460">
            <v>186</v>
          </cell>
          <cell r="AK460">
            <v>3657110</v>
          </cell>
          <cell r="AN460">
            <v>27438000</v>
          </cell>
          <cell r="AO460">
            <v>5003400</v>
          </cell>
        </row>
        <row r="461">
          <cell r="A461" t="str">
            <v>Y</v>
          </cell>
          <cell r="B461" t="str">
            <v>P</v>
          </cell>
          <cell r="C461" t="str">
            <v>ACC</v>
          </cell>
          <cell r="E461" t="str">
            <v>1</v>
          </cell>
          <cell r="F461" t="str">
            <v>T</v>
          </cell>
          <cell r="G461">
            <v>0</v>
          </cell>
          <cell r="H461">
            <v>4504100</v>
          </cell>
          <cell r="I461">
            <v>1</v>
          </cell>
          <cell r="J461">
            <v>19900</v>
          </cell>
          <cell r="K461">
            <v>26900</v>
          </cell>
          <cell r="N461" t="str">
            <v>PAYT102</v>
          </cell>
          <cell r="O461">
            <v>39</v>
          </cell>
          <cell r="Q461">
            <v>26900</v>
          </cell>
          <cell r="U461">
            <v>617</v>
          </cell>
          <cell r="AJ461">
            <v>114</v>
          </cell>
          <cell r="AK461">
            <v>2242420</v>
          </cell>
          <cell r="AN461">
            <v>16597300</v>
          </cell>
          <cell r="AO461">
            <v>3066600</v>
          </cell>
        </row>
        <row r="462">
          <cell r="A462" t="str">
            <v>Y</v>
          </cell>
          <cell r="B462" t="str">
            <v>P</v>
          </cell>
          <cell r="C462" t="str">
            <v>ACC</v>
          </cell>
          <cell r="E462" t="str">
            <v>1</v>
          </cell>
          <cell r="F462" t="str">
            <v>W</v>
          </cell>
          <cell r="G462">
            <v>1</v>
          </cell>
          <cell r="H462">
            <v>2007522</v>
          </cell>
          <cell r="I462">
            <v>0</v>
          </cell>
          <cell r="J462">
            <v>0</v>
          </cell>
          <cell r="K462">
            <v>0</v>
          </cell>
          <cell r="N462" t="str">
            <v>PAYW101</v>
          </cell>
          <cell r="O462">
            <v>49</v>
          </cell>
          <cell r="Q462">
            <v>58000</v>
          </cell>
          <cell r="U462">
            <v>198</v>
          </cell>
          <cell r="AJ462">
            <v>41</v>
          </cell>
          <cell r="AK462">
            <v>1915880</v>
          </cell>
          <cell r="AN462">
            <v>11484000</v>
          </cell>
          <cell r="AO462">
            <v>2378000</v>
          </cell>
        </row>
        <row r="463">
          <cell r="A463" t="str">
            <v>Y</v>
          </cell>
          <cell r="B463" t="str">
            <v>I</v>
          </cell>
          <cell r="C463" t="str">
            <v>ACC</v>
          </cell>
          <cell r="E463" t="str">
            <v>2</v>
          </cell>
          <cell r="F463" t="str">
            <v>V</v>
          </cell>
          <cell r="G463">
            <v>1</v>
          </cell>
          <cell r="H463">
            <v>4060402</v>
          </cell>
          <cell r="I463">
            <v>4</v>
          </cell>
          <cell r="J463">
            <v>249600</v>
          </cell>
          <cell r="K463">
            <v>312000</v>
          </cell>
          <cell r="N463" t="str">
            <v>IAYV201</v>
          </cell>
          <cell r="O463">
            <v>49</v>
          </cell>
          <cell r="Q463">
            <v>78000</v>
          </cell>
          <cell r="U463">
            <v>202</v>
          </cell>
          <cell r="AJ463">
            <v>45</v>
          </cell>
          <cell r="AK463">
            <v>2793600</v>
          </cell>
          <cell r="AN463">
            <v>15756000</v>
          </cell>
          <cell r="AO463">
            <v>3510000</v>
          </cell>
        </row>
        <row r="464">
          <cell r="A464" t="str">
            <v>Y</v>
          </cell>
          <cell r="B464" t="str">
            <v>P</v>
          </cell>
          <cell r="C464" t="str">
            <v>ACC</v>
          </cell>
          <cell r="E464" t="str">
            <v>2</v>
          </cell>
          <cell r="F464" t="str">
            <v>W</v>
          </cell>
          <cell r="G464">
            <v>1</v>
          </cell>
          <cell r="H464">
            <v>3519117</v>
          </cell>
          <cell r="I464">
            <v>6</v>
          </cell>
          <cell r="J464">
            <v>326400</v>
          </cell>
          <cell r="K464">
            <v>408000</v>
          </cell>
          <cell r="N464" t="str">
            <v>PAYW206</v>
          </cell>
          <cell r="O464">
            <v>76</v>
          </cell>
          <cell r="Q464">
            <v>68000</v>
          </cell>
          <cell r="U464">
            <v>249</v>
          </cell>
          <cell r="AJ464">
            <v>57</v>
          </cell>
          <cell r="AK464">
            <v>2860800</v>
          </cell>
          <cell r="AN464">
            <v>16932000</v>
          </cell>
          <cell r="AO464">
            <v>3876000</v>
          </cell>
        </row>
        <row r="465">
          <cell r="A465" t="str">
            <v>Y</v>
          </cell>
          <cell r="B465" t="str">
            <v>P</v>
          </cell>
          <cell r="C465" t="str">
            <v>ACC</v>
          </cell>
          <cell r="E465" t="str">
            <v>2</v>
          </cell>
          <cell r="F465" t="str">
            <v>V</v>
          </cell>
          <cell r="G465">
            <v>0</v>
          </cell>
          <cell r="H465">
            <v>2295352</v>
          </cell>
          <cell r="I465">
            <v>6</v>
          </cell>
          <cell r="J465">
            <v>326400</v>
          </cell>
          <cell r="K465">
            <v>408000</v>
          </cell>
          <cell r="N465" t="str">
            <v>PAYV201</v>
          </cell>
          <cell r="O465">
            <v>76</v>
          </cell>
          <cell r="Q465">
            <v>68000</v>
          </cell>
          <cell r="U465">
            <v>152</v>
          </cell>
          <cell r="AJ465">
            <v>35</v>
          </cell>
          <cell r="AK465">
            <v>1897200</v>
          </cell>
          <cell r="AN465">
            <v>10336000</v>
          </cell>
          <cell r="AO465">
            <v>2380000</v>
          </cell>
        </row>
        <row r="466">
          <cell r="A466" t="str">
            <v>Y</v>
          </cell>
          <cell r="B466" t="str">
            <v>P</v>
          </cell>
          <cell r="C466" t="str">
            <v>ACC</v>
          </cell>
          <cell r="E466" t="str">
            <v>2</v>
          </cell>
          <cell r="F466" t="str">
            <v>W</v>
          </cell>
          <cell r="G466">
            <v>1</v>
          </cell>
          <cell r="H466">
            <v>2216661</v>
          </cell>
          <cell r="I466">
            <v>2</v>
          </cell>
          <cell r="J466">
            <v>92800</v>
          </cell>
          <cell r="K466">
            <v>116000</v>
          </cell>
          <cell r="N466" t="str">
            <v>PAYW204</v>
          </cell>
          <cell r="O466">
            <v>76</v>
          </cell>
          <cell r="Q466">
            <v>58000</v>
          </cell>
          <cell r="U466">
            <v>199</v>
          </cell>
          <cell r="AJ466">
            <v>46</v>
          </cell>
          <cell r="AK466">
            <v>2094400</v>
          </cell>
          <cell r="AN466">
            <v>11542000</v>
          </cell>
          <cell r="AO466">
            <v>2668000</v>
          </cell>
        </row>
        <row r="467">
          <cell r="A467" t="str">
            <v>Y</v>
          </cell>
          <cell r="B467" t="str">
            <v>P</v>
          </cell>
          <cell r="C467" t="str">
            <v>ACC</v>
          </cell>
          <cell r="E467" t="str">
            <v>2</v>
          </cell>
          <cell r="F467" t="str">
            <v>W</v>
          </cell>
          <cell r="G467">
            <v>1</v>
          </cell>
          <cell r="H467">
            <v>2523117</v>
          </cell>
          <cell r="I467">
            <v>3</v>
          </cell>
          <cell r="J467">
            <v>139200</v>
          </cell>
          <cell r="K467">
            <v>174000</v>
          </cell>
          <cell r="N467" t="str">
            <v>PAYW203</v>
          </cell>
          <cell r="O467">
            <v>45</v>
          </cell>
          <cell r="Q467">
            <v>58000</v>
          </cell>
          <cell r="U467">
            <v>249</v>
          </cell>
          <cell r="AJ467">
            <v>58</v>
          </cell>
          <cell r="AK467">
            <v>2644800</v>
          </cell>
          <cell r="AN467">
            <v>14442000</v>
          </cell>
          <cell r="AO467">
            <v>3364000</v>
          </cell>
        </row>
        <row r="468">
          <cell r="A468" t="str">
            <v>Y</v>
          </cell>
          <cell r="B468" t="str">
            <v>P</v>
          </cell>
          <cell r="C468" t="str">
            <v>ACC</v>
          </cell>
          <cell r="E468" t="str">
            <v>2</v>
          </cell>
          <cell r="F468" t="str">
            <v>W</v>
          </cell>
          <cell r="G468">
            <v>0</v>
          </cell>
          <cell r="H468">
            <v>3328767</v>
          </cell>
          <cell r="I468">
            <v>5</v>
          </cell>
          <cell r="J468">
            <v>272000</v>
          </cell>
          <cell r="K468">
            <v>340000</v>
          </cell>
          <cell r="N468" t="str">
            <v>PAYW207</v>
          </cell>
          <cell r="O468">
            <v>49</v>
          </cell>
          <cell r="Q468">
            <v>68000</v>
          </cell>
          <cell r="U468">
            <v>299</v>
          </cell>
          <cell r="AJ468">
            <v>70</v>
          </cell>
          <cell r="AK468">
            <v>3608000</v>
          </cell>
          <cell r="AN468">
            <v>20332000</v>
          </cell>
          <cell r="AO468">
            <v>4760000</v>
          </cell>
        </row>
        <row r="469">
          <cell r="A469" t="str">
            <v>Y</v>
          </cell>
          <cell r="B469" t="str">
            <v>P</v>
          </cell>
          <cell r="C469" t="str">
            <v>ACC</v>
          </cell>
          <cell r="E469" t="str">
            <v>2</v>
          </cell>
          <cell r="F469" t="str">
            <v>W</v>
          </cell>
          <cell r="G469">
            <v>1</v>
          </cell>
          <cell r="H469">
            <v>2238939</v>
          </cell>
          <cell r="I469">
            <v>7</v>
          </cell>
          <cell r="J469">
            <v>324800</v>
          </cell>
          <cell r="K469">
            <v>406000</v>
          </cell>
          <cell r="N469" t="str">
            <v>PAYW215</v>
          </cell>
          <cell r="O469">
            <v>49</v>
          </cell>
          <cell r="Q469">
            <v>58000</v>
          </cell>
          <cell r="U469">
            <v>201</v>
          </cell>
          <cell r="AJ469">
            <v>48</v>
          </cell>
          <cell r="AK469">
            <v>2227200</v>
          </cell>
          <cell r="AN469">
            <v>11658000</v>
          </cell>
          <cell r="AO469">
            <v>2784000</v>
          </cell>
        </row>
        <row r="470">
          <cell r="A470" t="str">
            <v>Y</v>
          </cell>
          <cell r="B470" t="str">
            <v>P</v>
          </cell>
          <cell r="C470" t="str">
            <v>ACC</v>
          </cell>
          <cell r="E470" t="str">
            <v>2</v>
          </cell>
          <cell r="F470" t="str">
            <v>W</v>
          </cell>
          <cell r="G470">
            <v>1</v>
          </cell>
          <cell r="H470">
            <v>2813661</v>
          </cell>
          <cell r="I470">
            <v>3</v>
          </cell>
          <cell r="J470">
            <v>163200</v>
          </cell>
          <cell r="K470">
            <v>204000</v>
          </cell>
          <cell r="N470" t="str">
            <v>PAYW210</v>
          </cell>
          <cell r="O470">
            <v>32</v>
          </cell>
          <cell r="Q470">
            <v>68000</v>
          </cell>
          <cell r="U470">
            <v>199</v>
          </cell>
          <cell r="AJ470">
            <v>48</v>
          </cell>
          <cell r="AK470">
            <v>2448400</v>
          </cell>
          <cell r="AN470">
            <v>13532000</v>
          </cell>
          <cell r="AO470">
            <v>3264000</v>
          </cell>
        </row>
        <row r="471">
          <cell r="A471" t="str">
            <v>Y</v>
          </cell>
          <cell r="B471" t="str">
            <v>I</v>
          </cell>
          <cell r="C471" t="str">
            <v>ACC</v>
          </cell>
          <cell r="E471" t="str">
            <v>1</v>
          </cell>
          <cell r="F471" t="str">
            <v>W</v>
          </cell>
          <cell r="G471">
            <v>1</v>
          </cell>
          <cell r="H471">
            <v>1734211</v>
          </cell>
          <cell r="I471">
            <v>1</v>
          </cell>
          <cell r="J471">
            <v>46400</v>
          </cell>
          <cell r="K471">
            <v>58000</v>
          </cell>
          <cell r="N471" t="str">
            <v>IAYW103</v>
          </cell>
          <cell r="O471">
            <v>76</v>
          </cell>
          <cell r="Q471">
            <v>58000</v>
          </cell>
          <cell r="U471">
            <v>149</v>
          </cell>
          <cell r="AJ471">
            <v>36</v>
          </cell>
          <cell r="AK471">
            <v>1612400</v>
          </cell>
          <cell r="AN471">
            <v>8642000</v>
          </cell>
          <cell r="AO471">
            <v>2088000</v>
          </cell>
        </row>
        <row r="472">
          <cell r="A472" t="str">
            <v>Y</v>
          </cell>
          <cell r="B472" t="str">
            <v>P</v>
          </cell>
          <cell r="C472" t="str">
            <v>ACC</v>
          </cell>
          <cell r="E472" t="str">
            <v>2</v>
          </cell>
          <cell r="F472" t="str">
            <v>W</v>
          </cell>
          <cell r="G472">
            <v>0</v>
          </cell>
          <cell r="H472">
            <v>3504984</v>
          </cell>
          <cell r="I472">
            <v>6</v>
          </cell>
          <cell r="J472">
            <v>326400</v>
          </cell>
          <cell r="K472">
            <v>408000</v>
          </cell>
          <cell r="N472" t="str">
            <v>PAYW206</v>
          </cell>
          <cell r="O472">
            <v>49</v>
          </cell>
          <cell r="Q472">
            <v>68000</v>
          </cell>
          <cell r="U472">
            <v>248</v>
          </cell>
          <cell r="AJ472">
            <v>61</v>
          </cell>
          <cell r="AK472">
            <v>3242000</v>
          </cell>
          <cell r="AN472">
            <v>16864000</v>
          </cell>
          <cell r="AO472">
            <v>4148000</v>
          </cell>
        </row>
        <row r="473">
          <cell r="A473" t="str">
            <v>Y</v>
          </cell>
          <cell r="B473" t="str">
            <v>P</v>
          </cell>
          <cell r="C473" t="str">
            <v>ACC</v>
          </cell>
          <cell r="E473" t="str">
            <v>1</v>
          </cell>
          <cell r="F473" t="str">
            <v>W</v>
          </cell>
          <cell r="G473">
            <v>0</v>
          </cell>
          <cell r="H473">
            <v>3258472</v>
          </cell>
          <cell r="I473">
            <v>3</v>
          </cell>
          <cell r="J473">
            <v>163200</v>
          </cell>
          <cell r="K473">
            <v>204000</v>
          </cell>
          <cell r="N473" t="str">
            <v>PAYW104</v>
          </cell>
          <cell r="O473">
            <v>76</v>
          </cell>
          <cell r="Q473">
            <v>68000</v>
          </cell>
          <cell r="U473">
            <v>248</v>
          </cell>
          <cell r="AJ473">
            <v>63</v>
          </cell>
          <cell r="AK473">
            <v>3280800</v>
          </cell>
          <cell r="AN473">
            <v>16864000</v>
          </cell>
          <cell r="AO473">
            <v>4284000</v>
          </cell>
        </row>
        <row r="474">
          <cell r="A474" t="str">
            <v>Y</v>
          </cell>
          <cell r="B474" t="str">
            <v>P</v>
          </cell>
          <cell r="C474" t="str">
            <v>ACC</v>
          </cell>
          <cell r="E474" t="str">
            <v>1</v>
          </cell>
          <cell r="F474" t="str">
            <v>Y</v>
          </cell>
          <cell r="G474">
            <v>1</v>
          </cell>
          <cell r="H474">
            <v>525000</v>
          </cell>
          <cell r="I474">
            <v>1</v>
          </cell>
          <cell r="J474">
            <v>9600</v>
          </cell>
          <cell r="K474">
            <v>12000</v>
          </cell>
          <cell r="N474" t="str">
            <v>PAYY101</v>
          </cell>
          <cell r="O474">
            <v>39</v>
          </cell>
          <cell r="Q474">
            <v>12000</v>
          </cell>
          <cell r="U474">
            <v>210</v>
          </cell>
          <cell r="AJ474">
            <v>54</v>
          </cell>
          <cell r="AK474">
            <v>518400</v>
          </cell>
          <cell r="AN474">
            <v>2520000</v>
          </cell>
          <cell r="AO474">
            <v>648000</v>
          </cell>
        </row>
        <row r="475">
          <cell r="A475" t="str">
            <v>Y</v>
          </cell>
          <cell r="B475" t="str">
            <v>P</v>
          </cell>
          <cell r="C475" t="str">
            <v>ACC</v>
          </cell>
          <cell r="E475" t="str">
            <v>2</v>
          </cell>
          <cell r="F475" t="str">
            <v>W</v>
          </cell>
          <cell r="G475">
            <v>0</v>
          </cell>
          <cell r="H475">
            <v>2264922</v>
          </cell>
          <cell r="I475">
            <v>5</v>
          </cell>
          <cell r="J475">
            <v>272000</v>
          </cell>
          <cell r="K475">
            <v>340000</v>
          </cell>
          <cell r="N475" t="str">
            <v>PAYW201</v>
          </cell>
          <cell r="O475">
            <v>31</v>
          </cell>
          <cell r="Q475">
            <v>68000</v>
          </cell>
          <cell r="U475">
            <v>198</v>
          </cell>
          <cell r="AJ475">
            <v>51</v>
          </cell>
          <cell r="AK475">
            <v>2741600</v>
          </cell>
          <cell r="AN475">
            <v>13464000</v>
          </cell>
          <cell r="AO475">
            <v>3468000</v>
          </cell>
        </row>
        <row r="476">
          <cell r="A476" t="str">
            <v>Y</v>
          </cell>
          <cell r="B476" t="str">
            <v>I</v>
          </cell>
          <cell r="C476" t="str">
            <v>ACC</v>
          </cell>
          <cell r="E476" t="str">
            <v>1</v>
          </cell>
          <cell r="F476" t="str">
            <v>W</v>
          </cell>
          <cell r="G476">
            <v>1</v>
          </cell>
          <cell r="H476">
            <v>2734750</v>
          </cell>
          <cell r="I476">
            <v>1</v>
          </cell>
          <cell r="J476">
            <v>46400</v>
          </cell>
          <cell r="K476">
            <v>58000</v>
          </cell>
          <cell r="N476" t="str">
            <v>IAYW102</v>
          </cell>
          <cell r="O476">
            <v>37</v>
          </cell>
          <cell r="Q476">
            <v>58000</v>
          </cell>
          <cell r="U476">
            <v>250</v>
          </cell>
          <cell r="AJ476">
            <v>65</v>
          </cell>
          <cell r="AK476">
            <v>3013280</v>
          </cell>
          <cell r="AN476">
            <v>14500000</v>
          </cell>
          <cell r="AO476">
            <v>3770000</v>
          </cell>
        </row>
        <row r="477">
          <cell r="A477" t="str">
            <v>Y</v>
          </cell>
          <cell r="B477" t="str">
            <v>I</v>
          </cell>
          <cell r="C477" t="str">
            <v>ACC</v>
          </cell>
          <cell r="E477" t="str">
            <v>2</v>
          </cell>
          <cell r="F477" t="str">
            <v>W</v>
          </cell>
          <cell r="G477">
            <v>0</v>
          </cell>
          <cell r="H477">
            <v>3504984</v>
          </cell>
          <cell r="I477">
            <v>10</v>
          </cell>
          <cell r="J477">
            <v>544000</v>
          </cell>
          <cell r="K477">
            <v>680000</v>
          </cell>
          <cell r="N477" t="str">
            <v>IAYW213</v>
          </cell>
          <cell r="O477">
            <v>32</v>
          </cell>
          <cell r="Q477">
            <v>68000</v>
          </cell>
          <cell r="U477">
            <v>248</v>
          </cell>
          <cell r="AJ477">
            <v>67</v>
          </cell>
          <cell r="AK477">
            <v>3594800</v>
          </cell>
          <cell r="AN477">
            <v>16864000</v>
          </cell>
          <cell r="AO477">
            <v>4556000</v>
          </cell>
        </row>
        <row r="478">
          <cell r="A478" t="str">
            <v>Y</v>
          </cell>
          <cell r="B478" t="str">
            <v>P</v>
          </cell>
          <cell r="C478" t="str">
            <v>ACC</v>
          </cell>
          <cell r="E478" t="str">
            <v>2</v>
          </cell>
          <cell r="F478" t="str">
            <v>W</v>
          </cell>
          <cell r="G478">
            <v>1</v>
          </cell>
          <cell r="H478">
            <v>4792806</v>
          </cell>
          <cell r="I478">
            <v>6</v>
          </cell>
          <cell r="J478">
            <v>326400</v>
          </cell>
          <cell r="K478">
            <v>408000</v>
          </cell>
          <cell r="N478" t="str">
            <v>PAYW209</v>
          </cell>
          <cell r="O478">
            <v>49</v>
          </cell>
          <cell r="Q478">
            <v>68000</v>
          </cell>
          <cell r="U478">
            <v>354</v>
          </cell>
          <cell r="AJ478">
            <v>97</v>
          </cell>
          <cell r="AK478">
            <v>5222400</v>
          </cell>
          <cell r="AN478">
            <v>24072000</v>
          </cell>
          <cell r="AO478">
            <v>6596000</v>
          </cell>
        </row>
        <row r="479">
          <cell r="A479" t="str">
            <v>Y</v>
          </cell>
          <cell r="B479" t="str">
            <v>P</v>
          </cell>
          <cell r="C479" t="str">
            <v>ACC</v>
          </cell>
          <cell r="E479" t="str">
            <v>2</v>
          </cell>
          <cell r="F479" t="str">
            <v>W</v>
          </cell>
          <cell r="G479">
            <v>0</v>
          </cell>
          <cell r="H479">
            <v>3330594</v>
          </cell>
          <cell r="I479">
            <v>5</v>
          </cell>
          <cell r="J479">
            <v>272000</v>
          </cell>
          <cell r="K479">
            <v>340000</v>
          </cell>
          <cell r="N479" t="str">
            <v>PAYW209</v>
          </cell>
          <cell r="O479">
            <v>31</v>
          </cell>
          <cell r="Q479">
            <v>68000</v>
          </cell>
          <cell r="U479">
            <v>246</v>
          </cell>
          <cell r="AJ479">
            <v>69</v>
          </cell>
          <cell r="AK479">
            <v>3563600</v>
          </cell>
          <cell r="AN479">
            <v>16728000</v>
          </cell>
          <cell r="AO479">
            <v>4692000</v>
          </cell>
        </row>
        <row r="480">
          <cell r="A480" t="str">
            <v>Y</v>
          </cell>
          <cell r="B480" t="str">
            <v>P</v>
          </cell>
          <cell r="C480" t="str">
            <v>ACC</v>
          </cell>
          <cell r="E480" t="str">
            <v>2</v>
          </cell>
          <cell r="F480" t="str">
            <v>W</v>
          </cell>
          <cell r="G480">
            <v>0</v>
          </cell>
          <cell r="H480">
            <v>4227561</v>
          </cell>
          <cell r="I480">
            <v>3</v>
          </cell>
          <cell r="J480">
            <v>163200</v>
          </cell>
          <cell r="K480">
            <v>204000</v>
          </cell>
          <cell r="N480" t="str">
            <v>PAYW210</v>
          </cell>
          <cell r="O480">
            <v>49</v>
          </cell>
          <cell r="Q480">
            <v>68000</v>
          </cell>
          <cell r="U480">
            <v>299</v>
          </cell>
          <cell r="AJ480">
            <v>86</v>
          </cell>
          <cell r="AK480">
            <v>4604000</v>
          </cell>
          <cell r="AN480">
            <v>20332000</v>
          </cell>
          <cell r="AO480">
            <v>5848000</v>
          </cell>
        </row>
        <row r="481">
          <cell r="A481" t="str">
            <v>Y</v>
          </cell>
          <cell r="B481" t="str">
            <v>P</v>
          </cell>
          <cell r="C481" t="str">
            <v>ACC</v>
          </cell>
          <cell r="E481" t="str">
            <v>2</v>
          </cell>
          <cell r="F481" t="str">
            <v>W</v>
          </cell>
          <cell r="G481">
            <v>0</v>
          </cell>
          <cell r="H481">
            <v>2523117</v>
          </cell>
          <cell r="I481">
            <v>5</v>
          </cell>
          <cell r="J481">
            <v>232000</v>
          </cell>
          <cell r="K481">
            <v>290000</v>
          </cell>
          <cell r="N481" t="str">
            <v>PAYW203</v>
          </cell>
          <cell r="O481">
            <v>74</v>
          </cell>
          <cell r="Q481">
            <v>58000</v>
          </cell>
          <cell r="U481">
            <v>249</v>
          </cell>
          <cell r="AJ481">
            <v>73</v>
          </cell>
          <cell r="AK481">
            <v>3329200</v>
          </cell>
          <cell r="AN481">
            <v>14442000</v>
          </cell>
          <cell r="AO481">
            <v>4234000</v>
          </cell>
        </row>
        <row r="482">
          <cell r="A482" t="str">
            <v>Y</v>
          </cell>
          <cell r="B482" t="str">
            <v>I</v>
          </cell>
          <cell r="C482" t="str">
            <v>ACC</v>
          </cell>
          <cell r="E482" t="str">
            <v>1</v>
          </cell>
          <cell r="F482" t="str">
            <v>W</v>
          </cell>
          <cell r="G482">
            <v>1</v>
          </cell>
          <cell r="H482">
            <v>2117161</v>
          </cell>
          <cell r="I482">
            <v>5</v>
          </cell>
          <cell r="J482">
            <v>232000</v>
          </cell>
          <cell r="K482">
            <v>290000</v>
          </cell>
          <cell r="N482" t="str">
            <v>IAYW104</v>
          </cell>
          <cell r="O482">
            <v>49</v>
          </cell>
          <cell r="Q482">
            <v>58000</v>
          </cell>
          <cell r="U482">
            <v>199</v>
          </cell>
          <cell r="AJ482">
            <v>59</v>
          </cell>
          <cell r="AK482">
            <v>2737600</v>
          </cell>
          <cell r="AN482">
            <v>11542000</v>
          </cell>
          <cell r="AO482">
            <v>3422000</v>
          </cell>
        </row>
        <row r="483">
          <cell r="A483" t="str">
            <v>Y</v>
          </cell>
          <cell r="B483" t="str">
            <v>I</v>
          </cell>
          <cell r="C483" t="str">
            <v>ACC</v>
          </cell>
          <cell r="E483" t="str">
            <v>1</v>
          </cell>
          <cell r="F483" t="str">
            <v>W</v>
          </cell>
          <cell r="G483">
            <v>1</v>
          </cell>
          <cell r="H483">
            <v>2187800</v>
          </cell>
          <cell r="I483">
            <v>0</v>
          </cell>
          <cell r="J483">
            <v>0</v>
          </cell>
          <cell r="K483">
            <v>0</v>
          </cell>
          <cell r="N483" t="str">
            <v>IAYW106</v>
          </cell>
          <cell r="O483">
            <v>61</v>
          </cell>
          <cell r="Q483">
            <v>58000</v>
          </cell>
          <cell r="U483">
            <v>200</v>
          </cell>
          <cell r="AJ483">
            <v>62</v>
          </cell>
          <cell r="AK483">
            <v>2813600</v>
          </cell>
          <cell r="AN483">
            <v>11600000</v>
          </cell>
          <cell r="AO483">
            <v>3596000</v>
          </cell>
        </row>
        <row r="484">
          <cell r="A484" t="str">
            <v>Y</v>
          </cell>
          <cell r="B484" t="str">
            <v>I</v>
          </cell>
          <cell r="C484" t="str">
            <v>ACC</v>
          </cell>
          <cell r="E484" t="str">
            <v>2</v>
          </cell>
          <cell r="F484" t="str">
            <v>W</v>
          </cell>
          <cell r="G484">
            <v>1</v>
          </cell>
          <cell r="H484">
            <v>2772117</v>
          </cell>
          <cell r="I484">
            <v>6</v>
          </cell>
          <cell r="J484">
            <v>278400</v>
          </cell>
          <cell r="K484">
            <v>348000</v>
          </cell>
          <cell r="N484" t="str">
            <v>IAYW203</v>
          </cell>
          <cell r="O484">
            <v>37</v>
          </cell>
          <cell r="Q484">
            <v>58000</v>
          </cell>
          <cell r="U484">
            <v>249</v>
          </cell>
          <cell r="AJ484">
            <v>78</v>
          </cell>
          <cell r="AK484">
            <v>3665600</v>
          </cell>
          <cell r="AN484">
            <v>14442000</v>
          </cell>
          <cell r="AO484">
            <v>4524000</v>
          </cell>
        </row>
        <row r="485">
          <cell r="A485" t="str">
            <v>Y</v>
          </cell>
          <cell r="B485" t="str">
            <v>P</v>
          </cell>
          <cell r="C485" t="str">
            <v>ACC</v>
          </cell>
          <cell r="E485" t="str">
            <v>2</v>
          </cell>
          <cell r="F485" t="str">
            <v>W</v>
          </cell>
          <cell r="G485">
            <v>0</v>
          </cell>
          <cell r="H485">
            <v>2762472</v>
          </cell>
          <cell r="I485">
            <v>5</v>
          </cell>
          <cell r="J485">
            <v>232000</v>
          </cell>
          <cell r="K485">
            <v>290000</v>
          </cell>
          <cell r="N485" t="str">
            <v>PAYW204</v>
          </cell>
          <cell r="O485">
            <v>39</v>
          </cell>
          <cell r="Q485">
            <v>58000</v>
          </cell>
          <cell r="U485">
            <v>248</v>
          </cell>
          <cell r="AJ485">
            <v>78</v>
          </cell>
          <cell r="AK485">
            <v>3600800</v>
          </cell>
          <cell r="AN485">
            <v>14384000</v>
          </cell>
          <cell r="AO485">
            <v>4524000</v>
          </cell>
        </row>
        <row r="486">
          <cell r="A486" t="str">
            <v>Y</v>
          </cell>
          <cell r="B486" t="str">
            <v>I</v>
          </cell>
          <cell r="C486" t="str">
            <v>ACC</v>
          </cell>
          <cell r="E486" t="str">
            <v>2</v>
          </cell>
          <cell r="F486" t="str">
            <v>W</v>
          </cell>
          <cell r="G486">
            <v>1</v>
          </cell>
          <cell r="H486">
            <v>3567967</v>
          </cell>
          <cell r="I486">
            <v>8</v>
          </cell>
          <cell r="J486">
            <v>371200</v>
          </cell>
          <cell r="K486">
            <v>464000</v>
          </cell>
          <cell r="N486" t="str">
            <v>IAYW201</v>
          </cell>
          <cell r="O486">
            <v>49</v>
          </cell>
          <cell r="Q486">
            <v>58000</v>
          </cell>
          <cell r="U486">
            <v>299</v>
          </cell>
          <cell r="AJ486">
            <v>97</v>
          </cell>
          <cell r="AK486">
            <v>4480800</v>
          </cell>
          <cell r="AN486">
            <v>17342000</v>
          </cell>
          <cell r="AO486">
            <v>5626000</v>
          </cell>
        </row>
        <row r="487">
          <cell r="A487" t="str">
            <v>Y</v>
          </cell>
          <cell r="B487" t="str">
            <v>I</v>
          </cell>
          <cell r="C487" t="str">
            <v>ACC</v>
          </cell>
          <cell r="E487" t="str">
            <v>2</v>
          </cell>
          <cell r="F487" t="str">
            <v>W</v>
          </cell>
          <cell r="G487">
            <v>1</v>
          </cell>
          <cell r="H487">
            <v>3029767</v>
          </cell>
          <cell r="I487">
            <v>10</v>
          </cell>
          <cell r="J487">
            <v>464000</v>
          </cell>
          <cell r="K487">
            <v>580000</v>
          </cell>
          <cell r="N487" t="str">
            <v>IAYW205</v>
          </cell>
          <cell r="O487">
            <v>49</v>
          </cell>
          <cell r="Q487">
            <v>58000</v>
          </cell>
          <cell r="U487">
            <v>299</v>
          </cell>
          <cell r="AJ487">
            <v>100</v>
          </cell>
          <cell r="AK487">
            <v>4606400</v>
          </cell>
          <cell r="AN487">
            <v>17342000</v>
          </cell>
          <cell r="AO487">
            <v>5800000</v>
          </cell>
        </row>
        <row r="488">
          <cell r="A488" t="str">
            <v>Y</v>
          </cell>
          <cell r="B488" t="str">
            <v>I</v>
          </cell>
          <cell r="C488" t="str">
            <v>ACC</v>
          </cell>
          <cell r="E488" t="str">
            <v>2</v>
          </cell>
          <cell r="F488" t="str">
            <v>W</v>
          </cell>
          <cell r="G488">
            <v>1</v>
          </cell>
          <cell r="H488">
            <v>3029767</v>
          </cell>
          <cell r="I488">
            <v>7</v>
          </cell>
          <cell r="J488">
            <v>304800</v>
          </cell>
          <cell r="K488">
            <v>406000</v>
          </cell>
          <cell r="N488" t="str">
            <v>IAYW210</v>
          </cell>
          <cell r="O488">
            <v>49</v>
          </cell>
          <cell r="Q488">
            <v>58000</v>
          </cell>
          <cell r="U488">
            <v>299</v>
          </cell>
          <cell r="AJ488">
            <v>100</v>
          </cell>
          <cell r="AK488">
            <v>4571000</v>
          </cell>
          <cell r="AN488">
            <v>17342000</v>
          </cell>
          <cell r="AO488">
            <v>5800000</v>
          </cell>
        </row>
        <row r="489">
          <cell r="A489" t="str">
            <v>Y</v>
          </cell>
          <cell r="B489" t="str">
            <v>P</v>
          </cell>
          <cell r="C489" t="str">
            <v>ACC</v>
          </cell>
          <cell r="E489" t="str">
            <v>2</v>
          </cell>
          <cell r="F489" t="str">
            <v>W</v>
          </cell>
          <cell r="G489">
            <v>0</v>
          </cell>
          <cell r="H489">
            <v>4560361</v>
          </cell>
          <cell r="I489">
            <v>10</v>
          </cell>
          <cell r="J489">
            <v>464000</v>
          </cell>
          <cell r="K489">
            <v>580000</v>
          </cell>
          <cell r="N489" t="str">
            <v>PAYW214</v>
          </cell>
          <cell r="O489">
            <v>39</v>
          </cell>
          <cell r="Q489">
            <v>58000</v>
          </cell>
          <cell r="U489">
            <v>499</v>
          </cell>
          <cell r="AJ489">
            <v>170</v>
          </cell>
          <cell r="AK489">
            <v>7798400</v>
          </cell>
          <cell r="AN489">
            <v>28942000</v>
          </cell>
          <cell r="AO489">
            <v>9860000</v>
          </cell>
        </row>
        <row r="490">
          <cell r="A490" t="str">
            <v>Y</v>
          </cell>
          <cell r="B490" t="str">
            <v>P</v>
          </cell>
          <cell r="C490" t="str">
            <v>ACC</v>
          </cell>
          <cell r="E490" t="str">
            <v>2</v>
          </cell>
          <cell r="F490" t="str">
            <v>W</v>
          </cell>
          <cell r="G490">
            <v>1</v>
          </cell>
          <cell r="H490">
            <v>1595850</v>
          </cell>
          <cell r="I490">
            <v>5</v>
          </cell>
          <cell r="J490">
            <v>232000</v>
          </cell>
          <cell r="K490">
            <v>290000</v>
          </cell>
          <cell r="N490" t="str">
            <v>PAYW213</v>
          </cell>
          <cell r="O490">
            <v>31</v>
          </cell>
          <cell r="Q490">
            <v>58000</v>
          </cell>
          <cell r="U490">
            <v>150</v>
          </cell>
          <cell r="AJ490">
            <v>52</v>
          </cell>
          <cell r="AK490">
            <v>2297400</v>
          </cell>
          <cell r="AN490">
            <v>8700000</v>
          </cell>
          <cell r="AO490">
            <v>3016000</v>
          </cell>
        </row>
        <row r="491">
          <cell r="A491" t="str">
            <v>Y</v>
          </cell>
          <cell r="B491" t="str">
            <v>I</v>
          </cell>
          <cell r="C491" t="str">
            <v>ACC</v>
          </cell>
          <cell r="E491" t="str">
            <v>2</v>
          </cell>
          <cell r="F491" t="str">
            <v>W</v>
          </cell>
          <cell r="G491">
            <v>0</v>
          </cell>
          <cell r="H491">
            <v>2115967</v>
          </cell>
          <cell r="I491">
            <v>1</v>
          </cell>
          <cell r="J491">
            <v>46400</v>
          </cell>
          <cell r="K491">
            <v>58000</v>
          </cell>
          <cell r="N491" t="str">
            <v>IAYW211</v>
          </cell>
          <cell r="O491">
            <v>39</v>
          </cell>
          <cell r="Q491">
            <v>58000</v>
          </cell>
          <cell r="U491">
            <v>199</v>
          </cell>
          <cell r="AJ491">
            <v>69</v>
          </cell>
          <cell r="AK491">
            <v>3224800</v>
          </cell>
          <cell r="AN491">
            <v>11542000</v>
          </cell>
          <cell r="AO491">
            <v>4002000</v>
          </cell>
        </row>
        <row r="492">
          <cell r="A492" t="str">
            <v>Y</v>
          </cell>
          <cell r="B492" t="str">
            <v>I</v>
          </cell>
          <cell r="C492" t="str">
            <v>ACC</v>
          </cell>
          <cell r="E492" t="str">
            <v>2</v>
          </cell>
          <cell r="F492" t="str">
            <v>W</v>
          </cell>
          <cell r="G492">
            <v>1</v>
          </cell>
          <cell r="H492">
            <v>2626351</v>
          </cell>
          <cell r="I492">
            <v>9</v>
          </cell>
          <cell r="J492">
            <v>417600</v>
          </cell>
          <cell r="K492">
            <v>522000</v>
          </cell>
          <cell r="N492" t="str">
            <v>IAYW208</v>
          </cell>
          <cell r="O492">
            <v>49</v>
          </cell>
          <cell r="Q492">
            <v>58000</v>
          </cell>
          <cell r="U492">
            <v>247</v>
          </cell>
          <cell r="AJ492">
            <v>92</v>
          </cell>
          <cell r="AK492">
            <v>4268800</v>
          </cell>
          <cell r="AN492">
            <v>14326000</v>
          </cell>
          <cell r="AO492">
            <v>5336000</v>
          </cell>
        </row>
        <row r="493">
          <cell r="A493" t="str">
            <v>Y</v>
          </cell>
          <cell r="B493" t="str">
            <v>I</v>
          </cell>
          <cell r="C493" t="str">
            <v>ACC</v>
          </cell>
          <cell r="E493" t="str">
            <v>2</v>
          </cell>
          <cell r="F493" t="str">
            <v>W</v>
          </cell>
          <cell r="G493">
            <v>0</v>
          </cell>
          <cell r="H493">
            <v>2362734</v>
          </cell>
          <cell r="I493">
            <v>12</v>
          </cell>
          <cell r="J493">
            <v>556800</v>
          </cell>
          <cell r="K493">
            <v>696000</v>
          </cell>
          <cell r="N493" t="str">
            <v>IAYW201</v>
          </cell>
          <cell r="O493">
            <v>31</v>
          </cell>
          <cell r="Q493">
            <v>58000</v>
          </cell>
          <cell r="U493">
            <v>198</v>
          </cell>
          <cell r="AJ493">
            <v>74</v>
          </cell>
          <cell r="AK493">
            <v>3445200</v>
          </cell>
          <cell r="AN493">
            <v>11484000</v>
          </cell>
          <cell r="AO493">
            <v>4292000</v>
          </cell>
        </row>
        <row r="494">
          <cell r="A494" t="str">
            <v>Y</v>
          </cell>
          <cell r="B494" t="str">
            <v>I</v>
          </cell>
          <cell r="C494" t="str">
            <v>ACC</v>
          </cell>
          <cell r="E494" t="str">
            <v>2</v>
          </cell>
          <cell r="F494" t="str">
            <v>W</v>
          </cell>
          <cell r="G494">
            <v>1</v>
          </cell>
          <cell r="H494">
            <v>2016467</v>
          </cell>
          <cell r="I494">
            <v>5</v>
          </cell>
          <cell r="J494">
            <v>232000</v>
          </cell>
          <cell r="K494">
            <v>290000</v>
          </cell>
          <cell r="N494" t="str">
            <v>IAYW206</v>
          </cell>
          <cell r="O494">
            <v>53</v>
          </cell>
          <cell r="Q494">
            <v>58000</v>
          </cell>
          <cell r="U494">
            <v>199</v>
          </cell>
          <cell r="AJ494">
            <v>76</v>
          </cell>
          <cell r="AK494">
            <v>3518000</v>
          </cell>
          <cell r="AN494">
            <v>11542000</v>
          </cell>
          <cell r="AO494">
            <v>4408000</v>
          </cell>
        </row>
        <row r="495">
          <cell r="A495" t="str">
            <v>Y</v>
          </cell>
          <cell r="B495" t="str">
            <v>I</v>
          </cell>
          <cell r="C495" t="str">
            <v>ACC</v>
          </cell>
          <cell r="E495" t="str">
            <v>1</v>
          </cell>
          <cell r="F495" t="str">
            <v>T</v>
          </cell>
          <cell r="G495">
            <v>1</v>
          </cell>
          <cell r="H495">
            <v>6007900</v>
          </cell>
          <cell r="I495">
            <v>1</v>
          </cell>
          <cell r="J495">
            <v>19900</v>
          </cell>
          <cell r="K495">
            <v>26900</v>
          </cell>
          <cell r="N495" t="str">
            <v>IAYT101</v>
          </cell>
          <cell r="O495">
            <v>34</v>
          </cell>
          <cell r="Q495">
            <v>26900</v>
          </cell>
          <cell r="U495">
            <v>823</v>
          </cell>
          <cell r="AJ495">
            <v>320</v>
          </cell>
          <cell r="AK495">
            <v>5906910</v>
          </cell>
          <cell r="AN495">
            <v>22138700</v>
          </cell>
          <cell r="AO495">
            <v>8608000</v>
          </cell>
        </row>
        <row r="496">
          <cell r="A496" t="str">
            <v>Y</v>
          </cell>
          <cell r="B496" t="str">
            <v>I</v>
          </cell>
          <cell r="C496" t="str">
            <v>ACC</v>
          </cell>
          <cell r="E496" t="str">
            <v>1</v>
          </cell>
          <cell r="F496" t="str">
            <v>W</v>
          </cell>
          <cell r="G496">
            <v>0</v>
          </cell>
          <cell r="H496">
            <v>2117161</v>
          </cell>
          <cell r="I496">
            <v>3</v>
          </cell>
          <cell r="J496">
            <v>139200</v>
          </cell>
          <cell r="K496">
            <v>174000</v>
          </cell>
          <cell r="N496" t="str">
            <v>IAYW104</v>
          </cell>
          <cell r="O496">
            <v>31</v>
          </cell>
          <cell r="Q496">
            <v>58000</v>
          </cell>
          <cell r="U496">
            <v>199</v>
          </cell>
          <cell r="AJ496">
            <v>79</v>
          </cell>
          <cell r="AK496">
            <v>3665600</v>
          </cell>
          <cell r="AN496">
            <v>11542000</v>
          </cell>
          <cell r="AO496">
            <v>4582000</v>
          </cell>
        </row>
        <row r="497">
          <cell r="A497" t="str">
            <v>Y</v>
          </cell>
          <cell r="B497" t="str">
            <v>I</v>
          </cell>
          <cell r="C497" t="str">
            <v>ACC</v>
          </cell>
          <cell r="E497" t="str">
            <v>1</v>
          </cell>
          <cell r="F497" t="str">
            <v>W</v>
          </cell>
          <cell r="G497">
            <v>1</v>
          </cell>
          <cell r="H497">
            <v>2227800</v>
          </cell>
          <cell r="I497">
            <v>1</v>
          </cell>
          <cell r="J497">
            <v>46400</v>
          </cell>
          <cell r="K497">
            <v>58000</v>
          </cell>
          <cell r="N497" t="str">
            <v>IAYW105</v>
          </cell>
          <cell r="O497">
            <v>37</v>
          </cell>
          <cell r="Q497">
            <v>58000</v>
          </cell>
          <cell r="U497">
            <v>200</v>
          </cell>
          <cell r="AJ497">
            <v>82</v>
          </cell>
          <cell r="AK497">
            <v>3801200</v>
          </cell>
          <cell r="AN497">
            <v>11600000</v>
          </cell>
          <cell r="AO497">
            <v>4756000</v>
          </cell>
        </row>
        <row r="498">
          <cell r="A498" t="str">
            <v>Y</v>
          </cell>
          <cell r="B498" t="str">
            <v>I</v>
          </cell>
          <cell r="C498" t="str">
            <v>ACC</v>
          </cell>
          <cell r="E498" t="str">
            <v>1</v>
          </cell>
          <cell r="F498" t="str">
            <v>W</v>
          </cell>
          <cell r="G498">
            <v>0</v>
          </cell>
          <cell r="H498">
            <v>2227800</v>
          </cell>
          <cell r="I498">
            <v>1</v>
          </cell>
          <cell r="J498">
            <v>46400</v>
          </cell>
          <cell r="K498">
            <v>58000</v>
          </cell>
          <cell r="N498" t="str">
            <v>IAYW105</v>
          </cell>
          <cell r="O498">
            <v>34</v>
          </cell>
          <cell r="Q498">
            <v>58000</v>
          </cell>
          <cell r="U498">
            <v>200</v>
          </cell>
          <cell r="AJ498">
            <v>83</v>
          </cell>
          <cell r="AK498">
            <v>3809920</v>
          </cell>
          <cell r="AN498">
            <v>11600000</v>
          </cell>
          <cell r="AO498">
            <v>4814000</v>
          </cell>
        </row>
        <row r="499">
          <cell r="A499" t="str">
            <v>Y</v>
          </cell>
          <cell r="B499" t="str">
            <v>I</v>
          </cell>
          <cell r="C499" t="str">
            <v>ACC</v>
          </cell>
          <cell r="E499" t="str">
            <v>1</v>
          </cell>
          <cell r="F499" t="str">
            <v>W</v>
          </cell>
          <cell r="G499">
            <v>0</v>
          </cell>
          <cell r="H499">
            <v>1734211</v>
          </cell>
          <cell r="I499">
            <v>3</v>
          </cell>
          <cell r="J499">
            <v>139200</v>
          </cell>
          <cell r="K499">
            <v>174000</v>
          </cell>
          <cell r="N499" t="str">
            <v>IAYW103</v>
          </cell>
          <cell r="O499">
            <v>22</v>
          </cell>
          <cell r="Q499">
            <v>58000</v>
          </cell>
          <cell r="U499">
            <v>149</v>
          </cell>
          <cell r="AJ499">
            <v>63</v>
          </cell>
          <cell r="AK499">
            <v>2903200</v>
          </cell>
          <cell r="AN499">
            <v>8642000</v>
          </cell>
          <cell r="AO499">
            <v>3654000</v>
          </cell>
        </row>
        <row r="500">
          <cell r="A500" t="str">
            <v>Y</v>
          </cell>
          <cell r="B500" t="str">
            <v>I</v>
          </cell>
          <cell r="C500" t="str">
            <v>ACC</v>
          </cell>
          <cell r="E500" t="str">
            <v>2</v>
          </cell>
          <cell r="F500" t="str">
            <v>W</v>
          </cell>
          <cell r="G500">
            <v>1</v>
          </cell>
          <cell r="H500">
            <v>2215467</v>
          </cell>
          <cell r="I500">
            <v>8</v>
          </cell>
          <cell r="J500">
            <v>371200</v>
          </cell>
          <cell r="K500">
            <v>464000</v>
          </cell>
          <cell r="N500" t="str">
            <v>IAYW202</v>
          </cell>
          <cell r="O500">
            <v>32</v>
          </cell>
          <cell r="Q500">
            <v>58000</v>
          </cell>
          <cell r="U500">
            <v>199</v>
          </cell>
          <cell r="AJ500">
            <v>88</v>
          </cell>
          <cell r="AK500">
            <v>4044800</v>
          </cell>
          <cell r="AN500">
            <v>11542000</v>
          </cell>
          <cell r="AO500">
            <v>5104000</v>
          </cell>
        </row>
        <row r="501">
          <cell r="A501" t="str">
            <v>Y</v>
          </cell>
          <cell r="B501" t="str">
            <v>I</v>
          </cell>
          <cell r="C501" t="str">
            <v>ACC</v>
          </cell>
          <cell r="E501" t="str">
            <v>2</v>
          </cell>
          <cell r="F501" t="str">
            <v>W</v>
          </cell>
          <cell r="G501">
            <v>1</v>
          </cell>
          <cell r="H501">
            <v>3317634</v>
          </cell>
          <cell r="I501">
            <v>7</v>
          </cell>
          <cell r="J501">
            <v>324800</v>
          </cell>
          <cell r="K501">
            <v>406000</v>
          </cell>
          <cell r="N501" t="str">
            <v>IAYW209</v>
          </cell>
          <cell r="O501">
            <v>73</v>
          </cell>
          <cell r="Q501">
            <v>58000</v>
          </cell>
          <cell r="U501">
            <v>298</v>
          </cell>
          <cell r="AJ501">
            <v>133</v>
          </cell>
          <cell r="AK501">
            <v>6167600</v>
          </cell>
          <cell r="AN501">
            <v>17284000</v>
          </cell>
          <cell r="AO501">
            <v>7714000</v>
          </cell>
        </row>
        <row r="502">
          <cell r="A502" t="str">
            <v>Y</v>
          </cell>
          <cell r="B502" t="str">
            <v>P</v>
          </cell>
          <cell r="C502" t="str">
            <v>ACC</v>
          </cell>
          <cell r="E502" t="str">
            <v>1</v>
          </cell>
          <cell r="F502" t="str">
            <v>W</v>
          </cell>
          <cell r="G502">
            <v>1</v>
          </cell>
          <cell r="H502">
            <v>3894111</v>
          </cell>
          <cell r="I502">
            <v>-1</v>
          </cell>
          <cell r="J502">
            <v>-84400</v>
          </cell>
          <cell r="K502">
            <v>-68000</v>
          </cell>
          <cell r="N502" t="str">
            <v>PAYW105</v>
          </cell>
          <cell r="O502">
            <v>31</v>
          </cell>
          <cell r="Q502">
            <v>68000</v>
          </cell>
          <cell r="U502">
            <v>249</v>
          </cell>
          <cell r="AJ502">
            <v>120</v>
          </cell>
          <cell r="AK502">
            <v>6423620</v>
          </cell>
          <cell r="AN502">
            <v>16932000</v>
          </cell>
          <cell r="AO502">
            <v>8160000</v>
          </cell>
        </row>
        <row r="503">
          <cell r="A503" t="str">
            <v>Y</v>
          </cell>
          <cell r="B503" t="str">
            <v>I</v>
          </cell>
          <cell r="C503" t="str">
            <v>ACC</v>
          </cell>
          <cell r="E503" t="str">
            <v>1</v>
          </cell>
          <cell r="F503" t="str">
            <v>W</v>
          </cell>
          <cell r="G503">
            <v>0</v>
          </cell>
          <cell r="H503">
            <v>1734211</v>
          </cell>
          <cell r="I503">
            <v>4</v>
          </cell>
          <cell r="J503">
            <v>185600</v>
          </cell>
          <cell r="K503">
            <v>232000</v>
          </cell>
          <cell r="N503" t="str">
            <v>IAYW103</v>
          </cell>
          <cell r="O503">
            <v>49</v>
          </cell>
          <cell r="Q503">
            <v>58000</v>
          </cell>
          <cell r="U503">
            <v>149</v>
          </cell>
          <cell r="AJ503">
            <v>74</v>
          </cell>
          <cell r="AK503">
            <v>3433600</v>
          </cell>
          <cell r="AN503">
            <v>8642000</v>
          </cell>
          <cell r="AO503">
            <v>4292000</v>
          </cell>
        </row>
        <row r="504">
          <cell r="A504" t="str">
            <v>Y</v>
          </cell>
          <cell r="B504" t="str">
            <v>I</v>
          </cell>
          <cell r="C504" t="str">
            <v>ACC</v>
          </cell>
          <cell r="E504" t="str">
            <v>2</v>
          </cell>
          <cell r="F504" t="str">
            <v>W</v>
          </cell>
          <cell r="G504">
            <v>0</v>
          </cell>
          <cell r="H504">
            <v>2523117</v>
          </cell>
          <cell r="I504">
            <v>14</v>
          </cell>
          <cell r="J504">
            <v>649600</v>
          </cell>
          <cell r="K504">
            <v>812000</v>
          </cell>
          <cell r="N504" t="str">
            <v>IAYW206</v>
          </cell>
          <cell r="O504">
            <v>37</v>
          </cell>
          <cell r="Q504">
            <v>58000</v>
          </cell>
          <cell r="U504">
            <v>249</v>
          </cell>
          <cell r="AJ504">
            <v>124</v>
          </cell>
          <cell r="AK504">
            <v>5673600</v>
          </cell>
          <cell r="AN504">
            <v>14442000</v>
          </cell>
          <cell r="AO504">
            <v>7192000</v>
          </cell>
        </row>
        <row r="505">
          <cell r="A505" t="str">
            <v>Y</v>
          </cell>
          <cell r="B505" t="str">
            <v>I</v>
          </cell>
          <cell r="C505" t="str">
            <v>ACC</v>
          </cell>
          <cell r="E505" t="str">
            <v>2</v>
          </cell>
          <cell r="F505" t="str">
            <v>W</v>
          </cell>
          <cell r="G505">
            <v>0</v>
          </cell>
          <cell r="H505">
            <v>2215467</v>
          </cell>
          <cell r="I505">
            <v>6</v>
          </cell>
          <cell r="J505">
            <v>278400</v>
          </cell>
          <cell r="K505">
            <v>348000</v>
          </cell>
          <cell r="N505" t="str">
            <v>IAYW203</v>
          </cell>
          <cell r="O505">
            <v>43</v>
          </cell>
          <cell r="Q505">
            <v>58000</v>
          </cell>
          <cell r="U505">
            <v>199</v>
          </cell>
          <cell r="AJ505">
            <v>100</v>
          </cell>
          <cell r="AK505">
            <v>4651600</v>
          </cell>
          <cell r="AN505">
            <v>11542000</v>
          </cell>
          <cell r="AO505">
            <v>5800000</v>
          </cell>
        </row>
        <row r="506">
          <cell r="A506" t="str">
            <v>Y</v>
          </cell>
          <cell r="B506" t="str">
            <v>P</v>
          </cell>
          <cell r="C506" t="str">
            <v>ACC</v>
          </cell>
          <cell r="E506" t="str">
            <v>1</v>
          </cell>
          <cell r="F506" t="str">
            <v>T</v>
          </cell>
          <cell r="G506">
            <v>1</v>
          </cell>
          <cell r="H506">
            <v>6073600</v>
          </cell>
          <cell r="I506">
            <v>-1</v>
          </cell>
          <cell r="J506">
            <v>-19900</v>
          </cell>
          <cell r="K506">
            <v>-26900</v>
          </cell>
          <cell r="N506" t="str">
            <v>PAYT101</v>
          </cell>
          <cell r="O506">
            <v>49</v>
          </cell>
          <cell r="Q506">
            <v>26900</v>
          </cell>
          <cell r="U506">
            <v>832</v>
          </cell>
          <cell r="AJ506">
            <v>422</v>
          </cell>
          <cell r="AK506">
            <v>7872715</v>
          </cell>
          <cell r="AN506">
            <v>22380800</v>
          </cell>
          <cell r="AO506">
            <v>11351800</v>
          </cell>
        </row>
        <row r="507">
          <cell r="A507" t="str">
            <v>Y</v>
          </cell>
          <cell r="B507" t="str">
            <v>P</v>
          </cell>
          <cell r="C507" t="str">
            <v>ACC</v>
          </cell>
          <cell r="E507" t="str">
            <v>1</v>
          </cell>
          <cell r="F507" t="str">
            <v>W</v>
          </cell>
          <cell r="G507">
            <v>0</v>
          </cell>
          <cell r="H507">
            <v>3112161</v>
          </cell>
          <cell r="I507">
            <v>4</v>
          </cell>
          <cell r="J507">
            <v>217600</v>
          </cell>
          <cell r="K507">
            <v>272000</v>
          </cell>
          <cell r="N507" t="str">
            <v>PAYW105</v>
          </cell>
          <cell r="O507">
            <v>49</v>
          </cell>
          <cell r="Q507">
            <v>68000</v>
          </cell>
          <cell r="U507">
            <v>199</v>
          </cell>
          <cell r="AJ507">
            <v>104</v>
          </cell>
          <cell r="AK507">
            <v>5566100</v>
          </cell>
          <cell r="AN507">
            <v>13532000</v>
          </cell>
          <cell r="AO507">
            <v>7072000</v>
          </cell>
        </row>
        <row r="508">
          <cell r="A508" t="str">
            <v>Y</v>
          </cell>
          <cell r="B508" t="str">
            <v>I</v>
          </cell>
          <cell r="C508" t="str">
            <v>ACC</v>
          </cell>
          <cell r="E508" t="str">
            <v>2</v>
          </cell>
          <cell r="F508" t="str">
            <v>W</v>
          </cell>
          <cell r="G508">
            <v>1</v>
          </cell>
          <cell r="H508">
            <v>3892617</v>
          </cell>
          <cell r="I508">
            <v>7</v>
          </cell>
          <cell r="J508">
            <v>380800</v>
          </cell>
          <cell r="K508">
            <v>476000</v>
          </cell>
          <cell r="N508" t="str">
            <v>IAYW207</v>
          </cell>
          <cell r="O508">
            <v>34</v>
          </cell>
          <cell r="Q508">
            <v>68000</v>
          </cell>
          <cell r="U508">
            <v>249</v>
          </cell>
          <cell r="AJ508">
            <v>131</v>
          </cell>
          <cell r="AK508">
            <v>7097200</v>
          </cell>
          <cell r="AN508">
            <v>16932000</v>
          </cell>
          <cell r="AO508">
            <v>8908000</v>
          </cell>
        </row>
        <row r="509">
          <cell r="A509" t="str">
            <v>Y</v>
          </cell>
          <cell r="B509" t="str">
            <v>P</v>
          </cell>
          <cell r="C509" t="str">
            <v>ACC</v>
          </cell>
          <cell r="E509" t="str">
            <v>1</v>
          </cell>
          <cell r="F509" t="str">
            <v>W</v>
          </cell>
          <cell r="G509">
            <v>1</v>
          </cell>
          <cell r="H509">
            <v>1563933</v>
          </cell>
          <cell r="I509">
            <v>2</v>
          </cell>
          <cell r="J509">
            <v>76800</v>
          </cell>
          <cell r="K509">
            <v>96000</v>
          </cell>
          <cell r="N509" t="str">
            <v>PAYW106</v>
          </cell>
          <cell r="O509">
            <v>31</v>
          </cell>
          <cell r="Q509">
            <v>48000</v>
          </cell>
          <cell r="U509">
            <v>147</v>
          </cell>
          <cell r="AJ509">
            <v>78</v>
          </cell>
          <cell r="AK509">
            <v>2984800</v>
          </cell>
          <cell r="AN509">
            <v>7056000</v>
          </cell>
          <cell r="AO509">
            <v>3744000</v>
          </cell>
        </row>
        <row r="510">
          <cell r="A510" t="str">
            <v>Y</v>
          </cell>
          <cell r="B510" t="str">
            <v>I</v>
          </cell>
          <cell r="C510" t="str">
            <v>ACC</v>
          </cell>
          <cell r="E510" t="str">
            <v>2</v>
          </cell>
          <cell r="F510" t="str">
            <v>W</v>
          </cell>
          <cell r="G510">
            <v>1</v>
          </cell>
          <cell r="H510">
            <v>2009637</v>
          </cell>
          <cell r="I510">
            <v>7</v>
          </cell>
          <cell r="J510">
            <v>324800</v>
          </cell>
          <cell r="K510">
            <v>406000</v>
          </cell>
          <cell r="N510" t="str">
            <v>IAYW204</v>
          </cell>
          <cell r="O510">
            <v>49</v>
          </cell>
          <cell r="Q510">
            <v>58000</v>
          </cell>
          <cell r="U510">
            <v>189</v>
          </cell>
          <cell r="AJ510">
            <v>101</v>
          </cell>
          <cell r="AK510">
            <v>4665680</v>
          </cell>
          <cell r="AN510">
            <v>10962000</v>
          </cell>
          <cell r="AO510">
            <v>5858000</v>
          </cell>
        </row>
        <row r="511">
          <cell r="A511" t="str">
            <v>Y</v>
          </cell>
          <cell r="B511" t="str">
            <v>P</v>
          </cell>
          <cell r="C511" t="str">
            <v>ACC</v>
          </cell>
          <cell r="E511" t="str">
            <v>1</v>
          </cell>
          <cell r="F511" t="str">
            <v>W</v>
          </cell>
          <cell r="G511">
            <v>0</v>
          </cell>
          <cell r="H511">
            <v>2063966</v>
          </cell>
          <cell r="I511">
            <v>0</v>
          </cell>
          <cell r="J511">
            <v>0</v>
          </cell>
          <cell r="K511">
            <v>0</v>
          </cell>
          <cell r="N511" t="str">
            <v>PAYW106</v>
          </cell>
          <cell r="O511">
            <v>39</v>
          </cell>
          <cell r="Q511">
            <v>48000</v>
          </cell>
          <cell r="U511">
            <v>194</v>
          </cell>
          <cell r="AJ511">
            <v>105</v>
          </cell>
          <cell r="AK511">
            <v>4030400</v>
          </cell>
          <cell r="AN511">
            <v>9312000</v>
          </cell>
          <cell r="AO511">
            <v>5040000</v>
          </cell>
        </row>
        <row r="512">
          <cell r="A512" t="str">
            <v>Y</v>
          </cell>
          <cell r="B512" t="str">
            <v>I</v>
          </cell>
          <cell r="C512" t="str">
            <v>ACC</v>
          </cell>
          <cell r="E512" t="str">
            <v>2</v>
          </cell>
          <cell r="F512" t="str">
            <v>W</v>
          </cell>
          <cell r="G512">
            <v>0</v>
          </cell>
          <cell r="H512">
            <v>2772117</v>
          </cell>
          <cell r="I512">
            <v>13</v>
          </cell>
          <cell r="J512">
            <v>603200</v>
          </cell>
          <cell r="K512">
            <v>754000</v>
          </cell>
          <cell r="N512" t="str">
            <v>IAYW202</v>
          </cell>
          <cell r="O512">
            <v>49</v>
          </cell>
          <cell r="Q512">
            <v>58000</v>
          </cell>
          <cell r="U512">
            <v>249</v>
          </cell>
          <cell r="AJ512">
            <v>136</v>
          </cell>
          <cell r="AK512">
            <v>6230400</v>
          </cell>
          <cell r="AN512">
            <v>14442000</v>
          </cell>
          <cell r="AO512">
            <v>7888000</v>
          </cell>
        </row>
        <row r="513">
          <cell r="A513" t="str">
            <v>Y</v>
          </cell>
          <cell r="B513" t="str">
            <v>P</v>
          </cell>
          <cell r="C513" t="str">
            <v>ACC</v>
          </cell>
          <cell r="E513" t="str">
            <v>2</v>
          </cell>
          <cell r="F513" t="str">
            <v>W</v>
          </cell>
          <cell r="G513">
            <v>0</v>
          </cell>
          <cell r="H513">
            <v>2227800</v>
          </cell>
          <cell r="I513">
            <v>11</v>
          </cell>
          <cell r="J513">
            <v>510400</v>
          </cell>
          <cell r="K513">
            <v>638000</v>
          </cell>
          <cell r="N513" t="str">
            <v>PAYW215</v>
          </cell>
          <cell r="O513">
            <v>31</v>
          </cell>
          <cell r="Q513">
            <v>58000</v>
          </cell>
          <cell r="U513">
            <v>200</v>
          </cell>
          <cell r="AJ513">
            <v>110</v>
          </cell>
          <cell r="AK513">
            <v>4964000</v>
          </cell>
          <cell r="AN513">
            <v>11600000</v>
          </cell>
          <cell r="AO513">
            <v>6380000</v>
          </cell>
        </row>
        <row r="514">
          <cell r="A514" t="str">
            <v>Y</v>
          </cell>
          <cell r="B514" t="str">
            <v>I</v>
          </cell>
          <cell r="C514" t="str">
            <v>ACC</v>
          </cell>
          <cell r="E514" t="str">
            <v>1</v>
          </cell>
          <cell r="F514" t="str">
            <v>W</v>
          </cell>
          <cell r="G514">
            <v>1</v>
          </cell>
          <cell r="H514">
            <v>2216661</v>
          </cell>
          <cell r="I514">
            <v>2</v>
          </cell>
          <cell r="J514">
            <v>92800</v>
          </cell>
          <cell r="K514">
            <v>116000</v>
          </cell>
          <cell r="N514" t="str">
            <v>IAYW101</v>
          </cell>
          <cell r="O514">
            <v>49</v>
          </cell>
          <cell r="Q514">
            <v>58000</v>
          </cell>
          <cell r="U514">
            <v>199</v>
          </cell>
          <cell r="AJ514">
            <v>134</v>
          </cell>
          <cell r="AK514">
            <v>6160480</v>
          </cell>
          <cell r="AN514">
            <v>11542000</v>
          </cell>
          <cell r="AO514">
            <v>7772000</v>
          </cell>
        </row>
        <row r="515">
          <cell r="A515" t="str">
            <v>Y</v>
          </cell>
          <cell r="B515" t="str">
            <v>P</v>
          </cell>
          <cell r="C515" t="str">
            <v>ACC</v>
          </cell>
          <cell r="E515" t="str">
            <v>1</v>
          </cell>
          <cell r="F515" t="str">
            <v>W</v>
          </cell>
          <cell r="G515">
            <v>1</v>
          </cell>
          <cell r="H515">
            <v>6797411</v>
          </cell>
          <cell r="I515">
            <v>19</v>
          </cell>
          <cell r="J515">
            <v>976800</v>
          </cell>
          <cell r="K515">
            <v>1292000</v>
          </cell>
          <cell r="N515" t="str">
            <v>PAYW103</v>
          </cell>
          <cell r="O515">
            <v>31</v>
          </cell>
          <cell r="Q515">
            <v>68000</v>
          </cell>
          <cell r="U515">
            <v>449</v>
          </cell>
          <cell r="AJ515">
            <v>364</v>
          </cell>
          <cell r="AK515">
            <v>19642720</v>
          </cell>
          <cell r="AN515">
            <v>30532000</v>
          </cell>
          <cell r="AO515">
            <v>24752000</v>
          </cell>
        </row>
        <row r="516">
          <cell r="A516" t="str">
            <v>Y</v>
          </cell>
          <cell r="B516" t="str">
            <v>P</v>
          </cell>
          <cell r="C516" t="str">
            <v>ACC</v>
          </cell>
          <cell r="E516" t="str">
            <v>1</v>
          </cell>
          <cell r="F516" t="str">
            <v>W</v>
          </cell>
          <cell r="G516">
            <v>0</v>
          </cell>
          <cell r="H516">
            <v>3769611</v>
          </cell>
          <cell r="I516">
            <v>-2</v>
          </cell>
          <cell r="J516">
            <v>-108800</v>
          </cell>
          <cell r="K516">
            <v>-136000</v>
          </cell>
          <cell r="N516" t="str">
            <v>PAYW103</v>
          </cell>
          <cell r="O516">
            <v>49</v>
          </cell>
          <cell r="Q516">
            <v>68000</v>
          </cell>
          <cell r="U516">
            <v>249</v>
          </cell>
          <cell r="AJ516">
            <v>247</v>
          </cell>
          <cell r="AK516">
            <v>13158480</v>
          </cell>
          <cell r="AN516">
            <v>16932000</v>
          </cell>
          <cell r="AO516">
            <v>16796000</v>
          </cell>
        </row>
      </sheetData>
      <sheetData sheetId="2">
        <row r="3">
          <cell r="A3" t="str">
            <v>X</v>
          </cell>
          <cell r="B3" t="str">
            <v>I</v>
          </cell>
          <cell r="C3" t="str">
            <v>의류</v>
          </cell>
          <cell r="E3" t="str">
            <v>1</v>
          </cell>
          <cell r="F3" t="str">
            <v>1</v>
          </cell>
          <cell r="G3">
            <v>1</v>
          </cell>
          <cell r="H3">
            <v>6377940</v>
          </cell>
          <cell r="I3">
            <v>1</v>
          </cell>
          <cell r="J3">
            <v>31200</v>
          </cell>
          <cell r="K3">
            <v>78000</v>
          </cell>
          <cell r="U3">
            <v>558</v>
          </cell>
          <cell r="AJ3">
            <v>309</v>
          </cell>
          <cell r="AK3">
            <v>11845000</v>
          </cell>
          <cell r="AN3">
            <v>43524000</v>
          </cell>
          <cell r="AO3">
            <v>24102000</v>
          </cell>
        </row>
        <row r="4">
          <cell r="A4" t="str">
            <v>X</v>
          </cell>
          <cell r="B4" t="str">
            <v>I</v>
          </cell>
          <cell r="C4" t="str">
            <v>의류</v>
          </cell>
          <cell r="E4" t="str">
            <v>1</v>
          </cell>
          <cell r="F4" t="str">
            <v>1</v>
          </cell>
          <cell r="G4">
            <v>0</v>
          </cell>
          <cell r="H4">
            <v>4057650</v>
          </cell>
          <cell r="I4">
            <v>-1</v>
          </cell>
          <cell r="J4">
            <v>-42900</v>
          </cell>
          <cell r="K4">
            <v>-78000</v>
          </cell>
          <cell r="U4">
            <v>355</v>
          </cell>
          <cell r="AJ4">
            <v>154</v>
          </cell>
          <cell r="AK4">
            <v>5921900</v>
          </cell>
          <cell r="AN4">
            <v>27690000</v>
          </cell>
          <cell r="AO4">
            <v>12012000</v>
          </cell>
        </row>
        <row r="5">
          <cell r="A5" t="str">
            <v>X</v>
          </cell>
          <cell r="B5" t="str">
            <v>I</v>
          </cell>
          <cell r="C5" t="str">
            <v>의류</v>
          </cell>
          <cell r="E5" t="str">
            <v>1</v>
          </cell>
          <cell r="F5" t="str">
            <v>1</v>
          </cell>
          <cell r="G5">
            <v>0</v>
          </cell>
          <cell r="H5">
            <v>6149340</v>
          </cell>
          <cell r="I5">
            <v>-1</v>
          </cell>
          <cell r="J5">
            <v>-39000</v>
          </cell>
          <cell r="K5">
            <v>-78000</v>
          </cell>
          <cell r="U5">
            <v>538</v>
          </cell>
          <cell r="AJ5">
            <v>201</v>
          </cell>
          <cell r="AK5">
            <v>7612500</v>
          </cell>
          <cell r="AN5">
            <v>41964000</v>
          </cell>
          <cell r="AO5">
            <v>15678000</v>
          </cell>
        </row>
        <row r="6">
          <cell r="A6" t="str">
            <v>X</v>
          </cell>
          <cell r="B6" t="str">
            <v>I</v>
          </cell>
          <cell r="C6" t="str">
            <v>의류</v>
          </cell>
          <cell r="E6" t="str">
            <v>1</v>
          </cell>
          <cell r="F6" t="str">
            <v>1</v>
          </cell>
          <cell r="G6">
            <v>0</v>
          </cell>
          <cell r="H6">
            <v>3486150</v>
          </cell>
          <cell r="I6">
            <v>-1</v>
          </cell>
          <cell r="J6">
            <v>-39000</v>
          </cell>
          <cell r="K6">
            <v>-78000</v>
          </cell>
          <cell r="U6">
            <v>305</v>
          </cell>
          <cell r="AJ6">
            <v>189</v>
          </cell>
          <cell r="AK6">
            <v>7312000</v>
          </cell>
          <cell r="AN6">
            <v>23790000</v>
          </cell>
          <cell r="AO6">
            <v>14742000</v>
          </cell>
        </row>
        <row r="7">
          <cell r="A7" t="str">
            <v>X</v>
          </cell>
          <cell r="B7" t="str">
            <v>I</v>
          </cell>
          <cell r="C7" t="str">
            <v>의류</v>
          </cell>
          <cell r="E7" t="str">
            <v>1</v>
          </cell>
          <cell r="F7" t="str">
            <v>1</v>
          </cell>
          <cell r="G7">
            <v>1</v>
          </cell>
          <cell r="H7">
            <v>5307860</v>
          </cell>
          <cell r="I7">
            <v>0</v>
          </cell>
          <cell r="J7">
            <v>-13800</v>
          </cell>
          <cell r="K7">
            <v>0</v>
          </cell>
          <cell r="U7">
            <v>410</v>
          </cell>
          <cell r="AJ7">
            <v>334</v>
          </cell>
          <cell r="AK7">
            <v>21925400</v>
          </cell>
          <cell r="AN7">
            <v>56580000</v>
          </cell>
          <cell r="AO7">
            <v>46092000</v>
          </cell>
        </row>
        <row r="8">
          <cell r="A8" t="str">
            <v>X</v>
          </cell>
          <cell r="B8" t="str">
            <v>I</v>
          </cell>
          <cell r="C8" t="str">
            <v>의류</v>
          </cell>
          <cell r="E8" t="str">
            <v>1</v>
          </cell>
          <cell r="F8" t="str">
            <v>1</v>
          </cell>
          <cell r="G8">
            <v>0</v>
          </cell>
          <cell r="H8">
            <v>6032836</v>
          </cell>
          <cell r="I8">
            <v>-1</v>
          </cell>
          <cell r="J8">
            <v>-75900</v>
          </cell>
          <cell r="K8">
            <v>-138000</v>
          </cell>
          <cell r="U8">
            <v>466</v>
          </cell>
          <cell r="AJ8">
            <v>347</v>
          </cell>
          <cell r="AK8">
            <v>22830350</v>
          </cell>
          <cell r="AN8">
            <v>64308000</v>
          </cell>
          <cell r="AO8">
            <v>47886000</v>
          </cell>
        </row>
        <row r="9">
          <cell r="A9" t="str">
            <v>X</v>
          </cell>
          <cell r="B9" t="str">
            <v>I</v>
          </cell>
          <cell r="C9" t="str">
            <v>의류</v>
          </cell>
          <cell r="E9" t="str">
            <v>1</v>
          </cell>
          <cell r="F9" t="str">
            <v>1</v>
          </cell>
          <cell r="G9">
            <v>1</v>
          </cell>
          <cell r="H9">
            <v>8633300</v>
          </cell>
          <cell r="I9">
            <v>7</v>
          </cell>
          <cell r="J9">
            <v>343000</v>
          </cell>
          <cell r="K9">
            <v>896000</v>
          </cell>
          <cell r="U9">
            <v>725</v>
          </cell>
          <cell r="AJ9">
            <v>417</v>
          </cell>
          <cell r="AK9">
            <v>23057350</v>
          </cell>
          <cell r="AN9">
            <v>92800000</v>
          </cell>
          <cell r="AO9">
            <v>53376000</v>
          </cell>
        </row>
        <row r="10">
          <cell r="A10" t="str">
            <v>X</v>
          </cell>
          <cell r="B10" t="str">
            <v>I</v>
          </cell>
          <cell r="C10" t="str">
            <v>의류</v>
          </cell>
          <cell r="E10" t="str">
            <v>1</v>
          </cell>
          <cell r="F10" t="str">
            <v>1</v>
          </cell>
          <cell r="G10">
            <v>1</v>
          </cell>
          <cell r="H10">
            <v>9786365</v>
          </cell>
          <cell r="I10">
            <v>-1</v>
          </cell>
          <cell r="J10">
            <v>-86900</v>
          </cell>
          <cell r="K10">
            <v>-158000</v>
          </cell>
          <cell r="U10">
            <v>565</v>
          </cell>
          <cell r="AJ10">
            <v>308</v>
          </cell>
          <cell r="AK10">
            <v>22824640</v>
          </cell>
          <cell r="AN10">
            <v>89270000</v>
          </cell>
          <cell r="AO10">
            <v>48664000</v>
          </cell>
        </row>
        <row r="11">
          <cell r="A11" t="str">
            <v>X</v>
          </cell>
          <cell r="B11" t="str">
            <v>I</v>
          </cell>
          <cell r="C11" t="str">
            <v>의류</v>
          </cell>
          <cell r="E11" t="str">
            <v>1</v>
          </cell>
          <cell r="F11" t="str">
            <v>1</v>
          </cell>
          <cell r="G11">
            <v>0</v>
          </cell>
          <cell r="H11">
            <v>12107379</v>
          </cell>
          <cell r="I11">
            <v>-2</v>
          </cell>
          <cell r="J11">
            <v>-158000</v>
          </cell>
          <cell r="K11">
            <v>-316000</v>
          </cell>
          <cell r="U11">
            <v>699</v>
          </cell>
          <cell r="AJ11">
            <v>322</v>
          </cell>
          <cell r="AK11">
            <v>24308600</v>
          </cell>
          <cell r="AN11">
            <v>110442000</v>
          </cell>
          <cell r="AO11">
            <v>50876000</v>
          </cell>
        </row>
        <row r="12">
          <cell r="A12" t="str">
            <v>X</v>
          </cell>
          <cell r="B12" t="str">
            <v>I</v>
          </cell>
          <cell r="C12" t="str">
            <v>의류</v>
          </cell>
          <cell r="E12" t="str">
            <v>1</v>
          </cell>
          <cell r="F12" t="str">
            <v>1</v>
          </cell>
          <cell r="G12">
            <v>1</v>
          </cell>
          <cell r="H12">
            <v>5998164</v>
          </cell>
          <cell r="I12">
            <v>0</v>
          </cell>
          <cell r="J12">
            <v>0</v>
          </cell>
          <cell r="K12">
            <v>0</v>
          </cell>
          <cell r="U12">
            <v>382</v>
          </cell>
          <cell r="AJ12">
            <v>223</v>
          </cell>
          <cell r="AK12">
            <v>16511800</v>
          </cell>
          <cell r="AN12">
            <v>60356000</v>
          </cell>
          <cell r="AO12">
            <v>35234000</v>
          </cell>
        </row>
        <row r="13">
          <cell r="A13" t="str">
            <v>X</v>
          </cell>
          <cell r="B13" t="str">
            <v>I</v>
          </cell>
          <cell r="C13" t="str">
            <v>의류</v>
          </cell>
          <cell r="E13" t="str">
            <v>1</v>
          </cell>
          <cell r="F13" t="str">
            <v>1</v>
          </cell>
          <cell r="G13">
            <v>1</v>
          </cell>
          <cell r="H13">
            <v>8519028</v>
          </cell>
          <cell r="I13">
            <v>-1</v>
          </cell>
          <cell r="J13">
            <v>-79000</v>
          </cell>
          <cell r="K13">
            <v>-158000</v>
          </cell>
          <cell r="U13">
            <v>444</v>
          </cell>
          <cell r="AJ13">
            <v>349</v>
          </cell>
          <cell r="AK13">
            <v>26732940</v>
          </cell>
          <cell r="AN13">
            <v>70152000</v>
          </cell>
          <cell r="AO13">
            <v>55142000</v>
          </cell>
        </row>
        <row r="14">
          <cell r="A14" t="str">
            <v>X</v>
          </cell>
          <cell r="B14" t="str">
            <v>I</v>
          </cell>
          <cell r="C14" t="str">
            <v>의류</v>
          </cell>
          <cell r="E14" t="str">
            <v>1</v>
          </cell>
          <cell r="F14" t="str">
            <v>1</v>
          </cell>
          <cell r="G14">
            <v>0</v>
          </cell>
          <cell r="H14">
            <v>7060816</v>
          </cell>
          <cell r="I14">
            <v>2</v>
          </cell>
          <cell r="J14">
            <v>112200</v>
          </cell>
          <cell r="K14">
            <v>316000</v>
          </cell>
          <cell r="U14">
            <v>368</v>
          </cell>
          <cell r="AJ14">
            <v>271</v>
          </cell>
          <cell r="AK14">
            <v>20576700</v>
          </cell>
          <cell r="AN14">
            <v>58144000</v>
          </cell>
          <cell r="AO14">
            <v>42818000</v>
          </cell>
        </row>
        <row r="15">
          <cell r="A15" t="str">
            <v>X</v>
          </cell>
          <cell r="B15" t="str">
            <v>I</v>
          </cell>
          <cell r="C15" t="str">
            <v>의류</v>
          </cell>
          <cell r="E15" t="str">
            <v>1</v>
          </cell>
          <cell r="F15" t="str">
            <v>1</v>
          </cell>
          <cell r="G15">
            <v>1</v>
          </cell>
          <cell r="H15">
            <v>7596000</v>
          </cell>
          <cell r="I15">
            <v>0</v>
          </cell>
          <cell r="J15">
            <v>0</v>
          </cell>
          <cell r="K15">
            <v>0</v>
          </cell>
          <cell r="U15">
            <v>400</v>
          </cell>
          <cell r="AJ15">
            <v>80</v>
          </cell>
          <cell r="AK15">
            <v>5440000</v>
          </cell>
          <cell r="AN15">
            <v>63200000</v>
          </cell>
          <cell r="AO15">
            <v>12640000</v>
          </cell>
        </row>
        <row r="16">
          <cell r="A16" t="str">
            <v>X</v>
          </cell>
          <cell r="B16" t="str">
            <v>I</v>
          </cell>
          <cell r="C16" t="str">
            <v>의류</v>
          </cell>
          <cell r="E16" t="str">
            <v>1</v>
          </cell>
          <cell r="F16" t="str">
            <v>1</v>
          </cell>
          <cell r="G16">
            <v>0</v>
          </cell>
          <cell r="H16">
            <v>9665910</v>
          </cell>
          <cell r="I16">
            <v>1</v>
          </cell>
          <cell r="J16">
            <v>59000</v>
          </cell>
          <cell r="K16">
            <v>158000</v>
          </cell>
          <cell r="U16">
            <v>509</v>
          </cell>
          <cell r="AJ16">
            <v>75</v>
          </cell>
          <cell r="AK16">
            <v>5289200</v>
          </cell>
          <cell r="AN16">
            <v>80422000</v>
          </cell>
          <cell r="AO16">
            <v>11850000</v>
          </cell>
        </row>
        <row r="17">
          <cell r="A17" t="str">
            <v>X</v>
          </cell>
          <cell r="B17" t="str">
            <v>I</v>
          </cell>
          <cell r="C17" t="str">
            <v>의류</v>
          </cell>
          <cell r="E17" t="str">
            <v>1</v>
          </cell>
          <cell r="F17" t="str">
            <v>1</v>
          </cell>
          <cell r="G17">
            <v>1</v>
          </cell>
          <cell r="H17">
            <v>5957224</v>
          </cell>
          <cell r="I17">
            <v>0</v>
          </cell>
          <cell r="J17">
            <v>0</v>
          </cell>
          <cell r="K17">
            <v>0</v>
          </cell>
          <cell r="U17">
            <v>392</v>
          </cell>
          <cell r="AJ17">
            <v>222</v>
          </cell>
          <cell r="AK17">
            <v>19072100</v>
          </cell>
          <cell r="AN17">
            <v>69776000</v>
          </cell>
          <cell r="AO17">
            <v>39516000</v>
          </cell>
        </row>
        <row r="18">
          <cell r="A18" t="str">
            <v>X</v>
          </cell>
          <cell r="B18" t="str">
            <v>I</v>
          </cell>
          <cell r="C18" t="str">
            <v>의류</v>
          </cell>
          <cell r="E18" t="str">
            <v>1</v>
          </cell>
          <cell r="F18" t="str">
            <v>1</v>
          </cell>
          <cell r="G18">
            <v>0</v>
          </cell>
          <cell r="H18">
            <v>7750470</v>
          </cell>
          <cell r="I18">
            <v>2</v>
          </cell>
          <cell r="J18">
            <v>178000</v>
          </cell>
          <cell r="K18">
            <v>356000</v>
          </cell>
          <cell r="U18">
            <v>510</v>
          </cell>
          <cell r="AJ18">
            <v>291</v>
          </cell>
          <cell r="AK18">
            <v>24725100</v>
          </cell>
          <cell r="AN18">
            <v>90780000</v>
          </cell>
          <cell r="AO18">
            <v>51798000</v>
          </cell>
        </row>
        <row r="19">
          <cell r="A19" t="str">
            <v>X</v>
          </cell>
          <cell r="B19" t="str">
            <v>I</v>
          </cell>
          <cell r="C19" t="str">
            <v>의류</v>
          </cell>
          <cell r="E19" t="str">
            <v>1</v>
          </cell>
          <cell r="F19" t="str">
            <v>1</v>
          </cell>
          <cell r="G19">
            <v>1</v>
          </cell>
          <cell r="H19">
            <v>11286215</v>
          </cell>
          <cell r="I19">
            <v>-1</v>
          </cell>
          <cell r="J19">
            <v>-119000</v>
          </cell>
          <cell r="K19">
            <v>-178000</v>
          </cell>
          <cell r="U19">
            <v>529</v>
          </cell>
          <cell r="AJ19">
            <v>407</v>
          </cell>
          <cell r="AK19">
            <v>35278250</v>
          </cell>
          <cell r="AN19">
            <v>94162000</v>
          </cell>
          <cell r="AO19">
            <v>72446000</v>
          </cell>
        </row>
        <row r="20">
          <cell r="A20" t="str">
            <v>X</v>
          </cell>
          <cell r="B20" t="str">
            <v>I</v>
          </cell>
          <cell r="C20" t="str">
            <v>의류</v>
          </cell>
          <cell r="E20" t="str">
            <v>1</v>
          </cell>
          <cell r="F20" t="str">
            <v>1</v>
          </cell>
          <cell r="G20">
            <v>0</v>
          </cell>
          <cell r="H20">
            <v>6805865</v>
          </cell>
          <cell r="I20">
            <v>2</v>
          </cell>
          <cell r="J20">
            <v>169100</v>
          </cell>
          <cell r="K20">
            <v>356000</v>
          </cell>
          <cell r="U20">
            <v>319</v>
          </cell>
          <cell r="AJ20">
            <v>252</v>
          </cell>
          <cell r="AK20">
            <v>21961250</v>
          </cell>
          <cell r="AN20">
            <v>56782000</v>
          </cell>
          <cell r="AO20">
            <v>44856000</v>
          </cell>
        </row>
        <row r="21">
          <cell r="A21" t="str">
            <v>X</v>
          </cell>
          <cell r="B21" t="str">
            <v>I</v>
          </cell>
          <cell r="C21" t="str">
            <v>의류</v>
          </cell>
          <cell r="E21" t="str">
            <v>1</v>
          </cell>
          <cell r="F21" t="str">
            <v>1</v>
          </cell>
          <cell r="G21">
            <v>1</v>
          </cell>
          <cell r="H21">
            <v>8762940</v>
          </cell>
          <cell r="I21">
            <v>1</v>
          </cell>
          <cell r="J21">
            <v>69000</v>
          </cell>
          <cell r="K21">
            <v>178000</v>
          </cell>
          <cell r="U21">
            <v>356</v>
          </cell>
          <cell r="AJ21">
            <v>110</v>
          </cell>
          <cell r="AK21">
            <v>8653100</v>
          </cell>
          <cell r="AN21">
            <v>63368000</v>
          </cell>
          <cell r="AO21">
            <v>19580000</v>
          </cell>
        </row>
        <row r="22">
          <cell r="A22" t="str">
            <v>X</v>
          </cell>
          <cell r="B22" t="str">
            <v>I</v>
          </cell>
          <cell r="C22" t="str">
            <v>의류</v>
          </cell>
          <cell r="E22" t="str">
            <v>1</v>
          </cell>
          <cell r="F22" t="str">
            <v>1</v>
          </cell>
          <cell r="G22">
            <v>0</v>
          </cell>
          <cell r="H22">
            <v>8762940</v>
          </cell>
          <cell r="I22">
            <v>1</v>
          </cell>
          <cell r="J22">
            <v>69000</v>
          </cell>
          <cell r="K22">
            <v>178000</v>
          </cell>
          <cell r="U22">
            <v>356</v>
          </cell>
          <cell r="AJ22">
            <v>100</v>
          </cell>
          <cell r="AK22">
            <v>8233100</v>
          </cell>
          <cell r="AN22">
            <v>63368000</v>
          </cell>
          <cell r="AO22">
            <v>17800000</v>
          </cell>
        </row>
        <row r="23">
          <cell r="A23" t="str">
            <v>X</v>
          </cell>
          <cell r="B23" t="str">
            <v>I</v>
          </cell>
          <cell r="C23" t="str">
            <v>의류</v>
          </cell>
          <cell r="E23" t="str">
            <v>1</v>
          </cell>
          <cell r="F23" t="str">
            <v>1</v>
          </cell>
          <cell r="G23">
            <v>0</v>
          </cell>
          <cell r="H23">
            <v>12529035</v>
          </cell>
          <cell r="I23">
            <v>0</v>
          </cell>
          <cell r="J23">
            <v>-20000</v>
          </cell>
          <cell r="K23">
            <v>0</v>
          </cell>
          <cell r="U23">
            <v>509</v>
          </cell>
          <cell r="AJ23">
            <v>224</v>
          </cell>
          <cell r="AK23">
            <v>18334400</v>
          </cell>
          <cell r="AN23">
            <v>90602000</v>
          </cell>
          <cell r="AO23">
            <v>39872000</v>
          </cell>
        </row>
        <row r="24">
          <cell r="A24" t="str">
            <v>X</v>
          </cell>
          <cell r="B24" t="str">
            <v>I</v>
          </cell>
          <cell r="C24" t="str">
            <v>의류</v>
          </cell>
          <cell r="E24" t="str">
            <v>2</v>
          </cell>
          <cell r="F24" t="str">
            <v>1</v>
          </cell>
          <cell r="G24">
            <v>1</v>
          </cell>
          <cell r="H24">
            <v>3517114</v>
          </cell>
          <cell r="I24">
            <v>1</v>
          </cell>
          <cell r="J24">
            <v>9000</v>
          </cell>
          <cell r="K24">
            <v>78000</v>
          </cell>
          <cell r="U24">
            <v>314</v>
          </cell>
          <cell r="AJ24">
            <v>82</v>
          </cell>
          <cell r="AK24">
            <v>3027600</v>
          </cell>
          <cell r="AN24">
            <v>24492000</v>
          </cell>
          <cell r="AO24">
            <v>6396000</v>
          </cell>
        </row>
        <row r="25">
          <cell r="A25" t="str">
            <v>X</v>
          </cell>
          <cell r="B25" t="str">
            <v>I</v>
          </cell>
          <cell r="C25" t="str">
            <v>의류</v>
          </cell>
          <cell r="E25" t="str">
            <v>2</v>
          </cell>
          <cell r="F25" t="str">
            <v>1</v>
          </cell>
          <cell r="G25">
            <v>0</v>
          </cell>
          <cell r="H25">
            <v>5096455</v>
          </cell>
          <cell r="I25">
            <v>2</v>
          </cell>
          <cell r="J25">
            <v>78000</v>
          </cell>
          <cell r="K25">
            <v>156000</v>
          </cell>
          <cell r="U25">
            <v>455</v>
          </cell>
          <cell r="AJ25">
            <v>41</v>
          </cell>
          <cell r="AK25">
            <v>1516600</v>
          </cell>
          <cell r="AN25">
            <v>35490000</v>
          </cell>
          <cell r="AO25">
            <v>3198000</v>
          </cell>
        </row>
        <row r="26">
          <cell r="A26" t="str">
            <v>X</v>
          </cell>
          <cell r="B26" t="str">
            <v>I</v>
          </cell>
          <cell r="C26" t="str">
            <v>의류</v>
          </cell>
          <cell r="E26" t="str">
            <v>2</v>
          </cell>
          <cell r="F26" t="str">
            <v>1</v>
          </cell>
          <cell r="G26">
            <v>0</v>
          </cell>
          <cell r="H26">
            <v>6563786</v>
          </cell>
          <cell r="I26">
            <v>4</v>
          </cell>
          <cell r="J26">
            <v>148200</v>
          </cell>
          <cell r="K26">
            <v>312000</v>
          </cell>
          <cell r="U26">
            <v>586</v>
          </cell>
          <cell r="AJ26">
            <v>100</v>
          </cell>
          <cell r="AK26">
            <v>3685500</v>
          </cell>
          <cell r="AN26">
            <v>45708000</v>
          </cell>
          <cell r="AO26">
            <v>7800000</v>
          </cell>
        </row>
        <row r="27">
          <cell r="A27" t="str">
            <v>X</v>
          </cell>
          <cell r="B27" t="str">
            <v>I</v>
          </cell>
          <cell r="C27" t="str">
            <v>의류</v>
          </cell>
          <cell r="E27" t="str">
            <v>2</v>
          </cell>
          <cell r="F27" t="str">
            <v>1</v>
          </cell>
          <cell r="G27">
            <v>0</v>
          </cell>
          <cell r="H27">
            <v>5062852</v>
          </cell>
          <cell r="I27">
            <v>0</v>
          </cell>
          <cell r="J27">
            <v>0</v>
          </cell>
          <cell r="K27">
            <v>0</v>
          </cell>
          <cell r="U27">
            <v>452</v>
          </cell>
          <cell r="AJ27">
            <v>93</v>
          </cell>
          <cell r="AK27">
            <v>3334500</v>
          </cell>
          <cell r="AN27">
            <v>35256000</v>
          </cell>
          <cell r="AO27">
            <v>7254000</v>
          </cell>
        </row>
        <row r="28">
          <cell r="A28" t="str">
            <v>X</v>
          </cell>
          <cell r="B28" t="str">
            <v>I</v>
          </cell>
          <cell r="C28" t="str">
            <v>의류</v>
          </cell>
          <cell r="E28" t="str">
            <v>2</v>
          </cell>
          <cell r="F28" t="str">
            <v>1</v>
          </cell>
          <cell r="G28">
            <v>0</v>
          </cell>
          <cell r="H28">
            <v>7616680</v>
          </cell>
          <cell r="I28">
            <v>8</v>
          </cell>
          <cell r="J28">
            <v>292500</v>
          </cell>
          <cell r="K28">
            <v>624000</v>
          </cell>
          <cell r="U28">
            <v>680</v>
          </cell>
          <cell r="AJ28">
            <v>109</v>
          </cell>
          <cell r="AK28">
            <v>3931395</v>
          </cell>
          <cell r="AN28">
            <v>53040000</v>
          </cell>
          <cell r="AO28">
            <v>8502000</v>
          </cell>
        </row>
        <row r="29">
          <cell r="A29" t="str">
            <v>X</v>
          </cell>
          <cell r="B29" t="str">
            <v>I</v>
          </cell>
          <cell r="C29" t="str">
            <v>의류</v>
          </cell>
          <cell r="E29" t="str">
            <v>2</v>
          </cell>
          <cell r="F29" t="str">
            <v>1</v>
          </cell>
          <cell r="G29">
            <v>1</v>
          </cell>
          <cell r="H29">
            <v>9812340</v>
          </cell>
          <cell r="I29">
            <v>8</v>
          </cell>
          <cell r="J29">
            <v>377300</v>
          </cell>
          <cell r="K29">
            <v>784000</v>
          </cell>
          <cell r="U29">
            <v>810</v>
          </cell>
          <cell r="AJ29">
            <v>194</v>
          </cell>
          <cell r="AK29">
            <v>9214500</v>
          </cell>
          <cell r="AN29">
            <v>79380000</v>
          </cell>
          <cell r="AO29">
            <v>19012000</v>
          </cell>
        </row>
        <row r="30">
          <cell r="A30" t="str">
            <v>X</v>
          </cell>
          <cell r="B30" t="str">
            <v>I</v>
          </cell>
          <cell r="C30" t="str">
            <v>의류</v>
          </cell>
          <cell r="E30" t="str">
            <v>2</v>
          </cell>
          <cell r="F30" t="str">
            <v>1</v>
          </cell>
          <cell r="G30">
            <v>0</v>
          </cell>
          <cell r="H30">
            <v>8213292</v>
          </cell>
          <cell r="I30">
            <v>8</v>
          </cell>
          <cell r="J30">
            <v>362600</v>
          </cell>
          <cell r="K30">
            <v>784000</v>
          </cell>
          <cell r="U30">
            <v>678</v>
          </cell>
          <cell r="AJ30">
            <v>174</v>
          </cell>
          <cell r="AK30">
            <v>8324300</v>
          </cell>
          <cell r="AN30">
            <v>66444000</v>
          </cell>
          <cell r="AO30">
            <v>17052000</v>
          </cell>
        </row>
        <row r="31">
          <cell r="A31" t="str">
            <v>X</v>
          </cell>
          <cell r="B31" t="str">
            <v>I</v>
          </cell>
          <cell r="C31" t="str">
            <v>의류</v>
          </cell>
          <cell r="E31" t="str">
            <v>2</v>
          </cell>
          <cell r="F31" t="str">
            <v>1</v>
          </cell>
          <cell r="G31">
            <v>1</v>
          </cell>
          <cell r="H31">
            <v>5996928</v>
          </cell>
          <cell r="I31">
            <v>7</v>
          </cell>
          <cell r="J31">
            <v>343000</v>
          </cell>
          <cell r="K31">
            <v>826000</v>
          </cell>
          <cell r="U31">
            <v>483</v>
          </cell>
          <cell r="AJ31">
            <v>40</v>
          </cell>
          <cell r="AK31">
            <v>2156900</v>
          </cell>
          <cell r="AN31">
            <v>56994000</v>
          </cell>
          <cell r="AO31">
            <v>4720000</v>
          </cell>
        </row>
        <row r="32">
          <cell r="A32" t="str">
            <v>X</v>
          </cell>
          <cell r="B32" t="str">
            <v>I</v>
          </cell>
          <cell r="C32" t="str">
            <v>의류</v>
          </cell>
          <cell r="E32" t="str">
            <v>2</v>
          </cell>
          <cell r="F32" t="str">
            <v>1</v>
          </cell>
          <cell r="G32">
            <v>0</v>
          </cell>
          <cell r="H32">
            <v>8480128</v>
          </cell>
          <cell r="I32">
            <v>33</v>
          </cell>
          <cell r="J32">
            <v>1617000</v>
          </cell>
          <cell r="K32">
            <v>3894000</v>
          </cell>
          <cell r="U32">
            <v>683</v>
          </cell>
          <cell r="AJ32">
            <v>287</v>
          </cell>
          <cell r="AK32">
            <v>15977000</v>
          </cell>
          <cell r="AN32">
            <v>80594000</v>
          </cell>
          <cell r="AO32">
            <v>33866000</v>
          </cell>
        </row>
        <row r="33">
          <cell r="A33" t="str">
            <v>X</v>
          </cell>
          <cell r="B33" t="str">
            <v>I</v>
          </cell>
          <cell r="C33" t="str">
            <v>의류</v>
          </cell>
          <cell r="E33" t="str">
            <v>2</v>
          </cell>
          <cell r="F33" t="str">
            <v>1</v>
          </cell>
          <cell r="G33">
            <v>0</v>
          </cell>
          <cell r="H33">
            <v>7586176</v>
          </cell>
          <cell r="I33">
            <v>8</v>
          </cell>
          <cell r="J33">
            <v>392000</v>
          </cell>
          <cell r="K33">
            <v>944000</v>
          </cell>
          <cell r="U33">
            <v>611</v>
          </cell>
          <cell r="AJ33">
            <v>64</v>
          </cell>
          <cell r="AK33">
            <v>3491100</v>
          </cell>
          <cell r="AN33">
            <v>72098000</v>
          </cell>
          <cell r="AO33">
            <v>7552000</v>
          </cell>
        </row>
        <row r="34">
          <cell r="A34" t="str">
            <v>X</v>
          </cell>
          <cell r="B34" t="str">
            <v>I</v>
          </cell>
          <cell r="C34" t="str">
            <v>의류</v>
          </cell>
          <cell r="E34" t="str">
            <v>2</v>
          </cell>
          <cell r="F34" t="str">
            <v>1</v>
          </cell>
          <cell r="G34">
            <v>1</v>
          </cell>
          <cell r="H34">
            <v>9038072</v>
          </cell>
          <cell r="I34">
            <v>8</v>
          </cell>
          <cell r="J34">
            <v>392000</v>
          </cell>
          <cell r="K34">
            <v>944000</v>
          </cell>
          <cell r="U34">
            <v>613</v>
          </cell>
          <cell r="AJ34">
            <v>82</v>
          </cell>
          <cell r="AK34">
            <v>4344600</v>
          </cell>
          <cell r="AN34">
            <v>72334000</v>
          </cell>
          <cell r="AO34">
            <v>9676000</v>
          </cell>
        </row>
        <row r="35">
          <cell r="A35" t="str">
            <v>X</v>
          </cell>
          <cell r="B35" t="str">
            <v>I</v>
          </cell>
          <cell r="C35" t="str">
            <v>의류</v>
          </cell>
          <cell r="E35" t="str">
            <v>2</v>
          </cell>
          <cell r="F35" t="str">
            <v>1</v>
          </cell>
          <cell r="G35">
            <v>0</v>
          </cell>
          <cell r="H35">
            <v>7357256</v>
          </cell>
          <cell r="I35">
            <v>3</v>
          </cell>
          <cell r="J35">
            <v>147000</v>
          </cell>
          <cell r="K35">
            <v>354000</v>
          </cell>
          <cell r="U35">
            <v>499</v>
          </cell>
          <cell r="AJ35">
            <v>58</v>
          </cell>
          <cell r="AK35">
            <v>3119400</v>
          </cell>
          <cell r="AN35">
            <v>58882000</v>
          </cell>
          <cell r="AO35">
            <v>6844000</v>
          </cell>
        </row>
        <row r="36">
          <cell r="A36" t="str">
            <v>X</v>
          </cell>
          <cell r="B36" t="str">
            <v>I</v>
          </cell>
          <cell r="C36" t="str">
            <v>의류</v>
          </cell>
          <cell r="E36" t="str">
            <v>2</v>
          </cell>
          <cell r="F36" t="str">
            <v>1</v>
          </cell>
          <cell r="G36">
            <v>1</v>
          </cell>
          <cell r="H36">
            <v>5448465</v>
          </cell>
          <cell r="I36">
            <v>9</v>
          </cell>
          <cell r="J36">
            <v>619400</v>
          </cell>
          <cell r="K36">
            <v>1422000</v>
          </cell>
          <cell r="U36">
            <v>405</v>
          </cell>
          <cell r="AJ36">
            <v>171</v>
          </cell>
          <cell r="AK36">
            <v>12673000</v>
          </cell>
          <cell r="AN36">
            <v>63990000</v>
          </cell>
          <cell r="AO36">
            <v>27018000</v>
          </cell>
        </row>
        <row r="37">
          <cell r="A37" t="str">
            <v>X</v>
          </cell>
          <cell r="B37" t="str">
            <v>I</v>
          </cell>
          <cell r="C37" t="str">
            <v>의류</v>
          </cell>
          <cell r="E37" t="str">
            <v>2</v>
          </cell>
          <cell r="F37" t="str">
            <v>1</v>
          </cell>
          <cell r="G37">
            <v>0</v>
          </cell>
          <cell r="H37">
            <v>10183921</v>
          </cell>
          <cell r="I37">
            <v>21</v>
          </cell>
          <cell r="J37">
            <v>1500000</v>
          </cell>
          <cell r="K37">
            <v>3318000</v>
          </cell>
          <cell r="U37">
            <v>757</v>
          </cell>
          <cell r="AJ37">
            <v>291</v>
          </cell>
          <cell r="AK37">
            <v>21632000</v>
          </cell>
          <cell r="AN37">
            <v>119606000</v>
          </cell>
          <cell r="AO37">
            <v>45978000</v>
          </cell>
        </row>
        <row r="38">
          <cell r="A38" t="str">
            <v>X</v>
          </cell>
          <cell r="B38" t="str">
            <v>I</v>
          </cell>
          <cell r="C38" t="str">
            <v>의류</v>
          </cell>
          <cell r="E38" t="str">
            <v>2</v>
          </cell>
          <cell r="F38" t="str">
            <v>1</v>
          </cell>
          <cell r="G38">
            <v>1</v>
          </cell>
          <cell r="H38">
            <v>5727897</v>
          </cell>
          <cell r="I38">
            <v>23</v>
          </cell>
          <cell r="J38">
            <v>1022700</v>
          </cell>
          <cell r="K38">
            <v>2254000</v>
          </cell>
          <cell r="U38">
            <v>531</v>
          </cell>
          <cell r="AJ38">
            <v>185</v>
          </cell>
          <cell r="AK38">
            <v>8684300</v>
          </cell>
          <cell r="AN38">
            <v>52038000</v>
          </cell>
          <cell r="AO38">
            <v>18130000</v>
          </cell>
        </row>
        <row r="39">
          <cell r="A39" t="str">
            <v>X</v>
          </cell>
          <cell r="B39" t="str">
            <v>I</v>
          </cell>
          <cell r="C39" t="str">
            <v>의류</v>
          </cell>
          <cell r="E39" t="str">
            <v>2</v>
          </cell>
          <cell r="F39" t="str">
            <v>1</v>
          </cell>
          <cell r="G39">
            <v>0</v>
          </cell>
          <cell r="H39">
            <v>8273629</v>
          </cell>
          <cell r="I39">
            <v>31</v>
          </cell>
          <cell r="J39">
            <v>1415700</v>
          </cell>
          <cell r="K39">
            <v>3038000</v>
          </cell>
          <cell r="U39">
            <v>767</v>
          </cell>
          <cell r="AJ39">
            <v>289</v>
          </cell>
          <cell r="AK39">
            <v>13729200</v>
          </cell>
          <cell r="AN39">
            <v>75166000</v>
          </cell>
          <cell r="AO39">
            <v>28322000</v>
          </cell>
        </row>
        <row r="40">
          <cell r="A40" t="str">
            <v>X</v>
          </cell>
          <cell r="B40" t="str">
            <v>I</v>
          </cell>
          <cell r="C40" t="str">
            <v>의류</v>
          </cell>
          <cell r="E40" t="str">
            <v>2</v>
          </cell>
          <cell r="F40" t="str">
            <v>1</v>
          </cell>
          <cell r="G40">
            <v>0</v>
          </cell>
          <cell r="H40">
            <v>7615622</v>
          </cell>
          <cell r="I40">
            <v>20</v>
          </cell>
          <cell r="J40">
            <v>911400</v>
          </cell>
          <cell r="K40">
            <v>1960000</v>
          </cell>
          <cell r="U40">
            <v>706</v>
          </cell>
          <cell r="AJ40">
            <v>277</v>
          </cell>
          <cell r="AK40">
            <v>13017100</v>
          </cell>
          <cell r="AN40">
            <v>69188000</v>
          </cell>
          <cell r="AO40">
            <v>27146000</v>
          </cell>
        </row>
        <row r="41">
          <cell r="A41" t="str">
            <v>X</v>
          </cell>
          <cell r="B41" t="str">
            <v>I</v>
          </cell>
          <cell r="C41" t="str">
            <v>의류</v>
          </cell>
          <cell r="E41" t="str">
            <v>2</v>
          </cell>
          <cell r="F41" t="str">
            <v>1</v>
          </cell>
          <cell r="G41">
            <v>1</v>
          </cell>
          <cell r="H41">
            <v>12582636</v>
          </cell>
          <cell r="I41">
            <v>11</v>
          </cell>
          <cell r="J41">
            <v>649000</v>
          </cell>
          <cell r="K41">
            <v>1738000</v>
          </cell>
          <cell r="U41">
            <v>692</v>
          </cell>
          <cell r="AJ41">
            <v>170</v>
          </cell>
          <cell r="AK41">
            <v>12145400</v>
          </cell>
          <cell r="AN41">
            <v>109336000</v>
          </cell>
          <cell r="AO41">
            <v>26860000</v>
          </cell>
        </row>
        <row r="42">
          <cell r="A42" t="str">
            <v>X</v>
          </cell>
          <cell r="B42" t="str">
            <v>I</v>
          </cell>
          <cell r="C42" t="str">
            <v>의류</v>
          </cell>
          <cell r="E42" t="str">
            <v>2</v>
          </cell>
          <cell r="F42" t="str">
            <v>1</v>
          </cell>
          <cell r="G42">
            <v>0</v>
          </cell>
          <cell r="H42">
            <v>9164232</v>
          </cell>
          <cell r="I42">
            <v>10</v>
          </cell>
          <cell r="J42">
            <v>590000</v>
          </cell>
          <cell r="K42">
            <v>1580000</v>
          </cell>
          <cell r="U42">
            <v>504</v>
          </cell>
          <cell r="AJ42">
            <v>72</v>
          </cell>
          <cell r="AK42">
            <v>4877900</v>
          </cell>
          <cell r="AN42">
            <v>79632000</v>
          </cell>
          <cell r="AO42">
            <v>11376000</v>
          </cell>
        </row>
        <row r="43">
          <cell r="A43" t="str">
            <v>X</v>
          </cell>
          <cell r="B43" t="str">
            <v>I</v>
          </cell>
          <cell r="C43" t="str">
            <v>의류</v>
          </cell>
          <cell r="E43" t="str">
            <v>2</v>
          </cell>
          <cell r="F43" t="str">
            <v>1</v>
          </cell>
          <cell r="G43">
            <v>1</v>
          </cell>
          <cell r="H43">
            <v>10049955</v>
          </cell>
          <cell r="I43">
            <v>9</v>
          </cell>
          <cell r="J43">
            <v>450800</v>
          </cell>
          <cell r="K43">
            <v>1242000</v>
          </cell>
          <cell r="U43">
            <v>591</v>
          </cell>
          <cell r="AJ43">
            <v>94</v>
          </cell>
          <cell r="AK43">
            <v>5688200</v>
          </cell>
          <cell r="AN43">
            <v>81558000</v>
          </cell>
          <cell r="AO43">
            <v>12972000</v>
          </cell>
        </row>
        <row r="44">
          <cell r="A44" t="str">
            <v>X</v>
          </cell>
          <cell r="B44" t="str">
            <v>I</v>
          </cell>
          <cell r="C44" t="str">
            <v>의류</v>
          </cell>
          <cell r="E44" t="str">
            <v>2</v>
          </cell>
          <cell r="F44" t="str">
            <v>1</v>
          </cell>
          <cell r="G44">
            <v>0</v>
          </cell>
          <cell r="H44">
            <v>10117975</v>
          </cell>
          <cell r="I44">
            <v>2</v>
          </cell>
          <cell r="J44">
            <v>98000</v>
          </cell>
          <cell r="K44">
            <v>276000</v>
          </cell>
          <cell r="U44">
            <v>595</v>
          </cell>
          <cell r="AJ44">
            <v>60</v>
          </cell>
          <cell r="AK44">
            <v>3615500</v>
          </cell>
          <cell r="AN44">
            <v>82110000</v>
          </cell>
          <cell r="AO44">
            <v>8280000</v>
          </cell>
        </row>
        <row r="45">
          <cell r="A45" t="str">
            <v>X</v>
          </cell>
          <cell r="B45" t="str">
            <v>I</v>
          </cell>
          <cell r="C45" t="str">
            <v>의류</v>
          </cell>
          <cell r="E45" t="str">
            <v>2</v>
          </cell>
          <cell r="F45" t="str">
            <v>1</v>
          </cell>
          <cell r="G45">
            <v>1</v>
          </cell>
          <cell r="H45">
            <v>14222412</v>
          </cell>
          <cell r="I45">
            <v>14</v>
          </cell>
          <cell r="J45">
            <v>1012800</v>
          </cell>
          <cell r="K45">
            <v>2212000</v>
          </cell>
          <cell r="U45">
            <v>783</v>
          </cell>
          <cell r="AJ45">
            <v>174</v>
          </cell>
          <cell r="AK45">
            <v>12979400</v>
          </cell>
          <cell r="AN45">
            <v>123714000</v>
          </cell>
          <cell r="AO45">
            <v>27492000</v>
          </cell>
        </row>
        <row r="46">
          <cell r="A46" t="str">
            <v>X</v>
          </cell>
          <cell r="B46" t="str">
            <v>I</v>
          </cell>
          <cell r="C46" t="str">
            <v>의류</v>
          </cell>
          <cell r="E46" t="str">
            <v>2</v>
          </cell>
          <cell r="F46" t="str">
            <v>1</v>
          </cell>
          <cell r="G46">
            <v>0</v>
          </cell>
          <cell r="H46">
            <v>8954852</v>
          </cell>
          <cell r="I46">
            <v>7</v>
          </cell>
          <cell r="J46">
            <v>461400</v>
          </cell>
          <cell r="K46">
            <v>1106000</v>
          </cell>
          <cell r="U46">
            <v>493</v>
          </cell>
          <cell r="AJ46">
            <v>151</v>
          </cell>
          <cell r="AK46">
            <v>10919700</v>
          </cell>
          <cell r="AN46">
            <v>77894000</v>
          </cell>
          <cell r="AO46">
            <v>23858000</v>
          </cell>
        </row>
        <row r="47">
          <cell r="A47" t="str">
            <v>X</v>
          </cell>
          <cell r="B47" t="str">
            <v>I</v>
          </cell>
          <cell r="C47" t="str">
            <v>의류</v>
          </cell>
          <cell r="E47" t="str">
            <v>2</v>
          </cell>
          <cell r="F47" t="str">
            <v>1</v>
          </cell>
          <cell r="G47">
            <v>1</v>
          </cell>
          <cell r="H47">
            <v>13023660</v>
          </cell>
          <cell r="I47">
            <v>18</v>
          </cell>
          <cell r="J47">
            <v>1272500</v>
          </cell>
          <cell r="K47">
            <v>2844000</v>
          </cell>
          <cell r="U47">
            <v>780</v>
          </cell>
          <cell r="AJ47">
            <v>188</v>
          </cell>
          <cell r="AK47">
            <v>13858600</v>
          </cell>
          <cell r="AN47">
            <v>123240000</v>
          </cell>
          <cell r="AO47">
            <v>29704000</v>
          </cell>
        </row>
        <row r="48">
          <cell r="A48" t="str">
            <v>X</v>
          </cell>
          <cell r="B48" t="str">
            <v>I</v>
          </cell>
          <cell r="C48" t="str">
            <v>의류</v>
          </cell>
          <cell r="E48" t="str">
            <v>2</v>
          </cell>
          <cell r="F48" t="str">
            <v>1</v>
          </cell>
          <cell r="G48">
            <v>0</v>
          </cell>
          <cell r="H48">
            <v>9684260</v>
          </cell>
          <cell r="I48">
            <v>16</v>
          </cell>
          <cell r="J48">
            <v>1132900</v>
          </cell>
          <cell r="K48">
            <v>2528000</v>
          </cell>
          <cell r="U48">
            <v>580</v>
          </cell>
          <cell r="AJ48">
            <v>130</v>
          </cell>
          <cell r="AK48">
            <v>9485100</v>
          </cell>
          <cell r="AN48">
            <v>91640000</v>
          </cell>
          <cell r="AO48">
            <v>20540000</v>
          </cell>
        </row>
        <row r="49">
          <cell r="A49" t="str">
            <v>X</v>
          </cell>
          <cell r="B49" t="str">
            <v>I</v>
          </cell>
          <cell r="C49" t="str">
            <v>의류</v>
          </cell>
          <cell r="E49" t="str">
            <v>2</v>
          </cell>
          <cell r="F49" t="str">
            <v>1</v>
          </cell>
          <cell r="G49">
            <v>1</v>
          </cell>
          <cell r="H49">
            <v>12772359</v>
          </cell>
          <cell r="I49">
            <v>26</v>
          </cell>
          <cell r="J49">
            <v>1534000</v>
          </cell>
          <cell r="K49">
            <v>4108000</v>
          </cell>
          <cell r="U49">
            <v>909</v>
          </cell>
          <cell r="AJ49">
            <v>195</v>
          </cell>
          <cell r="AK49">
            <v>13057350</v>
          </cell>
          <cell r="AN49">
            <v>143622000</v>
          </cell>
          <cell r="AO49">
            <v>30810000</v>
          </cell>
        </row>
        <row r="50">
          <cell r="A50" t="str">
            <v>X</v>
          </cell>
          <cell r="B50" t="str">
            <v>I</v>
          </cell>
          <cell r="C50" t="str">
            <v>의류</v>
          </cell>
          <cell r="E50" t="str">
            <v>2</v>
          </cell>
          <cell r="F50" t="str">
            <v>1</v>
          </cell>
          <cell r="G50">
            <v>0</v>
          </cell>
          <cell r="H50">
            <v>16186752</v>
          </cell>
          <cell r="I50">
            <v>21</v>
          </cell>
          <cell r="J50">
            <v>1239000</v>
          </cell>
          <cell r="K50">
            <v>3318000</v>
          </cell>
          <cell r="U50">
            <v>1152</v>
          </cell>
          <cell r="AJ50">
            <v>161</v>
          </cell>
          <cell r="AK50">
            <v>10826050</v>
          </cell>
          <cell r="AN50">
            <v>182016000</v>
          </cell>
          <cell r="AO50">
            <v>25438000</v>
          </cell>
        </row>
        <row r="51">
          <cell r="A51" t="str">
            <v>X</v>
          </cell>
          <cell r="B51" t="str">
            <v>I</v>
          </cell>
          <cell r="C51" t="str">
            <v>의류</v>
          </cell>
          <cell r="E51" t="str">
            <v>2</v>
          </cell>
          <cell r="F51" t="str">
            <v>1</v>
          </cell>
          <cell r="G51">
            <v>1</v>
          </cell>
          <cell r="H51">
            <v>12442430</v>
          </cell>
          <cell r="I51">
            <v>13</v>
          </cell>
          <cell r="J51">
            <v>1043600</v>
          </cell>
          <cell r="K51">
            <v>2314000</v>
          </cell>
          <cell r="U51">
            <v>715</v>
          </cell>
          <cell r="AJ51">
            <v>189</v>
          </cell>
          <cell r="AK51">
            <v>15586800</v>
          </cell>
          <cell r="AN51">
            <v>127270000</v>
          </cell>
          <cell r="AO51">
            <v>33642000</v>
          </cell>
        </row>
        <row r="52">
          <cell r="A52" t="str">
            <v>X</v>
          </cell>
          <cell r="B52" t="str">
            <v>I</v>
          </cell>
          <cell r="C52" t="str">
            <v>의류</v>
          </cell>
          <cell r="E52" t="str">
            <v>2</v>
          </cell>
          <cell r="F52" t="str">
            <v>1</v>
          </cell>
          <cell r="G52">
            <v>1</v>
          </cell>
          <cell r="H52">
            <v>9202050</v>
          </cell>
          <cell r="I52">
            <v>17</v>
          </cell>
          <cell r="J52">
            <v>1241900</v>
          </cell>
          <cell r="K52">
            <v>2686000</v>
          </cell>
          <cell r="U52">
            <v>605</v>
          </cell>
          <cell r="AJ52">
            <v>99</v>
          </cell>
          <cell r="AK52">
            <v>7199760</v>
          </cell>
          <cell r="AN52">
            <v>95590000</v>
          </cell>
          <cell r="AO52">
            <v>15642000</v>
          </cell>
        </row>
        <row r="53">
          <cell r="A53" t="str">
            <v>X</v>
          </cell>
          <cell r="B53" t="str">
            <v>I</v>
          </cell>
          <cell r="C53" t="str">
            <v>의류</v>
          </cell>
          <cell r="E53" t="str">
            <v>2</v>
          </cell>
          <cell r="F53" t="str">
            <v>1</v>
          </cell>
          <cell r="G53">
            <v>0</v>
          </cell>
          <cell r="H53">
            <v>6509880</v>
          </cell>
          <cell r="I53">
            <v>4</v>
          </cell>
          <cell r="J53">
            <v>278100</v>
          </cell>
          <cell r="K53">
            <v>632000</v>
          </cell>
          <cell r="U53">
            <v>428</v>
          </cell>
          <cell r="AJ53">
            <v>50</v>
          </cell>
          <cell r="AK53">
            <v>3673600</v>
          </cell>
          <cell r="AN53">
            <v>67624000</v>
          </cell>
          <cell r="AO53">
            <v>7900000</v>
          </cell>
        </row>
        <row r="54">
          <cell r="A54" t="str">
            <v>X</v>
          </cell>
          <cell r="B54" t="str">
            <v>I</v>
          </cell>
          <cell r="C54" t="str">
            <v>의류</v>
          </cell>
          <cell r="E54" t="str">
            <v>2</v>
          </cell>
          <cell r="F54" t="str">
            <v>1</v>
          </cell>
          <cell r="G54">
            <v>1</v>
          </cell>
          <cell r="H54">
            <v>13391408</v>
          </cell>
          <cell r="I54">
            <v>18</v>
          </cell>
          <cell r="J54">
            <v>1264600</v>
          </cell>
          <cell r="K54">
            <v>2844000</v>
          </cell>
          <cell r="U54">
            <v>706</v>
          </cell>
          <cell r="AJ54">
            <v>151</v>
          </cell>
          <cell r="AK54">
            <v>11017200</v>
          </cell>
          <cell r="AN54">
            <v>111548000</v>
          </cell>
          <cell r="AO54">
            <v>23858000</v>
          </cell>
        </row>
        <row r="55">
          <cell r="A55" t="str">
            <v>X</v>
          </cell>
          <cell r="B55" t="str">
            <v>I</v>
          </cell>
          <cell r="C55" t="str">
            <v>의류</v>
          </cell>
          <cell r="E55" t="str">
            <v>2</v>
          </cell>
          <cell r="F55" t="str">
            <v>1</v>
          </cell>
          <cell r="G55">
            <v>0</v>
          </cell>
          <cell r="H55">
            <v>12537848</v>
          </cell>
          <cell r="I55">
            <v>30</v>
          </cell>
          <cell r="J55">
            <v>2123600</v>
          </cell>
          <cell r="K55">
            <v>4740000</v>
          </cell>
          <cell r="U55">
            <v>661</v>
          </cell>
          <cell r="AJ55">
            <v>310</v>
          </cell>
          <cell r="AK55">
            <v>22386050</v>
          </cell>
          <cell r="AN55">
            <v>104438000</v>
          </cell>
          <cell r="AO55">
            <v>48980000</v>
          </cell>
        </row>
        <row r="56">
          <cell r="A56" t="str">
            <v>X</v>
          </cell>
          <cell r="B56" t="str">
            <v>I</v>
          </cell>
          <cell r="C56" t="str">
            <v>의류</v>
          </cell>
          <cell r="E56" t="str">
            <v>2</v>
          </cell>
          <cell r="F56" t="str">
            <v>1</v>
          </cell>
          <cell r="G56">
            <v>1</v>
          </cell>
          <cell r="H56">
            <v>11191465</v>
          </cell>
          <cell r="I56">
            <v>31</v>
          </cell>
          <cell r="J56">
            <v>2144200</v>
          </cell>
          <cell r="K56">
            <v>4898000</v>
          </cell>
          <cell r="U56">
            <v>701</v>
          </cell>
          <cell r="AJ56">
            <v>140</v>
          </cell>
          <cell r="AK56">
            <v>9796000</v>
          </cell>
          <cell r="AN56">
            <v>110758000</v>
          </cell>
          <cell r="AO56">
            <v>22120000</v>
          </cell>
        </row>
        <row r="57">
          <cell r="A57" t="str">
            <v>X</v>
          </cell>
          <cell r="B57" t="str">
            <v>I</v>
          </cell>
          <cell r="C57" t="str">
            <v>의류</v>
          </cell>
          <cell r="E57" t="str">
            <v>2</v>
          </cell>
          <cell r="F57" t="str">
            <v>1</v>
          </cell>
          <cell r="G57">
            <v>0</v>
          </cell>
          <cell r="H57">
            <v>7982500</v>
          </cell>
          <cell r="I57">
            <v>13</v>
          </cell>
          <cell r="J57">
            <v>935400</v>
          </cell>
          <cell r="K57">
            <v>2054000</v>
          </cell>
          <cell r="U57">
            <v>500</v>
          </cell>
          <cell r="AJ57">
            <v>112</v>
          </cell>
          <cell r="AK57">
            <v>7908800</v>
          </cell>
          <cell r="AN57">
            <v>79000000</v>
          </cell>
          <cell r="AO57">
            <v>17696000</v>
          </cell>
        </row>
        <row r="58">
          <cell r="A58" t="str">
            <v>X</v>
          </cell>
          <cell r="B58" t="str">
            <v>I</v>
          </cell>
          <cell r="C58" t="str">
            <v>의류</v>
          </cell>
          <cell r="E58" t="str">
            <v>2</v>
          </cell>
          <cell r="F58" t="str">
            <v>1</v>
          </cell>
          <cell r="G58">
            <v>1</v>
          </cell>
          <cell r="H58">
            <v>9682608</v>
          </cell>
          <cell r="I58">
            <v>9</v>
          </cell>
          <cell r="J58">
            <v>579600</v>
          </cell>
          <cell r="K58">
            <v>1242000</v>
          </cell>
          <cell r="U58">
            <v>624</v>
          </cell>
          <cell r="AJ58">
            <v>207</v>
          </cell>
          <cell r="AK58">
            <v>13770150</v>
          </cell>
          <cell r="AN58">
            <v>86112000</v>
          </cell>
          <cell r="AO58">
            <v>28566000</v>
          </cell>
        </row>
        <row r="59">
          <cell r="A59" t="str">
            <v>X</v>
          </cell>
          <cell r="B59" t="str">
            <v>I</v>
          </cell>
          <cell r="C59" t="str">
            <v>의류</v>
          </cell>
          <cell r="E59" t="str">
            <v>2</v>
          </cell>
          <cell r="F59" t="str">
            <v>1</v>
          </cell>
          <cell r="G59">
            <v>0</v>
          </cell>
          <cell r="H59">
            <v>9713642</v>
          </cell>
          <cell r="I59">
            <v>8</v>
          </cell>
          <cell r="J59">
            <v>508200</v>
          </cell>
          <cell r="K59">
            <v>1104000</v>
          </cell>
          <cell r="U59">
            <v>626</v>
          </cell>
          <cell r="AJ59">
            <v>163</v>
          </cell>
          <cell r="AK59">
            <v>10889000</v>
          </cell>
          <cell r="AN59">
            <v>86388000</v>
          </cell>
          <cell r="AO59">
            <v>22494000</v>
          </cell>
        </row>
        <row r="60">
          <cell r="A60" t="str">
            <v>X</v>
          </cell>
          <cell r="B60" t="str">
            <v>I</v>
          </cell>
          <cell r="C60" t="str">
            <v>의류</v>
          </cell>
          <cell r="E60" t="str">
            <v>2</v>
          </cell>
          <cell r="F60" t="str">
            <v>1</v>
          </cell>
          <cell r="G60">
            <v>1</v>
          </cell>
          <cell r="H60">
            <v>17351016</v>
          </cell>
          <cell r="I60">
            <v>23</v>
          </cell>
          <cell r="J60">
            <v>1357000</v>
          </cell>
          <cell r="K60">
            <v>3634000</v>
          </cell>
          <cell r="U60">
            <v>1032</v>
          </cell>
          <cell r="AJ60">
            <v>234</v>
          </cell>
          <cell r="AK60">
            <v>16439550</v>
          </cell>
          <cell r="AN60">
            <v>163056000</v>
          </cell>
          <cell r="AO60">
            <v>36972000</v>
          </cell>
        </row>
        <row r="61">
          <cell r="A61" t="str">
            <v>X</v>
          </cell>
          <cell r="B61" t="str">
            <v>I</v>
          </cell>
          <cell r="C61" t="str">
            <v>의류</v>
          </cell>
          <cell r="E61" t="str">
            <v>2</v>
          </cell>
          <cell r="F61" t="str">
            <v>1</v>
          </cell>
          <cell r="G61">
            <v>1</v>
          </cell>
          <cell r="H61">
            <v>10135272</v>
          </cell>
          <cell r="I61">
            <v>4</v>
          </cell>
          <cell r="J61">
            <v>276000</v>
          </cell>
          <cell r="K61">
            <v>712000</v>
          </cell>
          <cell r="U61">
            <v>552</v>
          </cell>
          <cell r="AJ61">
            <v>75</v>
          </cell>
          <cell r="AK61">
            <v>5891600</v>
          </cell>
          <cell r="AN61">
            <v>98256000</v>
          </cell>
          <cell r="AO61">
            <v>13350000</v>
          </cell>
        </row>
        <row r="62">
          <cell r="A62" t="str">
            <v>X</v>
          </cell>
          <cell r="B62" t="str">
            <v>I</v>
          </cell>
          <cell r="C62" t="str">
            <v>의류</v>
          </cell>
          <cell r="E62" t="str">
            <v>2</v>
          </cell>
          <cell r="F62" t="str">
            <v>1</v>
          </cell>
          <cell r="G62">
            <v>0</v>
          </cell>
          <cell r="H62">
            <v>10961517</v>
          </cell>
          <cell r="I62">
            <v>3</v>
          </cell>
          <cell r="J62">
            <v>207000</v>
          </cell>
          <cell r="K62">
            <v>534000</v>
          </cell>
          <cell r="U62">
            <v>597</v>
          </cell>
          <cell r="AJ62">
            <v>64</v>
          </cell>
          <cell r="AK62">
            <v>5159300</v>
          </cell>
          <cell r="AN62">
            <v>106266000</v>
          </cell>
          <cell r="AO62">
            <v>11392000</v>
          </cell>
        </row>
        <row r="63">
          <cell r="A63" t="str">
            <v>X</v>
          </cell>
          <cell r="B63" t="str">
            <v>I</v>
          </cell>
          <cell r="C63" t="str">
            <v>의류</v>
          </cell>
          <cell r="E63" t="str">
            <v>2</v>
          </cell>
          <cell r="F63" t="str">
            <v>1</v>
          </cell>
          <cell r="G63">
            <v>1</v>
          </cell>
          <cell r="H63">
            <v>7368561</v>
          </cell>
          <cell r="I63">
            <v>14</v>
          </cell>
          <cell r="J63">
            <v>1050700</v>
          </cell>
          <cell r="K63">
            <v>2212000</v>
          </cell>
          <cell r="U63">
            <v>369</v>
          </cell>
          <cell r="AJ63">
            <v>138</v>
          </cell>
          <cell r="AK63">
            <v>10490050</v>
          </cell>
          <cell r="AN63">
            <v>58302000</v>
          </cell>
          <cell r="AO63">
            <v>21804000</v>
          </cell>
        </row>
        <row r="64">
          <cell r="A64" t="str">
            <v>X</v>
          </cell>
          <cell r="B64" t="str">
            <v>I</v>
          </cell>
          <cell r="C64" t="str">
            <v>의류</v>
          </cell>
          <cell r="E64" t="str">
            <v>2</v>
          </cell>
          <cell r="F64" t="str">
            <v>1</v>
          </cell>
          <cell r="G64">
            <v>0</v>
          </cell>
          <cell r="H64">
            <v>9285585</v>
          </cell>
          <cell r="I64">
            <v>15</v>
          </cell>
          <cell r="J64">
            <v>997600</v>
          </cell>
          <cell r="K64">
            <v>2370000</v>
          </cell>
          <cell r="U64">
            <v>465</v>
          </cell>
          <cell r="AJ64">
            <v>210</v>
          </cell>
          <cell r="AK64">
            <v>15681400</v>
          </cell>
          <cell r="AN64">
            <v>73470000</v>
          </cell>
          <cell r="AO64">
            <v>33180000</v>
          </cell>
        </row>
        <row r="65">
          <cell r="A65" t="str">
            <v>X</v>
          </cell>
          <cell r="B65" t="str">
            <v>I</v>
          </cell>
          <cell r="C65" t="str">
            <v>의류</v>
          </cell>
          <cell r="E65" t="str">
            <v>2</v>
          </cell>
          <cell r="F65" t="str">
            <v>1</v>
          </cell>
          <cell r="G65">
            <v>1</v>
          </cell>
          <cell r="H65">
            <v>12473300</v>
          </cell>
          <cell r="I65">
            <v>4</v>
          </cell>
          <cell r="J65">
            <v>270200</v>
          </cell>
          <cell r="K65">
            <v>632000</v>
          </cell>
          <cell r="U65">
            <v>700</v>
          </cell>
          <cell r="AJ65">
            <v>196</v>
          </cell>
          <cell r="AK65">
            <v>14869700</v>
          </cell>
          <cell r="AN65">
            <v>110600000</v>
          </cell>
          <cell r="AO65">
            <v>30968000</v>
          </cell>
        </row>
        <row r="66">
          <cell r="A66" t="str">
            <v>X</v>
          </cell>
          <cell r="B66" t="str">
            <v>I</v>
          </cell>
          <cell r="C66" t="str">
            <v>의류</v>
          </cell>
          <cell r="E66" t="str">
            <v>2</v>
          </cell>
          <cell r="F66" t="str">
            <v>1</v>
          </cell>
          <cell r="G66">
            <v>0</v>
          </cell>
          <cell r="H66">
            <v>6753401</v>
          </cell>
          <cell r="I66">
            <v>5</v>
          </cell>
          <cell r="J66">
            <v>395000</v>
          </cell>
          <cell r="K66">
            <v>790000</v>
          </cell>
          <cell r="U66">
            <v>379</v>
          </cell>
          <cell r="AJ66">
            <v>71</v>
          </cell>
          <cell r="AK66">
            <v>5453200</v>
          </cell>
          <cell r="AN66">
            <v>59882000</v>
          </cell>
          <cell r="AO66">
            <v>11218000</v>
          </cell>
        </row>
        <row r="67">
          <cell r="A67" t="str">
            <v>X</v>
          </cell>
          <cell r="B67" t="str">
            <v>I</v>
          </cell>
          <cell r="C67" t="str">
            <v>의류</v>
          </cell>
          <cell r="E67" t="str">
            <v>2</v>
          </cell>
          <cell r="F67" t="str">
            <v>1</v>
          </cell>
          <cell r="G67">
            <v>1</v>
          </cell>
          <cell r="H67">
            <v>8775864</v>
          </cell>
          <cell r="I67">
            <v>12</v>
          </cell>
          <cell r="J67">
            <v>806400</v>
          </cell>
          <cell r="K67">
            <v>1896000</v>
          </cell>
          <cell r="U67">
            <v>522</v>
          </cell>
          <cell r="AJ67">
            <v>130</v>
          </cell>
          <cell r="AK67">
            <v>9613500</v>
          </cell>
          <cell r="AN67">
            <v>82476000</v>
          </cell>
          <cell r="AO67">
            <v>20540000</v>
          </cell>
        </row>
        <row r="68">
          <cell r="A68" t="str">
            <v>X</v>
          </cell>
          <cell r="B68" t="str">
            <v>I</v>
          </cell>
          <cell r="C68" t="str">
            <v>의류</v>
          </cell>
          <cell r="E68" t="str">
            <v>2</v>
          </cell>
          <cell r="F68" t="str">
            <v>1</v>
          </cell>
          <cell r="G68">
            <v>0</v>
          </cell>
          <cell r="H68">
            <v>7279596</v>
          </cell>
          <cell r="I68">
            <v>9</v>
          </cell>
          <cell r="J68">
            <v>633600</v>
          </cell>
          <cell r="K68">
            <v>1422000</v>
          </cell>
          <cell r="U68">
            <v>433</v>
          </cell>
          <cell r="AJ68">
            <v>114</v>
          </cell>
          <cell r="AK68">
            <v>8329250</v>
          </cell>
          <cell r="AN68">
            <v>68414000</v>
          </cell>
          <cell r="AO68">
            <v>18012000</v>
          </cell>
        </row>
        <row r="69">
          <cell r="A69" t="str">
            <v>X</v>
          </cell>
          <cell r="B69" t="str">
            <v>I</v>
          </cell>
          <cell r="C69" t="str">
            <v>의류</v>
          </cell>
          <cell r="E69" t="str">
            <v>2</v>
          </cell>
          <cell r="F69" t="str">
            <v>1</v>
          </cell>
          <cell r="G69">
            <v>1</v>
          </cell>
          <cell r="H69">
            <v>7913350</v>
          </cell>
          <cell r="I69">
            <v>2</v>
          </cell>
          <cell r="J69">
            <v>150100</v>
          </cell>
          <cell r="K69">
            <v>316000</v>
          </cell>
          <cell r="U69">
            <v>505</v>
          </cell>
          <cell r="AJ69">
            <v>85</v>
          </cell>
          <cell r="AK69">
            <v>6243550</v>
          </cell>
          <cell r="AN69">
            <v>79790000</v>
          </cell>
          <cell r="AO69">
            <v>13430000</v>
          </cell>
        </row>
        <row r="70">
          <cell r="A70" t="str">
            <v>X</v>
          </cell>
          <cell r="B70" t="str">
            <v>I</v>
          </cell>
          <cell r="C70" t="str">
            <v>의류</v>
          </cell>
          <cell r="E70" t="str">
            <v>2</v>
          </cell>
          <cell r="F70" t="str">
            <v>1</v>
          </cell>
          <cell r="G70">
            <v>0</v>
          </cell>
          <cell r="H70">
            <v>9731070</v>
          </cell>
          <cell r="I70">
            <v>18</v>
          </cell>
          <cell r="J70">
            <v>1338300</v>
          </cell>
          <cell r="K70">
            <v>2844000</v>
          </cell>
          <cell r="U70">
            <v>621</v>
          </cell>
          <cell r="AJ70">
            <v>115</v>
          </cell>
          <cell r="AK70">
            <v>8442200</v>
          </cell>
          <cell r="AN70">
            <v>98118000</v>
          </cell>
          <cell r="AO70">
            <v>18170000</v>
          </cell>
        </row>
        <row r="71">
          <cell r="A71" t="str">
            <v>X</v>
          </cell>
          <cell r="B71" t="str">
            <v>I</v>
          </cell>
          <cell r="C71" t="str">
            <v>의류</v>
          </cell>
          <cell r="E71" t="str">
            <v>2</v>
          </cell>
          <cell r="F71" t="str">
            <v>1</v>
          </cell>
          <cell r="G71">
            <v>1</v>
          </cell>
          <cell r="H71">
            <v>16747380</v>
          </cell>
          <cell r="I71">
            <v>8</v>
          </cell>
          <cell r="J71">
            <v>472000</v>
          </cell>
          <cell r="K71">
            <v>1264000</v>
          </cell>
          <cell r="U71">
            <v>1020</v>
          </cell>
          <cell r="AJ71">
            <v>100</v>
          </cell>
          <cell r="AK71">
            <v>7029900</v>
          </cell>
          <cell r="AN71">
            <v>161160000</v>
          </cell>
          <cell r="AO71">
            <v>15800000</v>
          </cell>
        </row>
        <row r="72">
          <cell r="A72" t="str">
            <v>X</v>
          </cell>
          <cell r="B72" t="str">
            <v>I</v>
          </cell>
          <cell r="C72" t="str">
            <v>의류</v>
          </cell>
          <cell r="E72" t="str">
            <v>2</v>
          </cell>
          <cell r="F72" t="str">
            <v>1</v>
          </cell>
          <cell r="G72">
            <v>1</v>
          </cell>
          <cell r="H72">
            <v>13836536</v>
          </cell>
          <cell r="I72">
            <v>20</v>
          </cell>
          <cell r="J72">
            <v>1474700</v>
          </cell>
          <cell r="K72">
            <v>3160000</v>
          </cell>
          <cell r="U72">
            <v>844</v>
          </cell>
          <cell r="AJ72">
            <v>185</v>
          </cell>
          <cell r="AK72">
            <v>13458400</v>
          </cell>
          <cell r="AN72">
            <v>133352000</v>
          </cell>
          <cell r="AO72">
            <v>29230000</v>
          </cell>
        </row>
        <row r="73">
          <cell r="A73" t="str">
            <v>X</v>
          </cell>
          <cell r="B73" t="str">
            <v>I</v>
          </cell>
          <cell r="C73" t="str">
            <v>의류</v>
          </cell>
          <cell r="E73" t="str">
            <v>2</v>
          </cell>
          <cell r="F73" t="str">
            <v>1</v>
          </cell>
          <cell r="G73">
            <v>1</v>
          </cell>
          <cell r="H73">
            <v>13670091</v>
          </cell>
          <cell r="I73">
            <v>11</v>
          </cell>
          <cell r="J73">
            <v>759000</v>
          </cell>
          <cell r="K73">
            <v>1958000</v>
          </cell>
          <cell r="U73">
            <v>799</v>
          </cell>
          <cell r="AJ73">
            <v>141</v>
          </cell>
          <cell r="AK73">
            <v>10916350</v>
          </cell>
          <cell r="AN73">
            <v>142222000</v>
          </cell>
          <cell r="AO73">
            <v>25098000</v>
          </cell>
        </row>
        <row r="74">
          <cell r="A74" t="str">
            <v>X</v>
          </cell>
          <cell r="B74" t="str">
            <v>I</v>
          </cell>
          <cell r="C74" t="str">
            <v>의류</v>
          </cell>
          <cell r="E74" t="str">
            <v>2</v>
          </cell>
          <cell r="F74" t="str">
            <v>1</v>
          </cell>
          <cell r="G74">
            <v>1</v>
          </cell>
          <cell r="H74">
            <v>15056610</v>
          </cell>
          <cell r="I74">
            <v>14</v>
          </cell>
          <cell r="J74">
            <v>966000</v>
          </cell>
          <cell r="K74">
            <v>2492000</v>
          </cell>
          <cell r="U74">
            <v>790</v>
          </cell>
          <cell r="AJ74">
            <v>171</v>
          </cell>
          <cell r="AK74">
            <v>13466700</v>
          </cell>
          <cell r="AN74">
            <v>140620000</v>
          </cell>
          <cell r="AO74">
            <v>30438000</v>
          </cell>
        </row>
        <row r="75">
          <cell r="A75" t="str">
            <v>X</v>
          </cell>
          <cell r="B75" t="str">
            <v>I</v>
          </cell>
          <cell r="C75" t="str">
            <v>의류</v>
          </cell>
          <cell r="E75" t="str">
            <v>2</v>
          </cell>
          <cell r="F75" t="str">
            <v>1</v>
          </cell>
          <cell r="G75">
            <v>0</v>
          </cell>
          <cell r="H75">
            <v>17896401</v>
          </cell>
          <cell r="I75">
            <v>7</v>
          </cell>
          <cell r="J75">
            <v>483000</v>
          </cell>
          <cell r="K75">
            <v>1246000</v>
          </cell>
          <cell r="U75">
            <v>939</v>
          </cell>
          <cell r="AJ75">
            <v>108</v>
          </cell>
          <cell r="AK75">
            <v>8646300</v>
          </cell>
          <cell r="AN75">
            <v>167142000</v>
          </cell>
          <cell r="AO75">
            <v>19224000</v>
          </cell>
        </row>
        <row r="76">
          <cell r="A76" t="str">
            <v>X</v>
          </cell>
          <cell r="B76" t="str">
            <v>I</v>
          </cell>
          <cell r="C76" t="str">
            <v>의류</v>
          </cell>
          <cell r="E76" t="str">
            <v>2</v>
          </cell>
          <cell r="F76" t="str">
            <v>1</v>
          </cell>
          <cell r="G76">
            <v>1</v>
          </cell>
          <cell r="H76">
            <v>9149520</v>
          </cell>
          <cell r="I76">
            <v>3</v>
          </cell>
          <cell r="J76">
            <v>200100</v>
          </cell>
          <cell r="K76">
            <v>414000</v>
          </cell>
          <cell r="U76">
            <v>569</v>
          </cell>
          <cell r="AJ76">
            <v>105</v>
          </cell>
          <cell r="AK76">
            <v>7006700</v>
          </cell>
          <cell r="AN76">
            <v>78522000</v>
          </cell>
          <cell r="AO76">
            <v>14490000</v>
          </cell>
        </row>
        <row r="77">
          <cell r="A77" t="str">
            <v>X</v>
          </cell>
          <cell r="B77" t="str">
            <v>I</v>
          </cell>
          <cell r="C77" t="str">
            <v>의류</v>
          </cell>
          <cell r="E77" t="str">
            <v>2</v>
          </cell>
          <cell r="F77" t="str">
            <v>1</v>
          </cell>
          <cell r="G77">
            <v>1</v>
          </cell>
          <cell r="H77">
            <v>5771145</v>
          </cell>
          <cell r="I77">
            <v>4</v>
          </cell>
          <cell r="J77">
            <v>320400</v>
          </cell>
          <cell r="K77">
            <v>712000</v>
          </cell>
          <cell r="U77">
            <v>435</v>
          </cell>
          <cell r="AJ77">
            <v>78</v>
          </cell>
          <cell r="AK77">
            <v>6673000</v>
          </cell>
          <cell r="AN77">
            <v>77430000</v>
          </cell>
          <cell r="AO77">
            <v>13884000</v>
          </cell>
        </row>
        <row r="78">
          <cell r="A78" t="str">
            <v>X</v>
          </cell>
          <cell r="B78" t="str">
            <v>I</v>
          </cell>
          <cell r="C78" t="str">
            <v>의류</v>
          </cell>
          <cell r="E78" t="str">
            <v>2</v>
          </cell>
          <cell r="F78" t="str">
            <v>1</v>
          </cell>
          <cell r="G78">
            <v>1</v>
          </cell>
          <cell r="H78">
            <v>8818579</v>
          </cell>
          <cell r="I78">
            <v>9</v>
          </cell>
          <cell r="J78">
            <v>651500</v>
          </cell>
          <cell r="K78">
            <v>1422000</v>
          </cell>
          <cell r="U78">
            <v>539</v>
          </cell>
          <cell r="AJ78">
            <v>54</v>
          </cell>
          <cell r="AK78">
            <v>3822200</v>
          </cell>
          <cell r="AN78">
            <v>85162000</v>
          </cell>
          <cell r="AO78">
            <v>8532000</v>
          </cell>
        </row>
        <row r="79">
          <cell r="A79" t="str">
            <v>X</v>
          </cell>
          <cell r="B79" t="str">
            <v>I</v>
          </cell>
          <cell r="C79" t="str">
            <v>의류</v>
          </cell>
          <cell r="E79" t="str">
            <v>2</v>
          </cell>
          <cell r="F79" t="str">
            <v>1</v>
          </cell>
          <cell r="G79">
            <v>0</v>
          </cell>
          <cell r="H79">
            <v>8998550</v>
          </cell>
          <cell r="I79">
            <v>17</v>
          </cell>
          <cell r="J79">
            <v>1199300</v>
          </cell>
          <cell r="K79">
            <v>2686000</v>
          </cell>
          <cell r="U79">
            <v>550</v>
          </cell>
          <cell r="AJ79">
            <v>65</v>
          </cell>
          <cell r="AK79">
            <v>4658600</v>
          </cell>
          <cell r="AN79">
            <v>86900000</v>
          </cell>
          <cell r="AO79">
            <v>10270000</v>
          </cell>
        </row>
        <row r="80">
          <cell r="A80" t="str">
            <v>X</v>
          </cell>
          <cell r="B80" t="str">
            <v>I</v>
          </cell>
          <cell r="C80" t="str">
            <v>의류</v>
          </cell>
          <cell r="E80" t="str">
            <v>2</v>
          </cell>
          <cell r="F80" t="str">
            <v>1</v>
          </cell>
          <cell r="G80">
            <v>1</v>
          </cell>
          <cell r="H80">
            <v>7363975</v>
          </cell>
          <cell r="I80">
            <v>17</v>
          </cell>
          <cell r="J80">
            <v>1161400</v>
          </cell>
          <cell r="K80">
            <v>2686000</v>
          </cell>
          <cell r="U80">
            <v>425</v>
          </cell>
          <cell r="AJ80">
            <v>80</v>
          </cell>
          <cell r="AK80">
            <v>5710900</v>
          </cell>
          <cell r="AN80">
            <v>67150000</v>
          </cell>
          <cell r="AO80">
            <v>12640000</v>
          </cell>
        </row>
        <row r="81">
          <cell r="A81" t="str">
            <v>X</v>
          </cell>
          <cell r="B81" t="str">
            <v>I</v>
          </cell>
          <cell r="C81" t="str">
            <v>의류</v>
          </cell>
          <cell r="E81" t="str">
            <v>2</v>
          </cell>
          <cell r="F81" t="str">
            <v>1</v>
          </cell>
          <cell r="G81">
            <v>0</v>
          </cell>
          <cell r="H81">
            <v>8992713</v>
          </cell>
          <cell r="I81">
            <v>35</v>
          </cell>
          <cell r="J81">
            <v>2564400</v>
          </cell>
          <cell r="K81">
            <v>5530000</v>
          </cell>
          <cell r="U81">
            <v>519</v>
          </cell>
          <cell r="AJ81">
            <v>157</v>
          </cell>
          <cell r="AK81">
            <v>11333700</v>
          </cell>
          <cell r="AN81">
            <v>82002000</v>
          </cell>
          <cell r="AO81">
            <v>24806000</v>
          </cell>
        </row>
        <row r="82">
          <cell r="A82" t="str">
            <v>X</v>
          </cell>
          <cell r="B82" t="str">
            <v>I</v>
          </cell>
          <cell r="C82" t="str">
            <v>의류</v>
          </cell>
          <cell r="E82" t="str">
            <v>2</v>
          </cell>
          <cell r="F82" t="str">
            <v>1</v>
          </cell>
          <cell r="G82">
            <v>1</v>
          </cell>
          <cell r="H82">
            <v>7710360</v>
          </cell>
          <cell r="I82">
            <v>9</v>
          </cell>
          <cell r="J82">
            <v>702100</v>
          </cell>
          <cell r="K82">
            <v>1602000</v>
          </cell>
          <cell r="U82">
            <v>411</v>
          </cell>
          <cell r="AJ82">
            <v>53</v>
          </cell>
          <cell r="AK82">
            <v>4285700</v>
          </cell>
          <cell r="AN82">
            <v>73158000</v>
          </cell>
          <cell r="AO82">
            <v>9434000</v>
          </cell>
        </row>
        <row r="83">
          <cell r="A83" t="str">
            <v>X</v>
          </cell>
          <cell r="B83" t="str">
            <v>I</v>
          </cell>
          <cell r="C83" t="str">
            <v>의류</v>
          </cell>
          <cell r="E83" t="str">
            <v>2</v>
          </cell>
          <cell r="F83" t="str">
            <v>1</v>
          </cell>
          <cell r="G83">
            <v>0</v>
          </cell>
          <cell r="H83">
            <v>12756800</v>
          </cell>
          <cell r="I83">
            <v>12</v>
          </cell>
          <cell r="J83">
            <v>952400</v>
          </cell>
          <cell r="K83">
            <v>2136000</v>
          </cell>
          <cell r="U83">
            <v>680</v>
          </cell>
          <cell r="AJ83">
            <v>77</v>
          </cell>
          <cell r="AK83">
            <v>6308200</v>
          </cell>
          <cell r="AN83">
            <v>121040000</v>
          </cell>
          <cell r="AO83">
            <v>13706000</v>
          </cell>
        </row>
        <row r="84">
          <cell r="A84" t="str">
            <v>X</v>
          </cell>
          <cell r="B84" t="str">
            <v>I</v>
          </cell>
          <cell r="C84" t="str">
            <v>의류</v>
          </cell>
          <cell r="E84" t="str">
            <v>2</v>
          </cell>
          <cell r="F84" t="str">
            <v>1</v>
          </cell>
          <cell r="G84">
            <v>0</v>
          </cell>
          <cell r="H84">
            <v>5421640</v>
          </cell>
          <cell r="I84">
            <v>4</v>
          </cell>
          <cell r="J84">
            <v>347100</v>
          </cell>
          <cell r="K84">
            <v>712000</v>
          </cell>
          <cell r="U84">
            <v>289</v>
          </cell>
          <cell r="AJ84">
            <v>40</v>
          </cell>
          <cell r="AK84">
            <v>3337600</v>
          </cell>
          <cell r="AN84">
            <v>51442000</v>
          </cell>
          <cell r="AO84">
            <v>7120000</v>
          </cell>
        </row>
        <row r="85">
          <cell r="A85" t="str">
            <v>X</v>
          </cell>
          <cell r="B85" t="str">
            <v>I</v>
          </cell>
          <cell r="C85" t="str">
            <v>의류</v>
          </cell>
          <cell r="E85" t="str">
            <v>2</v>
          </cell>
          <cell r="F85" t="str">
            <v>1</v>
          </cell>
          <cell r="G85">
            <v>1</v>
          </cell>
          <cell r="H85">
            <v>4280980</v>
          </cell>
          <cell r="I85">
            <v>9</v>
          </cell>
          <cell r="J85">
            <v>431000</v>
          </cell>
          <cell r="K85">
            <v>1062000</v>
          </cell>
          <cell r="U85">
            <v>305</v>
          </cell>
          <cell r="AJ85">
            <v>66</v>
          </cell>
          <cell r="AK85">
            <v>3554200</v>
          </cell>
          <cell r="AN85">
            <v>35990000</v>
          </cell>
          <cell r="AO85">
            <v>7788000</v>
          </cell>
        </row>
        <row r="86">
          <cell r="A86" t="str">
            <v>X</v>
          </cell>
          <cell r="B86" t="str">
            <v>I</v>
          </cell>
          <cell r="C86" t="str">
            <v>의류</v>
          </cell>
          <cell r="E86" t="str">
            <v>2</v>
          </cell>
          <cell r="F86" t="str">
            <v>1</v>
          </cell>
          <cell r="G86">
            <v>0</v>
          </cell>
          <cell r="H86">
            <v>7172396</v>
          </cell>
          <cell r="I86">
            <v>11</v>
          </cell>
          <cell r="J86">
            <v>539000</v>
          </cell>
          <cell r="K86">
            <v>1298000</v>
          </cell>
          <cell r="U86">
            <v>511</v>
          </cell>
          <cell r="AJ86">
            <v>118</v>
          </cell>
          <cell r="AK86">
            <v>6419600</v>
          </cell>
          <cell r="AN86">
            <v>60298000</v>
          </cell>
          <cell r="AO86">
            <v>13924000</v>
          </cell>
        </row>
        <row r="87">
          <cell r="A87" t="str">
            <v>X</v>
          </cell>
          <cell r="B87" t="str">
            <v>I</v>
          </cell>
          <cell r="C87" t="str">
            <v>의류</v>
          </cell>
          <cell r="E87" t="str">
            <v>2</v>
          </cell>
          <cell r="F87" t="str">
            <v>1</v>
          </cell>
          <cell r="G87">
            <v>0</v>
          </cell>
          <cell r="H87">
            <v>5698616</v>
          </cell>
          <cell r="I87">
            <v>9</v>
          </cell>
          <cell r="J87">
            <v>441000</v>
          </cell>
          <cell r="K87">
            <v>1062000</v>
          </cell>
          <cell r="U87">
            <v>406</v>
          </cell>
          <cell r="AJ87">
            <v>79</v>
          </cell>
          <cell r="AK87">
            <v>4390700</v>
          </cell>
          <cell r="AN87">
            <v>47908000</v>
          </cell>
          <cell r="AO87">
            <v>9322000</v>
          </cell>
        </row>
        <row r="88">
          <cell r="A88" t="str">
            <v>X</v>
          </cell>
          <cell r="B88" t="str">
            <v>I</v>
          </cell>
          <cell r="C88" t="str">
            <v>의류</v>
          </cell>
          <cell r="E88" t="str">
            <v>2</v>
          </cell>
          <cell r="F88" t="str">
            <v>1</v>
          </cell>
          <cell r="G88">
            <v>1</v>
          </cell>
          <cell r="H88">
            <v>7940934</v>
          </cell>
          <cell r="I88">
            <v>6</v>
          </cell>
          <cell r="J88">
            <v>458200</v>
          </cell>
          <cell r="K88">
            <v>948000</v>
          </cell>
          <cell r="U88">
            <v>414</v>
          </cell>
          <cell r="AJ88">
            <v>102</v>
          </cell>
          <cell r="AK88">
            <v>7781600</v>
          </cell>
          <cell r="AN88">
            <v>65412000</v>
          </cell>
          <cell r="AO88">
            <v>16116000</v>
          </cell>
        </row>
        <row r="89">
          <cell r="A89" t="str">
            <v>X</v>
          </cell>
          <cell r="B89" t="str">
            <v>I</v>
          </cell>
          <cell r="C89" t="str">
            <v>의류</v>
          </cell>
          <cell r="E89" t="str">
            <v>2</v>
          </cell>
          <cell r="F89" t="str">
            <v>1</v>
          </cell>
          <cell r="G89">
            <v>0</v>
          </cell>
          <cell r="H89">
            <v>6291368</v>
          </cell>
          <cell r="I89">
            <v>1</v>
          </cell>
          <cell r="J89">
            <v>49000</v>
          </cell>
          <cell r="K89">
            <v>158000</v>
          </cell>
          <cell r="U89">
            <v>328</v>
          </cell>
          <cell r="AJ89">
            <v>52</v>
          </cell>
          <cell r="AK89">
            <v>3990100</v>
          </cell>
          <cell r="AN89">
            <v>51824000</v>
          </cell>
          <cell r="AO89">
            <v>8216000</v>
          </cell>
        </row>
        <row r="90">
          <cell r="A90" t="str">
            <v>X</v>
          </cell>
          <cell r="B90" t="str">
            <v>I</v>
          </cell>
          <cell r="C90" t="str">
            <v>의류</v>
          </cell>
          <cell r="E90" t="str">
            <v>2</v>
          </cell>
          <cell r="F90" t="str">
            <v>1</v>
          </cell>
          <cell r="G90">
            <v>1</v>
          </cell>
          <cell r="H90">
            <v>13708080</v>
          </cell>
          <cell r="I90">
            <v>3</v>
          </cell>
          <cell r="J90">
            <v>207000</v>
          </cell>
          <cell r="K90">
            <v>534000</v>
          </cell>
          <cell r="U90">
            <v>720</v>
          </cell>
          <cell r="AJ90">
            <v>42</v>
          </cell>
          <cell r="AK90">
            <v>3264600</v>
          </cell>
          <cell r="AN90">
            <v>128160000</v>
          </cell>
          <cell r="AO90">
            <v>7476000</v>
          </cell>
        </row>
        <row r="91">
          <cell r="A91" t="str">
            <v>X</v>
          </cell>
          <cell r="B91" t="str">
            <v>I</v>
          </cell>
          <cell r="C91" t="str">
            <v>의류</v>
          </cell>
          <cell r="E91" t="str">
            <v>2</v>
          </cell>
          <cell r="F91" t="str">
            <v>1</v>
          </cell>
          <cell r="G91">
            <v>0</v>
          </cell>
          <cell r="H91">
            <v>15307356</v>
          </cell>
          <cell r="I91">
            <v>7</v>
          </cell>
          <cell r="J91">
            <v>483000</v>
          </cell>
          <cell r="K91">
            <v>1246000</v>
          </cell>
          <cell r="U91">
            <v>804</v>
          </cell>
          <cell r="AJ91">
            <v>67</v>
          </cell>
          <cell r="AK91">
            <v>5292800</v>
          </cell>
          <cell r="AN91">
            <v>143112000</v>
          </cell>
          <cell r="AO91">
            <v>11926000</v>
          </cell>
        </row>
        <row r="92">
          <cell r="A92" t="str">
            <v>X</v>
          </cell>
          <cell r="B92" t="str">
            <v>I</v>
          </cell>
          <cell r="C92" t="str">
            <v>의류</v>
          </cell>
          <cell r="E92" t="str">
            <v>2</v>
          </cell>
          <cell r="F92" t="str">
            <v>1</v>
          </cell>
          <cell r="G92">
            <v>1</v>
          </cell>
          <cell r="H92">
            <v>255360</v>
          </cell>
          <cell r="I92">
            <v>0</v>
          </cell>
          <cell r="J92">
            <v>0</v>
          </cell>
          <cell r="K92">
            <v>0</v>
          </cell>
          <cell r="U92">
            <v>21</v>
          </cell>
          <cell r="AJ92">
            <v>4</v>
          </cell>
          <cell r="AK92">
            <v>156000</v>
          </cell>
          <cell r="AN92">
            <v>1638000</v>
          </cell>
          <cell r="AO92">
            <v>312000</v>
          </cell>
        </row>
        <row r="93">
          <cell r="A93" t="str">
            <v>X</v>
          </cell>
          <cell r="B93" t="str">
            <v>I</v>
          </cell>
          <cell r="C93" t="str">
            <v>의류</v>
          </cell>
          <cell r="E93" t="str">
            <v>2</v>
          </cell>
          <cell r="F93" t="str">
            <v>1</v>
          </cell>
          <cell r="G93">
            <v>0</v>
          </cell>
          <cell r="H93">
            <v>279680</v>
          </cell>
          <cell r="I93">
            <v>0</v>
          </cell>
          <cell r="J93">
            <v>0</v>
          </cell>
          <cell r="K93">
            <v>0</v>
          </cell>
          <cell r="U93">
            <v>23</v>
          </cell>
          <cell r="AJ93">
            <v>4</v>
          </cell>
          <cell r="AK93">
            <v>167700</v>
          </cell>
          <cell r="AN93">
            <v>1794000</v>
          </cell>
          <cell r="AO93">
            <v>312000</v>
          </cell>
        </row>
        <row r="94">
          <cell r="A94" t="str">
            <v>X</v>
          </cell>
          <cell r="B94" t="str">
            <v>I</v>
          </cell>
          <cell r="C94" t="str">
            <v>의류</v>
          </cell>
          <cell r="E94" t="str">
            <v>2</v>
          </cell>
          <cell r="F94" t="str">
            <v>1</v>
          </cell>
          <cell r="G94">
            <v>0</v>
          </cell>
          <cell r="H94">
            <v>279680</v>
          </cell>
          <cell r="I94">
            <v>0</v>
          </cell>
          <cell r="J94">
            <v>0</v>
          </cell>
          <cell r="K94">
            <v>0</v>
          </cell>
          <cell r="U94">
            <v>23</v>
          </cell>
          <cell r="AN94">
            <v>1794000</v>
          </cell>
        </row>
        <row r="95">
          <cell r="A95" t="str">
            <v>X</v>
          </cell>
          <cell r="B95" t="str">
            <v>I</v>
          </cell>
          <cell r="C95" t="str">
            <v>의류</v>
          </cell>
          <cell r="E95" t="str">
            <v>2</v>
          </cell>
          <cell r="F95" t="str">
            <v>1</v>
          </cell>
          <cell r="G95">
            <v>0</v>
          </cell>
          <cell r="H95">
            <v>267520</v>
          </cell>
          <cell r="I95">
            <v>0</v>
          </cell>
          <cell r="J95">
            <v>0</v>
          </cell>
          <cell r="K95">
            <v>0</v>
          </cell>
          <cell r="U95">
            <v>22</v>
          </cell>
          <cell r="AJ95">
            <v>2</v>
          </cell>
          <cell r="AK95">
            <v>93600</v>
          </cell>
          <cell r="AN95">
            <v>1716000</v>
          </cell>
          <cell r="AO95">
            <v>156000</v>
          </cell>
        </row>
        <row r="96">
          <cell r="A96" t="str">
            <v>X</v>
          </cell>
          <cell r="B96" t="str">
            <v>I</v>
          </cell>
          <cell r="C96" t="str">
            <v>의류</v>
          </cell>
          <cell r="E96" t="str">
            <v>2</v>
          </cell>
          <cell r="F96" t="str">
            <v>1</v>
          </cell>
          <cell r="G96">
            <v>0</v>
          </cell>
          <cell r="H96">
            <v>267520</v>
          </cell>
          <cell r="I96">
            <v>2</v>
          </cell>
          <cell r="J96">
            <v>78000</v>
          </cell>
          <cell r="K96">
            <v>156000</v>
          </cell>
          <cell r="U96">
            <v>22</v>
          </cell>
          <cell r="AJ96">
            <v>5</v>
          </cell>
          <cell r="AK96">
            <v>195000</v>
          </cell>
          <cell r="AN96">
            <v>1716000</v>
          </cell>
          <cell r="AO96">
            <v>390000</v>
          </cell>
        </row>
        <row r="97">
          <cell r="A97" t="str">
            <v>X</v>
          </cell>
          <cell r="B97" t="str">
            <v>I</v>
          </cell>
          <cell r="C97" t="str">
            <v>의류</v>
          </cell>
          <cell r="E97" t="str">
            <v>1</v>
          </cell>
          <cell r="F97" t="str">
            <v>6</v>
          </cell>
          <cell r="G97">
            <v>1</v>
          </cell>
          <cell r="H97">
            <v>27973300</v>
          </cell>
          <cell r="I97">
            <v>-2</v>
          </cell>
          <cell r="J97">
            <v>-338000</v>
          </cell>
          <cell r="K97">
            <v>-676000</v>
          </cell>
          <cell r="U97">
            <v>599</v>
          </cell>
          <cell r="AJ97">
            <v>348</v>
          </cell>
          <cell r="AK97">
            <v>56835850</v>
          </cell>
          <cell r="AN97">
            <v>202462000</v>
          </cell>
          <cell r="AO97">
            <v>117624000</v>
          </cell>
        </row>
        <row r="98">
          <cell r="A98" t="str">
            <v>X</v>
          </cell>
          <cell r="B98" t="str">
            <v>I</v>
          </cell>
          <cell r="C98" t="str">
            <v>의류</v>
          </cell>
          <cell r="E98" t="str">
            <v>1</v>
          </cell>
          <cell r="F98" t="str">
            <v>6</v>
          </cell>
          <cell r="G98">
            <v>0</v>
          </cell>
          <cell r="H98">
            <v>27926600</v>
          </cell>
          <cell r="I98">
            <v>-4</v>
          </cell>
          <cell r="J98">
            <v>-676000</v>
          </cell>
          <cell r="K98">
            <v>-1352000</v>
          </cell>
          <cell r="U98">
            <v>598</v>
          </cell>
          <cell r="AJ98">
            <v>366</v>
          </cell>
          <cell r="AK98">
            <v>60087850</v>
          </cell>
          <cell r="AN98">
            <v>202124000</v>
          </cell>
          <cell r="AO98">
            <v>123708000</v>
          </cell>
        </row>
        <row r="99">
          <cell r="A99" t="str">
            <v>X</v>
          </cell>
          <cell r="B99" t="str">
            <v>I</v>
          </cell>
          <cell r="C99" t="str">
            <v>의류</v>
          </cell>
          <cell r="E99" t="str">
            <v>1</v>
          </cell>
          <cell r="F99" t="str">
            <v>6</v>
          </cell>
          <cell r="G99">
            <v>1</v>
          </cell>
          <cell r="H99">
            <v>10680491</v>
          </cell>
          <cell r="I99">
            <v>9</v>
          </cell>
          <cell r="J99">
            <v>621000</v>
          </cell>
          <cell r="K99">
            <v>1782000</v>
          </cell>
          <cell r="U99">
            <v>397</v>
          </cell>
          <cell r="AJ99">
            <v>191</v>
          </cell>
          <cell r="AK99">
            <v>14105200</v>
          </cell>
          <cell r="AN99">
            <v>78606000</v>
          </cell>
          <cell r="AO99">
            <v>37818000</v>
          </cell>
        </row>
        <row r="100">
          <cell r="A100" t="str">
            <v>X</v>
          </cell>
          <cell r="B100" t="str">
            <v>I</v>
          </cell>
          <cell r="C100" t="str">
            <v>의류</v>
          </cell>
          <cell r="E100" t="str">
            <v>1</v>
          </cell>
          <cell r="F100" t="str">
            <v>6</v>
          </cell>
          <cell r="G100">
            <v>0</v>
          </cell>
          <cell r="H100">
            <v>15953479</v>
          </cell>
          <cell r="I100">
            <v>14</v>
          </cell>
          <cell r="J100">
            <v>966000</v>
          </cell>
          <cell r="K100">
            <v>2772000</v>
          </cell>
          <cell r="U100">
            <v>593</v>
          </cell>
          <cell r="AJ100">
            <v>432</v>
          </cell>
          <cell r="AK100">
            <v>31838000</v>
          </cell>
          <cell r="AN100">
            <v>117414000</v>
          </cell>
          <cell r="AO100">
            <v>85536000</v>
          </cell>
        </row>
        <row r="101">
          <cell r="A101" t="str">
            <v>X</v>
          </cell>
          <cell r="B101" t="str">
            <v>I</v>
          </cell>
          <cell r="C101" t="str">
            <v>의류</v>
          </cell>
          <cell r="E101" t="str">
            <v>1</v>
          </cell>
          <cell r="F101" t="str">
            <v>6</v>
          </cell>
          <cell r="G101">
            <v>0</v>
          </cell>
          <cell r="H101">
            <v>21630012</v>
          </cell>
          <cell r="I101">
            <v>14</v>
          </cell>
          <cell r="J101">
            <v>972900</v>
          </cell>
          <cell r="K101">
            <v>2772000</v>
          </cell>
          <cell r="U101">
            <v>804</v>
          </cell>
          <cell r="AJ101">
            <v>746</v>
          </cell>
          <cell r="AK101">
            <v>57690950</v>
          </cell>
          <cell r="AN101">
            <v>159192000</v>
          </cell>
          <cell r="AO101">
            <v>147708000</v>
          </cell>
        </row>
        <row r="102">
          <cell r="A102" t="str">
            <v>X</v>
          </cell>
          <cell r="B102" t="str">
            <v>I</v>
          </cell>
          <cell r="C102" t="str">
            <v>의류</v>
          </cell>
          <cell r="E102" t="str">
            <v>1</v>
          </cell>
          <cell r="F102" t="str">
            <v>6</v>
          </cell>
          <cell r="G102">
            <v>1</v>
          </cell>
          <cell r="H102">
            <v>10064600</v>
          </cell>
          <cell r="I102">
            <v>1</v>
          </cell>
          <cell r="J102">
            <v>149000</v>
          </cell>
          <cell r="K102">
            <v>298000</v>
          </cell>
          <cell r="U102">
            <v>280</v>
          </cell>
          <cell r="AJ102">
            <v>51</v>
          </cell>
          <cell r="AK102">
            <v>7280600</v>
          </cell>
          <cell r="AN102">
            <v>83440000</v>
          </cell>
          <cell r="AO102">
            <v>15198000</v>
          </cell>
        </row>
        <row r="103">
          <cell r="A103" t="str">
            <v>X</v>
          </cell>
          <cell r="B103" t="str">
            <v>I</v>
          </cell>
          <cell r="C103" t="str">
            <v>의류</v>
          </cell>
          <cell r="E103" t="str">
            <v>1</v>
          </cell>
          <cell r="F103" t="str">
            <v>6</v>
          </cell>
          <cell r="G103">
            <v>1</v>
          </cell>
          <cell r="H103">
            <v>13217584</v>
          </cell>
          <cell r="I103">
            <v>0</v>
          </cell>
          <cell r="J103">
            <v>0</v>
          </cell>
          <cell r="K103">
            <v>0</v>
          </cell>
          <cell r="U103">
            <v>332</v>
          </cell>
          <cell r="AJ103">
            <v>176</v>
          </cell>
          <cell r="AK103">
            <v>26512800</v>
          </cell>
          <cell r="AN103">
            <v>105576000</v>
          </cell>
          <cell r="AO103">
            <v>55968000</v>
          </cell>
        </row>
        <row r="104">
          <cell r="A104" t="str">
            <v>X</v>
          </cell>
          <cell r="B104" t="str">
            <v>I</v>
          </cell>
          <cell r="C104" t="str">
            <v>의류</v>
          </cell>
          <cell r="E104" t="str">
            <v>1</v>
          </cell>
          <cell r="F104" t="str">
            <v>6</v>
          </cell>
          <cell r="G104">
            <v>1</v>
          </cell>
          <cell r="H104">
            <v>17259450</v>
          </cell>
          <cell r="I104">
            <v>-1</v>
          </cell>
          <cell r="J104">
            <v>-111200</v>
          </cell>
          <cell r="K104">
            <v>-278000</v>
          </cell>
          <cell r="U104">
            <v>501</v>
          </cell>
          <cell r="AJ104">
            <v>455</v>
          </cell>
          <cell r="AK104">
            <v>62053750</v>
          </cell>
          <cell r="AN104">
            <v>139278000</v>
          </cell>
          <cell r="AO104">
            <v>126490000</v>
          </cell>
        </row>
        <row r="105">
          <cell r="A105" t="str">
            <v>X</v>
          </cell>
          <cell r="B105" t="str">
            <v>I</v>
          </cell>
          <cell r="C105" t="str">
            <v>의류</v>
          </cell>
          <cell r="E105" t="str">
            <v>1</v>
          </cell>
          <cell r="F105" t="str">
            <v>6</v>
          </cell>
          <cell r="G105">
            <v>0</v>
          </cell>
          <cell r="H105">
            <v>17156100</v>
          </cell>
          <cell r="I105">
            <v>0</v>
          </cell>
          <cell r="J105">
            <v>0</v>
          </cell>
          <cell r="K105">
            <v>0</v>
          </cell>
          <cell r="U105">
            <v>498</v>
          </cell>
          <cell r="AJ105">
            <v>422</v>
          </cell>
          <cell r="AK105">
            <v>57132340</v>
          </cell>
          <cell r="AN105">
            <v>138444000</v>
          </cell>
          <cell r="AO105">
            <v>117316000</v>
          </cell>
        </row>
        <row r="106">
          <cell r="A106" t="str">
            <v>X</v>
          </cell>
          <cell r="B106" t="str">
            <v>I</v>
          </cell>
          <cell r="C106" t="str">
            <v>의류</v>
          </cell>
          <cell r="E106" t="str">
            <v>1</v>
          </cell>
          <cell r="F106" t="str">
            <v>6</v>
          </cell>
          <cell r="G106">
            <v>0</v>
          </cell>
          <cell r="H106">
            <v>10369450</v>
          </cell>
          <cell r="I106">
            <v>0</v>
          </cell>
          <cell r="J106">
            <v>0</v>
          </cell>
          <cell r="K106">
            <v>0</v>
          </cell>
          <cell r="U106">
            <v>301</v>
          </cell>
          <cell r="AJ106">
            <v>217</v>
          </cell>
          <cell r="AK106">
            <v>29005800</v>
          </cell>
          <cell r="AN106">
            <v>83678000</v>
          </cell>
          <cell r="AO106">
            <v>60326000</v>
          </cell>
        </row>
        <row r="107">
          <cell r="A107" t="str">
            <v>X</v>
          </cell>
          <cell r="B107" t="str">
            <v>I</v>
          </cell>
          <cell r="C107" t="str">
            <v>의류</v>
          </cell>
          <cell r="E107" t="str">
            <v>1</v>
          </cell>
          <cell r="F107" t="str">
            <v>6</v>
          </cell>
          <cell r="G107">
            <v>1</v>
          </cell>
          <cell r="H107">
            <v>18381328</v>
          </cell>
          <cell r="I107">
            <v>1</v>
          </cell>
          <cell r="J107">
            <v>119200</v>
          </cell>
          <cell r="K107">
            <v>298000</v>
          </cell>
          <cell r="U107">
            <v>487</v>
          </cell>
          <cell r="AJ107">
            <v>217</v>
          </cell>
          <cell r="AK107">
            <v>30935850</v>
          </cell>
          <cell r="AN107">
            <v>145126000</v>
          </cell>
          <cell r="AO107">
            <v>64666000</v>
          </cell>
        </row>
        <row r="108">
          <cell r="A108" t="str">
            <v>X</v>
          </cell>
          <cell r="B108" t="str">
            <v>I</v>
          </cell>
          <cell r="C108" t="str">
            <v>의류</v>
          </cell>
          <cell r="E108" t="str">
            <v>1</v>
          </cell>
          <cell r="F108" t="str">
            <v>6</v>
          </cell>
          <cell r="G108">
            <v>0</v>
          </cell>
          <cell r="H108">
            <v>10908016</v>
          </cell>
          <cell r="I108">
            <v>1</v>
          </cell>
          <cell r="J108">
            <v>119200</v>
          </cell>
          <cell r="K108">
            <v>298000</v>
          </cell>
          <cell r="U108">
            <v>289</v>
          </cell>
          <cell r="AJ108">
            <v>241</v>
          </cell>
          <cell r="AK108">
            <v>35221140</v>
          </cell>
          <cell r="AN108">
            <v>86122000</v>
          </cell>
          <cell r="AO108">
            <v>71818000</v>
          </cell>
        </row>
        <row r="109">
          <cell r="A109" t="str">
            <v>X</v>
          </cell>
          <cell r="B109" t="str">
            <v>I</v>
          </cell>
          <cell r="C109" t="str">
            <v>의류</v>
          </cell>
          <cell r="E109" t="str">
            <v>1</v>
          </cell>
          <cell r="F109" t="str">
            <v>6</v>
          </cell>
          <cell r="G109">
            <v>1</v>
          </cell>
          <cell r="H109">
            <v>18220675</v>
          </cell>
          <cell r="I109">
            <v>0</v>
          </cell>
          <cell r="J109">
            <v>0</v>
          </cell>
          <cell r="K109">
            <v>0</v>
          </cell>
          <cell r="U109">
            <v>295</v>
          </cell>
          <cell r="AJ109">
            <v>43</v>
          </cell>
          <cell r="AK109">
            <v>9714600</v>
          </cell>
          <cell r="AN109">
            <v>141010000</v>
          </cell>
          <cell r="AO109">
            <v>20554000</v>
          </cell>
        </row>
        <row r="110">
          <cell r="A110" t="str">
            <v>X</v>
          </cell>
          <cell r="B110" t="str">
            <v>I</v>
          </cell>
          <cell r="C110" t="str">
            <v>의류</v>
          </cell>
          <cell r="E110" t="str">
            <v>2</v>
          </cell>
          <cell r="F110" t="str">
            <v>6</v>
          </cell>
          <cell r="G110">
            <v>1</v>
          </cell>
          <cell r="H110">
            <v>18857424</v>
          </cell>
          <cell r="I110">
            <v>9</v>
          </cell>
          <cell r="J110">
            <v>857400</v>
          </cell>
          <cell r="K110">
            <v>1962000</v>
          </cell>
          <cell r="U110">
            <v>667</v>
          </cell>
          <cell r="AJ110">
            <v>301</v>
          </cell>
          <cell r="AK110">
            <v>30837895</v>
          </cell>
          <cell r="AN110">
            <v>145406000</v>
          </cell>
          <cell r="AO110">
            <v>65618000</v>
          </cell>
        </row>
        <row r="111">
          <cell r="A111" t="str">
            <v>X</v>
          </cell>
          <cell r="B111" t="str">
            <v>I</v>
          </cell>
          <cell r="C111" t="str">
            <v>의류</v>
          </cell>
          <cell r="E111" t="str">
            <v>2</v>
          </cell>
          <cell r="F111" t="str">
            <v>6</v>
          </cell>
          <cell r="G111">
            <v>0</v>
          </cell>
          <cell r="H111">
            <v>27225936</v>
          </cell>
          <cell r="I111">
            <v>31</v>
          </cell>
          <cell r="J111">
            <v>3033700</v>
          </cell>
          <cell r="K111">
            <v>6758000</v>
          </cell>
          <cell r="U111">
            <v>963</v>
          </cell>
          <cell r="AJ111">
            <v>520</v>
          </cell>
          <cell r="AK111">
            <v>52934295</v>
          </cell>
          <cell r="AN111">
            <v>209934000</v>
          </cell>
          <cell r="AO111">
            <v>113360000</v>
          </cell>
        </row>
        <row r="112">
          <cell r="A112" t="str">
            <v>X</v>
          </cell>
          <cell r="B112" t="str">
            <v>I</v>
          </cell>
          <cell r="C112" t="str">
            <v>의류</v>
          </cell>
          <cell r="E112" t="str">
            <v>2</v>
          </cell>
          <cell r="F112" t="str">
            <v>6</v>
          </cell>
          <cell r="G112">
            <v>0</v>
          </cell>
          <cell r="H112">
            <v>8170608</v>
          </cell>
          <cell r="I112">
            <v>0</v>
          </cell>
          <cell r="J112">
            <v>-85400</v>
          </cell>
          <cell r="K112">
            <v>0</v>
          </cell>
          <cell r="U112">
            <v>289</v>
          </cell>
          <cell r="AJ112">
            <v>245</v>
          </cell>
          <cell r="AK112">
            <v>24839750</v>
          </cell>
          <cell r="AN112">
            <v>63002000</v>
          </cell>
          <cell r="AO112">
            <v>53410000</v>
          </cell>
        </row>
        <row r="113">
          <cell r="A113" t="str">
            <v>X</v>
          </cell>
          <cell r="B113" t="str">
            <v>I</v>
          </cell>
          <cell r="C113" t="str">
            <v>의류</v>
          </cell>
          <cell r="E113" t="str">
            <v>2</v>
          </cell>
          <cell r="F113" t="str">
            <v>6</v>
          </cell>
          <cell r="G113">
            <v>1</v>
          </cell>
          <cell r="H113">
            <v>34075873</v>
          </cell>
          <cell r="I113">
            <v>55</v>
          </cell>
          <cell r="J113">
            <v>5989550</v>
          </cell>
          <cell r="K113">
            <v>16390000</v>
          </cell>
          <cell r="U113">
            <v>1007</v>
          </cell>
          <cell r="AJ113">
            <v>361</v>
          </cell>
          <cell r="AK113">
            <v>44485600</v>
          </cell>
          <cell r="AN113">
            <v>300086000</v>
          </cell>
          <cell r="AO113">
            <v>107578000</v>
          </cell>
        </row>
        <row r="114">
          <cell r="A114" t="str">
            <v>X</v>
          </cell>
          <cell r="B114" t="str">
            <v>I</v>
          </cell>
          <cell r="C114" t="str">
            <v>의류</v>
          </cell>
          <cell r="E114" t="str">
            <v>2</v>
          </cell>
          <cell r="F114" t="str">
            <v>6</v>
          </cell>
          <cell r="G114">
            <v>0</v>
          </cell>
          <cell r="H114">
            <v>23958012</v>
          </cell>
          <cell r="I114">
            <v>8</v>
          </cell>
          <cell r="J114">
            <v>872000</v>
          </cell>
          <cell r="K114">
            <v>2384000</v>
          </cell>
          <cell r="U114">
            <v>708</v>
          </cell>
          <cell r="AJ114">
            <v>105</v>
          </cell>
          <cell r="AK114">
            <v>13473700</v>
          </cell>
          <cell r="AN114">
            <v>210984000</v>
          </cell>
          <cell r="AO114">
            <v>31290000</v>
          </cell>
        </row>
        <row r="115">
          <cell r="A115" t="str">
            <v>X</v>
          </cell>
          <cell r="B115" t="str">
            <v>I</v>
          </cell>
          <cell r="C115" t="str">
            <v>의류</v>
          </cell>
          <cell r="E115" t="str">
            <v>2</v>
          </cell>
          <cell r="F115" t="str">
            <v>6</v>
          </cell>
          <cell r="G115">
            <v>1</v>
          </cell>
          <cell r="H115">
            <v>23293740</v>
          </cell>
          <cell r="I115">
            <v>26</v>
          </cell>
          <cell r="J115">
            <v>3771400</v>
          </cell>
          <cell r="K115">
            <v>8268000</v>
          </cell>
          <cell r="U115">
            <v>697</v>
          </cell>
          <cell r="AJ115">
            <v>491</v>
          </cell>
          <cell r="AK115">
            <v>73732525</v>
          </cell>
          <cell r="AN115">
            <v>221646000</v>
          </cell>
          <cell r="AO115">
            <v>156138000</v>
          </cell>
        </row>
        <row r="116">
          <cell r="A116" t="str">
            <v>X</v>
          </cell>
          <cell r="B116" t="str">
            <v>I</v>
          </cell>
          <cell r="C116" t="str">
            <v>의류</v>
          </cell>
          <cell r="E116" t="str">
            <v>2</v>
          </cell>
          <cell r="F116" t="str">
            <v>6</v>
          </cell>
          <cell r="G116">
            <v>0</v>
          </cell>
          <cell r="H116">
            <v>10159680</v>
          </cell>
          <cell r="I116">
            <v>1</v>
          </cell>
          <cell r="J116">
            <v>33600</v>
          </cell>
          <cell r="K116">
            <v>318000</v>
          </cell>
          <cell r="U116">
            <v>304</v>
          </cell>
          <cell r="AJ116">
            <v>275</v>
          </cell>
          <cell r="AK116">
            <v>41524460</v>
          </cell>
          <cell r="AN116">
            <v>96672000</v>
          </cell>
          <cell r="AO116">
            <v>87450000</v>
          </cell>
        </row>
        <row r="117">
          <cell r="A117" t="str">
            <v>X</v>
          </cell>
          <cell r="B117" t="str">
            <v>I</v>
          </cell>
          <cell r="C117" t="str">
            <v>의류</v>
          </cell>
          <cell r="E117" t="str">
            <v>2</v>
          </cell>
          <cell r="F117" t="str">
            <v>6</v>
          </cell>
          <cell r="G117">
            <v>1</v>
          </cell>
          <cell r="H117">
            <v>12275514</v>
          </cell>
          <cell r="I117">
            <v>6</v>
          </cell>
          <cell r="J117">
            <v>806200</v>
          </cell>
          <cell r="K117">
            <v>1668000</v>
          </cell>
          <cell r="U117">
            <v>398</v>
          </cell>
          <cell r="AJ117">
            <v>88</v>
          </cell>
          <cell r="AK117">
            <v>11169000</v>
          </cell>
          <cell r="AN117">
            <v>110644000</v>
          </cell>
          <cell r="AO117">
            <v>24464000</v>
          </cell>
        </row>
        <row r="118">
          <cell r="A118" t="str">
            <v>X</v>
          </cell>
          <cell r="B118" t="str">
            <v>I</v>
          </cell>
          <cell r="C118" t="str">
            <v>의류</v>
          </cell>
          <cell r="E118" t="str">
            <v>2</v>
          </cell>
          <cell r="F118" t="str">
            <v>6</v>
          </cell>
          <cell r="G118">
            <v>0</v>
          </cell>
          <cell r="H118">
            <v>21590100</v>
          </cell>
          <cell r="I118">
            <v>21</v>
          </cell>
          <cell r="J118">
            <v>2663400</v>
          </cell>
          <cell r="K118">
            <v>5838000</v>
          </cell>
          <cell r="U118">
            <v>700</v>
          </cell>
          <cell r="AJ118">
            <v>289</v>
          </cell>
          <cell r="AK118">
            <v>36676795</v>
          </cell>
          <cell r="AN118">
            <v>194600000</v>
          </cell>
          <cell r="AO118">
            <v>80342000</v>
          </cell>
        </row>
        <row r="119">
          <cell r="A119" t="str">
            <v>X</v>
          </cell>
          <cell r="B119" t="str">
            <v>I</v>
          </cell>
          <cell r="C119" t="str">
            <v>의류</v>
          </cell>
          <cell r="E119" t="str">
            <v>2</v>
          </cell>
          <cell r="F119" t="str">
            <v>6</v>
          </cell>
          <cell r="G119">
            <v>1</v>
          </cell>
          <cell r="H119">
            <v>21823496</v>
          </cell>
          <cell r="I119">
            <v>5</v>
          </cell>
          <cell r="J119">
            <v>545000</v>
          </cell>
          <cell r="K119">
            <v>1490000</v>
          </cell>
          <cell r="U119">
            <v>584</v>
          </cell>
          <cell r="AJ119">
            <v>107</v>
          </cell>
          <cell r="AK119">
            <v>14723995</v>
          </cell>
          <cell r="AN119">
            <v>174032000</v>
          </cell>
          <cell r="AO119">
            <v>31886000</v>
          </cell>
        </row>
        <row r="120">
          <cell r="A120" t="str">
            <v>X</v>
          </cell>
          <cell r="B120" t="str">
            <v>I</v>
          </cell>
          <cell r="C120" t="str">
            <v>의류</v>
          </cell>
          <cell r="E120" t="str">
            <v>2</v>
          </cell>
          <cell r="F120" t="str">
            <v>6</v>
          </cell>
          <cell r="G120">
            <v>0</v>
          </cell>
          <cell r="H120">
            <v>10762272</v>
          </cell>
          <cell r="I120">
            <v>4</v>
          </cell>
          <cell r="J120">
            <v>436000</v>
          </cell>
          <cell r="K120">
            <v>1192000</v>
          </cell>
          <cell r="U120">
            <v>288</v>
          </cell>
          <cell r="AJ120">
            <v>80</v>
          </cell>
          <cell r="AK120">
            <v>11217100</v>
          </cell>
          <cell r="AN120">
            <v>85824000</v>
          </cell>
          <cell r="AO120">
            <v>23840000</v>
          </cell>
        </row>
        <row r="121">
          <cell r="A121" t="str">
            <v>X</v>
          </cell>
          <cell r="B121" t="str">
            <v>I</v>
          </cell>
          <cell r="C121" t="str">
            <v>의류</v>
          </cell>
          <cell r="E121" t="str">
            <v>2</v>
          </cell>
          <cell r="F121" t="str">
            <v>6</v>
          </cell>
          <cell r="G121">
            <v>1</v>
          </cell>
          <cell r="H121">
            <v>24997700</v>
          </cell>
          <cell r="I121">
            <v>20</v>
          </cell>
          <cell r="J121">
            <v>2405400</v>
          </cell>
          <cell r="K121">
            <v>5560000</v>
          </cell>
          <cell r="U121">
            <v>820</v>
          </cell>
          <cell r="AJ121">
            <v>373</v>
          </cell>
          <cell r="AK121">
            <v>47853790</v>
          </cell>
          <cell r="AN121">
            <v>227960000</v>
          </cell>
          <cell r="AO121">
            <v>103694000</v>
          </cell>
        </row>
        <row r="122">
          <cell r="A122" t="str">
            <v>X</v>
          </cell>
          <cell r="B122" t="str">
            <v>I</v>
          </cell>
          <cell r="C122" t="str">
            <v>의류</v>
          </cell>
          <cell r="E122" t="str">
            <v>1</v>
          </cell>
          <cell r="F122" t="str">
            <v>7</v>
          </cell>
          <cell r="G122">
            <v>1</v>
          </cell>
          <cell r="H122">
            <v>9669292</v>
          </cell>
          <cell r="I122">
            <v>0</v>
          </cell>
          <cell r="J122">
            <v>0</v>
          </cell>
          <cell r="K122">
            <v>0</v>
          </cell>
          <cell r="U122">
            <v>463</v>
          </cell>
          <cell r="AJ122">
            <v>133</v>
          </cell>
          <cell r="AK122">
            <v>11209100</v>
          </cell>
          <cell r="AN122">
            <v>82414000</v>
          </cell>
          <cell r="AO122">
            <v>23674000</v>
          </cell>
        </row>
        <row r="123">
          <cell r="A123" t="str">
            <v>X</v>
          </cell>
          <cell r="B123" t="str">
            <v>I</v>
          </cell>
          <cell r="C123" t="str">
            <v>의류</v>
          </cell>
          <cell r="E123" t="str">
            <v>1</v>
          </cell>
          <cell r="F123" t="str">
            <v>7</v>
          </cell>
          <cell r="G123">
            <v>0</v>
          </cell>
          <cell r="H123">
            <v>12613936</v>
          </cell>
          <cell r="I123">
            <v>0</v>
          </cell>
          <cell r="J123">
            <v>0</v>
          </cell>
          <cell r="K123">
            <v>0</v>
          </cell>
          <cell r="U123">
            <v>604</v>
          </cell>
          <cell r="AJ123">
            <v>170</v>
          </cell>
          <cell r="AK123">
            <v>14293200</v>
          </cell>
          <cell r="AN123">
            <v>107512000</v>
          </cell>
          <cell r="AO123">
            <v>30260000</v>
          </cell>
        </row>
        <row r="124">
          <cell r="A124" t="str">
            <v>X</v>
          </cell>
          <cell r="B124" t="str">
            <v>I</v>
          </cell>
          <cell r="C124" t="str">
            <v>의류</v>
          </cell>
          <cell r="E124" t="str">
            <v>1</v>
          </cell>
          <cell r="F124" t="str">
            <v>7</v>
          </cell>
          <cell r="G124">
            <v>1</v>
          </cell>
          <cell r="H124">
            <v>12688552</v>
          </cell>
          <cell r="I124">
            <v>1</v>
          </cell>
          <cell r="J124">
            <v>-4700</v>
          </cell>
          <cell r="K124">
            <v>158000</v>
          </cell>
          <cell r="U124">
            <v>712</v>
          </cell>
          <cell r="AJ124">
            <v>466</v>
          </cell>
          <cell r="AK124">
            <v>35247840</v>
          </cell>
          <cell r="AN124">
            <v>112496000</v>
          </cell>
          <cell r="AO124">
            <v>73628000</v>
          </cell>
        </row>
        <row r="125">
          <cell r="A125" t="str">
            <v>X</v>
          </cell>
          <cell r="B125" t="str">
            <v>I</v>
          </cell>
          <cell r="C125" t="str">
            <v>의류</v>
          </cell>
          <cell r="E125" t="str">
            <v>1</v>
          </cell>
          <cell r="F125" t="str">
            <v>7</v>
          </cell>
          <cell r="G125">
            <v>0</v>
          </cell>
          <cell r="H125">
            <v>7591746</v>
          </cell>
          <cell r="I125">
            <v>0</v>
          </cell>
          <cell r="J125">
            <v>-7900</v>
          </cell>
          <cell r="K125">
            <v>0</v>
          </cell>
          <cell r="U125">
            <v>426</v>
          </cell>
          <cell r="AJ125">
            <v>194</v>
          </cell>
          <cell r="AK125">
            <v>14155645</v>
          </cell>
          <cell r="AN125">
            <v>67308000</v>
          </cell>
          <cell r="AO125">
            <v>30652000</v>
          </cell>
        </row>
        <row r="126">
          <cell r="A126" t="str">
            <v>X</v>
          </cell>
          <cell r="B126" t="str">
            <v>I</v>
          </cell>
          <cell r="C126" t="str">
            <v>의류</v>
          </cell>
          <cell r="E126" t="str">
            <v>1</v>
          </cell>
          <cell r="F126" t="str">
            <v>7</v>
          </cell>
          <cell r="G126">
            <v>1</v>
          </cell>
          <cell r="H126">
            <v>11426877</v>
          </cell>
          <cell r="I126">
            <v>8</v>
          </cell>
          <cell r="J126">
            <v>598600</v>
          </cell>
          <cell r="K126">
            <v>1424000</v>
          </cell>
          <cell r="U126">
            <v>693</v>
          </cell>
          <cell r="AJ126">
            <v>106</v>
          </cell>
          <cell r="AK126">
            <v>9011400</v>
          </cell>
          <cell r="AN126">
            <v>123354000</v>
          </cell>
          <cell r="AO126">
            <v>18868000</v>
          </cell>
        </row>
        <row r="127">
          <cell r="A127" t="str">
            <v>X</v>
          </cell>
          <cell r="B127" t="str">
            <v>I</v>
          </cell>
          <cell r="C127" t="str">
            <v>의류</v>
          </cell>
          <cell r="E127" t="str">
            <v>1</v>
          </cell>
          <cell r="F127" t="str">
            <v>7</v>
          </cell>
          <cell r="G127">
            <v>1</v>
          </cell>
          <cell r="H127">
            <v>14617989</v>
          </cell>
          <cell r="I127">
            <v>4</v>
          </cell>
          <cell r="J127">
            <v>276000</v>
          </cell>
          <cell r="K127">
            <v>792000</v>
          </cell>
          <cell r="U127">
            <v>719</v>
          </cell>
          <cell r="AJ127">
            <v>353</v>
          </cell>
          <cell r="AK127">
            <v>29427200</v>
          </cell>
          <cell r="AN127">
            <v>142362000</v>
          </cell>
          <cell r="AO127">
            <v>69894000</v>
          </cell>
        </row>
        <row r="128">
          <cell r="A128" t="str">
            <v>X</v>
          </cell>
          <cell r="B128" t="str">
            <v>I</v>
          </cell>
          <cell r="C128" t="str">
            <v>의류</v>
          </cell>
          <cell r="E128" t="str">
            <v>1</v>
          </cell>
          <cell r="F128" t="str">
            <v>7</v>
          </cell>
          <cell r="G128">
            <v>1</v>
          </cell>
          <cell r="H128">
            <v>14576066</v>
          </cell>
          <cell r="I128">
            <v>5</v>
          </cell>
          <cell r="J128">
            <v>345000</v>
          </cell>
          <cell r="K128">
            <v>990000</v>
          </cell>
          <cell r="U128">
            <v>599</v>
          </cell>
          <cell r="AJ128">
            <v>153</v>
          </cell>
          <cell r="AK128">
            <v>11840100</v>
          </cell>
          <cell r="AN128">
            <v>118602000</v>
          </cell>
          <cell r="AO128">
            <v>30294000</v>
          </cell>
        </row>
        <row r="129">
          <cell r="A129" t="str">
            <v>X</v>
          </cell>
          <cell r="B129" t="str">
            <v>I</v>
          </cell>
          <cell r="C129" t="str">
            <v>의류</v>
          </cell>
          <cell r="E129" t="str">
            <v>1</v>
          </cell>
          <cell r="F129" t="str">
            <v>7</v>
          </cell>
          <cell r="G129">
            <v>0</v>
          </cell>
          <cell r="H129">
            <v>19394198</v>
          </cell>
          <cell r="I129">
            <v>6</v>
          </cell>
          <cell r="J129">
            <v>414000</v>
          </cell>
          <cell r="K129">
            <v>1188000</v>
          </cell>
          <cell r="U129">
            <v>797</v>
          </cell>
          <cell r="AJ129">
            <v>467</v>
          </cell>
          <cell r="AK129">
            <v>39953800</v>
          </cell>
          <cell r="AN129">
            <v>157806000</v>
          </cell>
          <cell r="AO129">
            <v>92466000</v>
          </cell>
        </row>
        <row r="130">
          <cell r="A130" t="str">
            <v>X</v>
          </cell>
          <cell r="B130" t="str">
            <v>I</v>
          </cell>
          <cell r="C130" t="str">
            <v>의류</v>
          </cell>
          <cell r="E130" t="str">
            <v>2</v>
          </cell>
          <cell r="F130" t="str">
            <v>7</v>
          </cell>
          <cell r="G130">
            <v>1</v>
          </cell>
          <cell r="H130">
            <v>10298723</v>
          </cell>
          <cell r="I130">
            <v>22</v>
          </cell>
          <cell r="J130">
            <v>1543700</v>
          </cell>
          <cell r="K130">
            <v>3476000</v>
          </cell>
          <cell r="U130">
            <v>743</v>
          </cell>
          <cell r="AJ130">
            <v>329</v>
          </cell>
          <cell r="AK130">
            <v>24402600</v>
          </cell>
          <cell r="AN130">
            <v>117394000</v>
          </cell>
          <cell r="AO130">
            <v>51982000</v>
          </cell>
        </row>
        <row r="131">
          <cell r="A131" t="str">
            <v>X</v>
          </cell>
          <cell r="B131" t="str">
            <v>I</v>
          </cell>
          <cell r="C131" t="str">
            <v>의류</v>
          </cell>
          <cell r="E131" t="str">
            <v>2</v>
          </cell>
          <cell r="F131" t="str">
            <v>7</v>
          </cell>
          <cell r="G131">
            <v>0</v>
          </cell>
          <cell r="H131">
            <v>10271001</v>
          </cell>
          <cell r="I131">
            <v>2</v>
          </cell>
          <cell r="J131">
            <v>14800</v>
          </cell>
          <cell r="K131">
            <v>316000</v>
          </cell>
          <cell r="U131">
            <v>741</v>
          </cell>
          <cell r="AJ131">
            <v>224</v>
          </cell>
          <cell r="AK131">
            <v>15892200</v>
          </cell>
          <cell r="AN131">
            <v>117078000</v>
          </cell>
          <cell r="AO131">
            <v>35392000</v>
          </cell>
        </row>
        <row r="132">
          <cell r="A132" t="str">
            <v>X</v>
          </cell>
          <cell r="B132" t="str">
            <v>I</v>
          </cell>
          <cell r="C132" t="str">
            <v>의류</v>
          </cell>
          <cell r="E132" t="str">
            <v>2</v>
          </cell>
          <cell r="F132" t="str">
            <v>7</v>
          </cell>
          <cell r="G132">
            <v>0</v>
          </cell>
          <cell r="H132">
            <v>21928102</v>
          </cell>
          <cell r="I132">
            <v>1</v>
          </cell>
          <cell r="J132">
            <v>-183200</v>
          </cell>
          <cell r="K132">
            <v>158000</v>
          </cell>
          <cell r="U132">
            <v>1582</v>
          </cell>
          <cell r="AJ132">
            <v>450</v>
          </cell>
          <cell r="AK132">
            <v>33279400</v>
          </cell>
          <cell r="AN132">
            <v>249956000</v>
          </cell>
          <cell r="AO132">
            <v>71100000</v>
          </cell>
        </row>
        <row r="133">
          <cell r="A133" t="str">
            <v>X</v>
          </cell>
          <cell r="B133" t="str">
            <v>I</v>
          </cell>
          <cell r="C133" t="str">
            <v>의류</v>
          </cell>
          <cell r="E133" t="str">
            <v>2</v>
          </cell>
          <cell r="F133" t="str">
            <v>7</v>
          </cell>
          <cell r="G133">
            <v>1</v>
          </cell>
          <cell r="H133">
            <v>12598757</v>
          </cell>
          <cell r="I133">
            <v>19</v>
          </cell>
          <cell r="J133">
            <v>1121000</v>
          </cell>
          <cell r="K133">
            <v>3002000</v>
          </cell>
          <cell r="U133">
            <v>857</v>
          </cell>
          <cell r="AJ133">
            <v>115</v>
          </cell>
          <cell r="AK133">
            <v>7798600</v>
          </cell>
          <cell r="AN133">
            <v>135406000</v>
          </cell>
          <cell r="AO133">
            <v>18170000</v>
          </cell>
        </row>
        <row r="134">
          <cell r="A134" t="str">
            <v>X</v>
          </cell>
          <cell r="B134" t="str">
            <v>I</v>
          </cell>
          <cell r="C134" t="str">
            <v>의류</v>
          </cell>
          <cell r="E134" t="str">
            <v>2</v>
          </cell>
          <cell r="F134" t="str">
            <v>7</v>
          </cell>
          <cell r="G134">
            <v>0</v>
          </cell>
          <cell r="H134">
            <v>22286716</v>
          </cell>
          <cell r="I134">
            <v>68</v>
          </cell>
          <cell r="J134">
            <v>4012000</v>
          </cell>
          <cell r="K134">
            <v>10744000</v>
          </cell>
          <cell r="U134">
            <v>1516</v>
          </cell>
          <cell r="AJ134">
            <v>398</v>
          </cell>
          <cell r="AK134">
            <v>27692095</v>
          </cell>
          <cell r="AN134">
            <v>239528000</v>
          </cell>
          <cell r="AO134">
            <v>62884000</v>
          </cell>
        </row>
        <row r="135">
          <cell r="A135" t="str">
            <v>X</v>
          </cell>
          <cell r="B135" t="str">
            <v>I</v>
          </cell>
          <cell r="C135" t="str">
            <v>의류</v>
          </cell>
          <cell r="E135" t="str">
            <v>2</v>
          </cell>
          <cell r="F135" t="str">
            <v>7</v>
          </cell>
          <cell r="G135">
            <v>0</v>
          </cell>
          <cell r="H135">
            <v>10819936</v>
          </cell>
          <cell r="I135">
            <v>52</v>
          </cell>
          <cell r="J135">
            <v>3056200</v>
          </cell>
          <cell r="K135">
            <v>8216000</v>
          </cell>
          <cell r="U135">
            <v>736</v>
          </cell>
          <cell r="AJ135">
            <v>246</v>
          </cell>
          <cell r="AK135">
            <v>16905200</v>
          </cell>
          <cell r="AN135">
            <v>116288000</v>
          </cell>
          <cell r="AO135">
            <v>38868000</v>
          </cell>
        </row>
        <row r="136">
          <cell r="A136" t="str">
            <v>X</v>
          </cell>
          <cell r="B136" t="str">
            <v>I</v>
          </cell>
          <cell r="C136" t="str">
            <v>의류</v>
          </cell>
          <cell r="E136" t="str">
            <v>2</v>
          </cell>
          <cell r="F136" t="str">
            <v>7</v>
          </cell>
          <cell r="G136">
            <v>1</v>
          </cell>
          <cell r="H136">
            <v>25855887</v>
          </cell>
          <cell r="I136">
            <v>89</v>
          </cell>
          <cell r="J136">
            <v>7835500</v>
          </cell>
          <cell r="K136">
            <v>17622000</v>
          </cell>
          <cell r="U136">
            <v>1403</v>
          </cell>
          <cell r="AJ136">
            <v>914</v>
          </cell>
          <cell r="AK136">
            <v>83842630</v>
          </cell>
          <cell r="AN136">
            <v>277794000</v>
          </cell>
          <cell r="AO136">
            <v>180972000</v>
          </cell>
        </row>
        <row r="137">
          <cell r="A137" t="str">
            <v>X</v>
          </cell>
          <cell r="B137" t="str">
            <v>I</v>
          </cell>
          <cell r="C137" t="str">
            <v>의류</v>
          </cell>
          <cell r="E137" t="str">
            <v>2</v>
          </cell>
          <cell r="F137" t="str">
            <v>7</v>
          </cell>
          <cell r="G137">
            <v>1</v>
          </cell>
          <cell r="H137">
            <v>12082808</v>
          </cell>
          <cell r="I137">
            <v>11</v>
          </cell>
          <cell r="J137">
            <v>989400</v>
          </cell>
          <cell r="K137">
            <v>2178000</v>
          </cell>
          <cell r="U137">
            <v>664</v>
          </cell>
          <cell r="AJ137">
            <v>142</v>
          </cell>
          <cell r="AK137">
            <v>13361100</v>
          </cell>
          <cell r="AN137">
            <v>131472000</v>
          </cell>
          <cell r="AO137">
            <v>28116000</v>
          </cell>
        </row>
        <row r="138">
          <cell r="A138" t="str">
            <v>X</v>
          </cell>
          <cell r="B138" t="str">
            <v>I</v>
          </cell>
          <cell r="C138" t="str">
            <v>의류</v>
          </cell>
          <cell r="E138" t="str">
            <v>2</v>
          </cell>
          <cell r="F138" t="str">
            <v>7</v>
          </cell>
          <cell r="G138">
            <v>0</v>
          </cell>
          <cell r="H138">
            <v>20817368</v>
          </cell>
          <cell r="I138">
            <v>42</v>
          </cell>
          <cell r="J138">
            <v>3730400</v>
          </cell>
          <cell r="K138">
            <v>8316000</v>
          </cell>
          <cell r="U138">
            <v>1144</v>
          </cell>
          <cell r="AJ138">
            <v>406</v>
          </cell>
          <cell r="AK138">
            <v>37829250</v>
          </cell>
          <cell r="AN138">
            <v>226512000</v>
          </cell>
          <cell r="AO138">
            <v>80388000</v>
          </cell>
        </row>
        <row r="139">
          <cell r="A139" t="str">
            <v>X</v>
          </cell>
          <cell r="B139" t="str">
            <v>I</v>
          </cell>
          <cell r="C139" t="str">
            <v>의류</v>
          </cell>
          <cell r="E139" t="str">
            <v>2</v>
          </cell>
          <cell r="F139" t="str">
            <v>7</v>
          </cell>
          <cell r="G139">
            <v>1</v>
          </cell>
          <cell r="H139">
            <v>11210622</v>
          </cell>
          <cell r="I139">
            <v>8</v>
          </cell>
          <cell r="J139">
            <v>722400</v>
          </cell>
          <cell r="K139">
            <v>1584000</v>
          </cell>
          <cell r="U139">
            <v>454</v>
          </cell>
          <cell r="AJ139">
            <v>86</v>
          </cell>
          <cell r="AK139">
            <v>8006300</v>
          </cell>
          <cell r="AN139">
            <v>89892000</v>
          </cell>
          <cell r="AO139">
            <v>17028000</v>
          </cell>
        </row>
        <row r="140">
          <cell r="A140" t="str">
            <v>X</v>
          </cell>
          <cell r="B140" t="str">
            <v>I</v>
          </cell>
          <cell r="C140" t="str">
            <v>의류</v>
          </cell>
          <cell r="E140" t="str">
            <v>2</v>
          </cell>
          <cell r="F140" t="str">
            <v>7</v>
          </cell>
          <cell r="G140">
            <v>1</v>
          </cell>
          <cell r="H140">
            <v>14302854</v>
          </cell>
          <cell r="I140">
            <v>24</v>
          </cell>
          <cell r="J140">
            <v>1656000</v>
          </cell>
          <cell r="K140">
            <v>4272000</v>
          </cell>
          <cell r="U140">
            <v>706</v>
          </cell>
          <cell r="AJ140">
            <v>140</v>
          </cell>
          <cell r="AK140">
            <v>10053150</v>
          </cell>
          <cell r="AN140">
            <v>125668000</v>
          </cell>
          <cell r="AO140">
            <v>24920000</v>
          </cell>
        </row>
        <row r="141">
          <cell r="A141" t="str">
            <v>X</v>
          </cell>
          <cell r="B141" t="str">
            <v>I</v>
          </cell>
          <cell r="C141" t="str">
            <v>의류</v>
          </cell>
          <cell r="E141" t="str">
            <v>2</v>
          </cell>
          <cell r="F141" t="str">
            <v>7</v>
          </cell>
          <cell r="G141">
            <v>0</v>
          </cell>
          <cell r="H141">
            <v>5935887</v>
          </cell>
          <cell r="I141">
            <v>5</v>
          </cell>
          <cell r="J141">
            <v>345000</v>
          </cell>
          <cell r="K141">
            <v>890000</v>
          </cell>
          <cell r="U141">
            <v>293</v>
          </cell>
          <cell r="AJ141">
            <v>50</v>
          </cell>
          <cell r="AK141">
            <v>3671100</v>
          </cell>
          <cell r="AN141">
            <v>52154000</v>
          </cell>
          <cell r="AO141">
            <v>8900000</v>
          </cell>
        </row>
        <row r="142">
          <cell r="A142" t="str">
            <v>X</v>
          </cell>
          <cell r="B142" t="str">
            <v>I</v>
          </cell>
          <cell r="C142" t="str">
            <v>의류</v>
          </cell>
          <cell r="E142" t="str">
            <v>2</v>
          </cell>
          <cell r="F142" t="str">
            <v>7</v>
          </cell>
          <cell r="G142">
            <v>1</v>
          </cell>
          <cell r="H142">
            <v>12144276</v>
          </cell>
          <cell r="I142">
            <v>16</v>
          </cell>
          <cell r="J142">
            <v>1166100</v>
          </cell>
          <cell r="K142">
            <v>2528000</v>
          </cell>
          <cell r="U142">
            <v>828</v>
          </cell>
          <cell r="AJ142">
            <v>120</v>
          </cell>
          <cell r="AK142">
            <v>8974850</v>
          </cell>
          <cell r="AN142">
            <v>130824000</v>
          </cell>
          <cell r="AO142">
            <v>18960000</v>
          </cell>
        </row>
        <row r="143">
          <cell r="A143" t="str">
            <v>X</v>
          </cell>
          <cell r="B143" t="str">
            <v>I</v>
          </cell>
          <cell r="C143" t="str">
            <v>의류</v>
          </cell>
          <cell r="E143" t="str">
            <v>2</v>
          </cell>
          <cell r="F143" t="str">
            <v>7</v>
          </cell>
          <cell r="G143">
            <v>0</v>
          </cell>
          <cell r="H143">
            <v>6966825</v>
          </cell>
          <cell r="I143">
            <v>6</v>
          </cell>
          <cell r="J143">
            <v>428200</v>
          </cell>
          <cell r="K143">
            <v>948000</v>
          </cell>
          <cell r="U143">
            <v>475</v>
          </cell>
          <cell r="AJ143">
            <v>46</v>
          </cell>
          <cell r="AK143">
            <v>3447100</v>
          </cell>
          <cell r="AN143">
            <v>75050000</v>
          </cell>
          <cell r="AO143">
            <v>7268000</v>
          </cell>
        </row>
        <row r="144">
          <cell r="A144" t="str">
            <v>X</v>
          </cell>
          <cell r="B144" t="str">
            <v>I</v>
          </cell>
          <cell r="C144" t="str">
            <v>의류</v>
          </cell>
          <cell r="E144" t="str">
            <v>2</v>
          </cell>
          <cell r="F144" t="str">
            <v>7</v>
          </cell>
          <cell r="G144">
            <v>1</v>
          </cell>
          <cell r="H144">
            <v>4208690</v>
          </cell>
          <cell r="I144">
            <v>2</v>
          </cell>
          <cell r="J144">
            <v>138000</v>
          </cell>
          <cell r="K144">
            <v>276000</v>
          </cell>
          <cell r="U144">
            <v>323</v>
          </cell>
          <cell r="AJ144">
            <v>17</v>
          </cell>
          <cell r="AK144">
            <v>1131600</v>
          </cell>
          <cell r="AN144">
            <v>44574000</v>
          </cell>
          <cell r="AO144">
            <v>2346000</v>
          </cell>
        </row>
        <row r="145">
          <cell r="A145" t="str">
            <v>X</v>
          </cell>
          <cell r="B145" t="str">
            <v>I</v>
          </cell>
          <cell r="C145" t="str">
            <v>의류</v>
          </cell>
          <cell r="E145" t="str">
            <v>2</v>
          </cell>
          <cell r="F145" t="str">
            <v>7</v>
          </cell>
          <cell r="G145">
            <v>0</v>
          </cell>
          <cell r="H145">
            <v>10215520</v>
          </cell>
          <cell r="I145">
            <v>14</v>
          </cell>
          <cell r="J145">
            <v>841500</v>
          </cell>
          <cell r="K145">
            <v>1932000</v>
          </cell>
          <cell r="U145">
            <v>784</v>
          </cell>
          <cell r="AJ145">
            <v>106</v>
          </cell>
          <cell r="AK145">
            <v>6702500</v>
          </cell>
          <cell r="AN145">
            <v>108192000</v>
          </cell>
          <cell r="AO145">
            <v>14628000</v>
          </cell>
        </row>
        <row r="146">
          <cell r="A146" t="str">
            <v>X</v>
          </cell>
          <cell r="B146" t="str">
            <v>I</v>
          </cell>
          <cell r="C146" t="str">
            <v>의류</v>
          </cell>
          <cell r="E146" t="str">
            <v>2</v>
          </cell>
          <cell r="F146" t="str">
            <v>7</v>
          </cell>
          <cell r="G146">
            <v>1</v>
          </cell>
          <cell r="H146">
            <v>9683184</v>
          </cell>
          <cell r="I146">
            <v>10</v>
          </cell>
          <cell r="J146">
            <v>572300</v>
          </cell>
          <cell r="K146">
            <v>1180000</v>
          </cell>
          <cell r="U146">
            <v>716</v>
          </cell>
          <cell r="AJ146">
            <v>63</v>
          </cell>
          <cell r="AK146">
            <v>3543600</v>
          </cell>
          <cell r="AN146">
            <v>84488000</v>
          </cell>
          <cell r="AO146">
            <v>7434000</v>
          </cell>
        </row>
        <row r="147">
          <cell r="A147" t="str">
            <v>X</v>
          </cell>
          <cell r="B147" t="str">
            <v>I</v>
          </cell>
          <cell r="C147" t="str">
            <v>의류</v>
          </cell>
          <cell r="E147" t="str">
            <v>2</v>
          </cell>
          <cell r="F147" t="str">
            <v>7</v>
          </cell>
          <cell r="G147">
            <v>0</v>
          </cell>
          <cell r="H147">
            <v>20772864</v>
          </cell>
          <cell r="I147">
            <v>22</v>
          </cell>
          <cell r="J147">
            <v>1138500</v>
          </cell>
          <cell r="K147">
            <v>2596000</v>
          </cell>
          <cell r="U147">
            <v>1536</v>
          </cell>
          <cell r="AJ147">
            <v>147</v>
          </cell>
          <cell r="AK147">
            <v>8142400</v>
          </cell>
          <cell r="AN147">
            <v>181248000</v>
          </cell>
          <cell r="AO147">
            <v>17346000</v>
          </cell>
        </row>
        <row r="148">
          <cell r="A148" t="str">
            <v>X</v>
          </cell>
          <cell r="B148" t="str">
            <v>I</v>
          </cell>
          <cell r="C148" t="str">
            <v>의류</v>
          </cell>
          <cell r="E148" t="str">
            <v>1</v>
          </cell>
          <cell r="F148" t="str">
            <v>V</v>
          </cell>
          <cell r="G148">
            <v>1</v>
          </cell>
          <cell r="H148">
            <v>11723526</v>
          </cell>
          <cell r="I148">
            <v>2</v>
          </cell>
          <cell r="J148">
            <v>232200</v>
          </cell>
          <cell r="K148">
            <v>516000</v>
          </cell>
          <cell r="U148">
            <v>402</v>
          </cell>
          <cell r="AJ148">
            <v>101</v>
          </cell>
          <cell r="AK148">
            <v>12210440</v>
          </cell>
          <cell r="AN148">
            <v>103716000</v>
          </cell>
          <cell r="AO148">
            <v>26058000</v>
          </cell>
        </row>
        <row r="149">
          <cell r="A149" t="str">
            <v>X</v>
          </cell>
          <cell r="B149" t="str">
            <v>I</v>
          </cell>
          <cell r="C149" t="str">
            <v>의류</v>
          </cell>
          <cell r="E149" t="str">
            <v>2</v>
          </cell>
          <cell r="F149" t="str">
            <v>V</v>
          </cell>
          <cell r="G149">
            <v>1</v>
          </cell>
          <cell r="H149">
            <v>8949238</v>
          </cell>
          <cell r="I149">
            <v>6</v>
          </cell>
          <cell r="J149">
            <v>648300</v>
          </cell>
          <cell r="K149">
            <v>1428000</v>
          </cell>
          <cell r="U149">
            <v>298</v>
          </cell>
          <cell r="AJ149">
            <v>117</v>
          </cell>
          <cell r="AK149">
            <v>12905850</v>
          </cell>
          <cell r="AN149">
            <v>70924000</v>
          </cell>
          <cell r="AO149">
            <v>27846000</v>
          </cell>
        </row>
        <row r="150">
          <cell r="A150" t="str">
            <v>X</v>
          </cell>
          <cell r="B150" t="str">
            <v>I</v>
          </cell>
          <cell r="C150" t="str">
            <v>의류</v>
          </cell>
          <cell r="E150" t="str">
            <v>2</v>
          </cell>
          <cell r="F150" t="str">
            <v>V</v>
          </cell>
          <cell r="G150">
            <v>0</v>
          </cell>
          <cell r="H150">
            <v>11952338</v>
          </cell>
          <cell r="I150">
            <v>12</v>
          </cell>
          <cell r="J150">
            <v>1204700</v>
          </cell>
          <cell r="K150">
            <v>2856000</v>
          </cell>
          <cell r="U150">
            <v>398</v>
          </cell>
          <cell r="AJ150">
            <v>224</v>
          </cell>
          <cell r="AK150">
            <v>24342145</v>
          </cell>
          <cell r="AN150">
            <v>94724000</v>
          </cell>
          <cell r="AO150">
            <v>53312000</v>
          </cell>
        </row>
        <row r="151">
          <cell r="A151" t="str">
            <v>X</v>
          </cell>
          <cell r="B151" t="str">
            <v>I</v>
          </cell>
          <cell r="C151" t="str">
            <v>ACC</v>
          </cell>
          <cell r="E151" t="str">
            <v>2</v>
          </cell>
          <cell r="F151" t="str">
            <v>T</v>
          </cell>
          <cell r="G151">
            <v>1</v>
          </cell>
          <cell r="H151">
            <v>2800545</v>
          </cell>
          <cell r="I151">
            <v>25</v>
          </cell>
          <cell r="J151">
            <v>380000</v>
          </cell>
          <cell r="K151">
            <v>475000</v>
          </cell>
          <cell r="U151">
            <v>605</v>
          </cell>
          <cell r="AJ151">
            <v>131</v>
          </cell>
          <cell r="AK151">
            <v>1991200</v>
          </cell>
          <cell r="AN151">
            <v>11495000</v>
          </cell>
          <cell r="AO151">
            <v>2489000</v>
          </cell>
        </row>
        <row r="152">
          <cell r="A152" t="str">
            <v>X</v>
          </cell>
          <cell r="B152" t="str">
            <v>I</v>
          </cell>
          <cell r="C152" t="str">
            <v>ACC</v>
          </cell>
          <cell r="E152" t="str">
            <v>2</v>
          </cell>
          <cell r="F152" t="str">
            <v>T</v>
          </cell>
          <cell r="G152">
            <v>0</v>
          </cell>
          <cell r="H152">
            <v>1643295</v>
          </cell>
          <cell r="I152">
            <v>12</v>
          </cell>
          <cell r="J152">
            <v>186200</v>
          </cell>
          <cell r="K152">
            <v>228000</v>
          </cell>
          <cell r="U152">
            <v>355</v>
          </cell>
          <cell r="AJ152">
            <v>108</v>
          </cell>
          <cell r="AK152">
            <v>1645400</v>
          </cell>
          <cell r="AN152">
            <v>6745000</v>
          </cell>
          <cell r="AO152">
            <v>2052000</v>
          </cell>
        </row>
        <row r="153">
          <cell r="A153" t="str">
            <v>X</v>
          </cell>
          <cell r="B153" t="str">
            <v>I</v>
          </cell>
          <cell r="C153" t="str">
            <v>ACC</v>
          </cell>
          <cell r="E153" t="str">
            <v>1</v>
          </cell>
          <cell r="F153" t="str">
            <v>V</v>
          </cell>
          <cell r="G153">
            <v>1</v>
          </cell>
          <cell r="H153">
            <v>2899605</v>
          </cell>
          <cell r="I153">
            <v>5</v>
          </cell>
          <cell r="J153">
            <v>248000</v>
          </cell>
          <cell r="K153">
            <v>310000</v>
          </cell>
          <cell r="U153">
            <v>249</v>
          </cell>
          <cell r="AJ153">
            <v>61</v>
          </cell>
          <cell r="AK153">
            <v>2950400</v>
          </cell>
          <cell r="AN153">
            <v>15438000</v>
          </cell>
          <cell r="AO153">
            <v>3782000</v>
          </cell>
        </row>
        <row r="154">
          <cell r="A154" t="str">
            <v>X</v>
          </cell>
          <cell r="B154" t="str">
            <v>I</v>
          </cell>
          <cell r="C154" t="str">
            <v>ACC</v>
          </cell>
          <cell r="E154" t="str">
            <v>1</v>
          </cell>
          <cell r="F154" t="str">
            <v>V</v>
          </cell>
          <cell r="G154">
            <v>0</v>
          </cell>
          <cell r="H154">
            <v>3493500</v>
          </cell>
          <cell r="I154">
            <v>9</v>
          </cell>
          <cell r="J154">
            <v>386400</v>
          </cell>
          <cell r="K154">
            <v>558000</v>
          </cell>
          <cell r="U154">
            <v>300</v>
          </cell>
          <cell r="AJ154">
            <v>118</v>
          </cell>
          <cell r="AK154">
            <v>5577200</v>
          </cell>
          <cell r="AN154">
            <v>18600000</v>
          </cell>
          <cell r="AO154">
            <v>7316000</v>
          </cell>
        </row>
        <row r="155">
          <cell r="A155" t="str">
            <v>X</v>
          </cell>
          <cell r="B155" t="str">
            <v>I</v>
          </cell>
          <cell r="C155" t="str">
            <v>ACC</v>
          </cell>
          <cell r="E155" t="str">
            <v>1</v>
          </cell>
          <cell r="F155" t="str">
            <v>V</v>
          </cell>
          <cell r="G155">
            <v>1</v>
          </cell>
          <cell r="H155">
            <v>4786250</v>
          </cell>
          <cell r="I155">
            <v>4</v>
          </cell>
          <cell r="J155">
            <v>230400</v>
          </cell>
          <cell r="K155">
            <v>288000</v>
          </cell>
          <cell r="U155">
            <v>250</v>
          </cell>
          <cell r="AJ155">
            <v>29</v>
          </cell>
          <cell r="AK155">
            <v>1590400</v>
          </cell>
          <cell r="AN155">
            <v>18000000</v>
          </cell>
          <cell r="AO155">
            <v>2088000</v>
          </cell>
        </row>
        <row r="156">
          <cell r="A156" t="str">
            <v>X</v>
          </cell>
          <cell r="B156" t="str">
            <v>I</v>
          </cell>
          <cell r="C156" t="str">
            <v>ACC</v>
          </cell>
          <cell r="E156" t="str">
            <v>1</v>
          </cell>
          <cell r="F156" t="str">
            <v>W</v>
          </cell>
          <cell r="G156">
            <v>1</v>
          </cell>
          <cell r="H156">
            <v>2802945</v>
          </cell>
          <cell r="I156">
            <v>2</v>
          </cell>
          <cell r="J156">
            <v>82400</v>
          </cell>
          <cell r="K156">
            <v>128000</v>
          </cell>
          <cell r="U156">
            <v>201</v>
          </cell>
          <cell r="AJ156">
            <v>46</v>
          </cell>
          <cell r="AK156">
            <v>2315200</v>
          </cell>
          <cell r="AN156">
            <v>12864000</v>
          </cell>
          <cell r="AO156">
            <v>2944000</v>
          </cell>
        </row>
        <row r="157">
          <cell r="A157" t="str">
            <v>X</v>
          </cell>
          <cell r="B157" t="str">
            <v>I</v>
          </cell>
          <cell r="C157" t="str">
            <v>ACC</v>
          </cell>
          <cell r="E157" t="str">
            <v>1</v>
          </cell>
          <cell r="F157" t="str">
            <v>W</v>
          </cell>
          <cell r="G157">
            <v>0</v>
          </cell>
          <cell r="H157">
            <v>2091750</v>
          </cell>
          <cell r="I157">
            <v>0</v>
          </cell>
          <cell r="J157">
            <v>0</v>
          </cell>
          <cell r="K157">
            <v>0</v>
          </cell>
          <cell r="U157">
            <v>150</v>
          </cell>
          <cell r="AJ157">
            <v>27</v>
          </cell>
          <cell r="AK157">
            <v>1362400</v>
          </cell>
          <cell r="AN157">
            <v>9600000</v>
          </cell>
          <cell r="AO157">
            <v>1728000</v>
          </cell>
        </row>
        <row r="158">
          <cell r="A158" t="str">
            <v>X</v>
          </cell>
          <cell r="B158" t="str">
            <v>I</v>
          </cell>
          <cell r="C158" t="str">
            <v>ACC</v>
          </cell>
          <cell r="E158" t="str">
            <v>1</v>
          </cell>
          <cell r="F158" t="str">
            <v>W</v>
          </cell>
          <cell r="G158">
            <v>1</v>
          </cell>
          <cell r="H158">
            <v>1660605</v>
          </cell>
          <cell r="I158">
            <v>0</v>
          </cell>
          <cell r="J158">
            <v>0</v>
          </cell>
          <cell r="K158">
            <v>0</v>
          </cell>
          <cell r="U158">
            <v>149</v>
          </cell>
          <cell r="AJ158">
            <v>37</v>
          </cell>
          <cell r="AK158">
            <v>1696800</v>
          </cell>
          <cell r="AN158">
            <v>8642000</v>
          </cell>
          <cell r="AO158">
            <v>2146000</v>
          </cell>
        </row>
        <row r="159">
          <cell r="A159" t="str">
            <v>X</v>
          </cell>
          <cell r="B159" t="str">
            <v>I</v>
          </cell>
          <cell r="C159" t="str">
            <v>ACC</v>
          </cell>
          <cell r="E159" t="str">
            <v>1</v>
          </cell>
          <cell r="F159" t="str">
            <v>W</v>
          </cell>
          <cell r="G159">
            <v>1</v>
          </cell>
          <cell r="H159">
            <v>1511605</v>
          </cell>
          <cell r="I159">
            <v>1</v>
          </cell>
          <cell r="J159">
            <v>46400</v>
          </cell>
          <cell r="K159">
            <v>58000</v>
          </cell>
          <cell r="U159">
            <v>149</v>
          </cell>
          <cell r="AJ159">
            <v>59</v>
          </cell>
          <cell r="AK159">
            <v>2622200</v>
          </cell>
          <cell r="AN159">
            <v>8642000</v>
          </cell>
          <cell r="AO159">
            <v>3422000</v>
          </cell>
        </row>
        <row r="160">
          <cell r="A160" t="str">
            <v>X</v>
          </cell>
          <cell r="B160" t="str">
            <v>I</v>
          </cell>
          <cell r="C160" t="str">
            <v>ACC</v>
          </cell>
          <cell r="E160" t="str">
            <v>1</v>
          </cell>
          <cell r="F160" t="str">
            <v>W</v>
          </cell>
          <cell r="G160">
            <v>0</v>
          </cell>
          <cell r="H160">
            <v>2018855</v>
          </cell>
          <cell r="I160">
            <v>2</v>
          </cell>
          <cell r="J160">
            <v>92800</v>
          </cell>
          <cell r="K160">
            <v>116000</v>
          </cell>
          <cell r="U160">
            <v>199</v>
          </cell>
          <cell r="AJ160">
            <v>110</v>
          </cell>
          <cell r="AK160">
            <v>4938600</v>
          </cell>
          <cell r="AN160">
            <v>11542000</v>
          </cell>
          <cell r="AO160">
            <v>6380000</v>
          </cell>
        </row>
        <row r="161">
          <cell r="A161" t="str">
            <v>X</v>
          </cell>
          <cell r="B161" t="str">
            <v>I</v>
          </cell>
          <cell r="C161" t="str">
            <v>ACC</v>
          </cell>
          <cell r="E161" t="str">
            <v>1</v>
          </cell>
          <cell r="F161" t="str">
            <v>W</v>
          </cell>
          <cell r="G161">
            <v>1</v>
          </cell>
          <cell r="H161">
            <v>1884105</v>
          </cell>
          <cell r="I161">
            <v>2</v>
          </cell>
          <cell r="J161">
            <v>92800</v>
          </cell>
          <cell r="K161">
            <v>116000</v>
          </cell>
          <cell r="U161">
            <v>149</v>
          </cell>
          <cell r="AJ161">
            <v>58</v>
          </cell>
          <cell r="AK161">
            <v>2571200</v>
          </cell>
          <cell r="AN161">
            <v>8642000</v>
          </cell>
          <cell r="AO161">
            <v>3364000</v>
          </cell>
        </row>
        <row r="162">
          <cell r="A162" t="str">
            <v>X</v>
          </cell>
          <cell r="B162" t="str">
            <v>I</v>
          </cell>
          <cell r="C162" t="str">
            <v>ACC</v>
          </cell>
          <cell r="E162" t="str">
            <v>1</v>
          </cell>
          <cell r="F162" t="str">
            <v>W</v>
          </cell>
          <cell r="G162">
            <v>1</v>
          </cell>
          <cell r="H162">
            <v>1660605</v>
          </cell>
          <cell r="I162">
            <v>2</v>
          </cell>
          <cell r="J162">
            <v>92800</v>
          </cell>
          <cell r="K162">
            <v>116000</v>
          </cell>
          <cell r="U162">
            <v>149</v>
          </cell>
          <cell r="AJ162">
            <v>54</v>
          </cell>
          <cell r="AK162">
            <v>2338600</v>
          </cell>
          <cell r="AN162">
            <v>8642000</v>
          </cell>
          <cell r="AO162">
            <v>3132000</v>
          </cell>
        </row>
        <row r="163">
          <cell r="A163" t="str">
            <v>X</v>
          </cell>
          <cell r="B163" t="str">
            <v>I</v>
          </cell>
          <cell r="C163" t="str">
            <v>ACC</v>
          </cell>
          <cell r="E163" t="str">
            <v>1</v>
          </cell>
          <cell r="F163" t="str">
            <v>W</v>
          </cell>
          <cell r="G163">
            <v>0</v>
          </cell>
          <cell r="H163">
            <v>1649460</v>
          </cell>
          <cell r="I163">
            <v>0</v>
          </cell>
          <cell r="J163">
            <v>0</v>
          </cell>
          <cell r="K163">
            <v>0</v>
          </cell>
          <cell r="U163">
            <v>148</v>
          </cell>
          <cell r="AJ163">
            <v>21</v>
          </cell>
          <cell r="AK163">
            <v>899000</v>
          </cell>
          <cell r="AN163">
            <v>8584000</v>
          </cell>
          <cell r="AO163">
            <v>1218000</v>
          </cell>
        </row>
        <row r="164">
          <cell r="A164" t="str">
            <v>X</v>
          </cell>
          <cell r="B164" t="str">
            <v>I</v>
          </cell>
          <cell r="C164" t="str">
            <v>ACC</v>
          </cell>
          <cell r="E164" t="str">
            <v>1</v>
          </cell>
          <cell r="F164" t="str">
            <v>W</v>
          </cell>
          <cell r="G164">
            <v>1</v>
          </cell>
          <cell r="H164">
            <v>1809605</v>
          </cell>
          <cell r="I164">
            <v>4</v>
          </cell>
          <cell r="J164">
            <v>172800</v>
          </cell>
          <cell r="K164">
            <v>216000</v>
          </cell>
          <cell r="U164">
            <v>149</v>
          </cell>
          <cell r="AJ164">
            <v>106</v>
          </cell>
          <cell r="AK164">
            <v>4513200</v>
          </cell>
          <cell r="AN164">
            <v>8046000</v>
          </cell>
          <cell r="AO164">
            <v>5724000</v>
          </cell>
        </row>
        <row r="165">
          <cell r="A165" t="str">
            <v>X</v>
          </cell>
          <cell r="B165" t="str">
            <v>I</v>
          </cell>
          <cell r="C165" t="str">
            <v>ACC</v>
          </cell>
          <cell r="E165" t="str">
            <v>1</v>
          </cell>
          <cell r="F165" t="str">
            <v>W</v>
          </cell>
          <cell r="G165">
            <v>0</v>
          </cell>
          <cell r="H165">
            <v>2416855</v>
          </cell>
          <cell r="I165">
            <v>3</v>
          </cell>
          <cell r="J165">
            <v>129600</v>
          </cell>
          <cell r="K165">
            <v>162000</v>
          </cell>
          <cell r="U165">
            <v>199</v>
          </cell>
          <cell r="AJ165">
            <v>137</v>
          </cell>
          <cell r="AK165">
            <v>5967200</v>
          </cell>
          <cell r="AN165">
            <v>10746000</v>
          </cell>
          <cell r="AO165">
            <v>7398000</v>
          </cell>
        </row>
        <row r="166">
          <cell r="A166" t="str">
            <v>X</v>
          </cell>
          <cell r="B166" t="str">
            <v>I</v>
          </cell>
          <cell r="C166" t="str">
            <v>ACC</v>
          </cell>
          <cell r="E166" t="str">
            <v>2</v>
          </cell>
          <cell r="F166" t="str">
            <v>W</v>
          </cell>
          <cell r="G166">
            <v>1</v>
          </cell>
          <cell r="H166">
            <v>2217855</v>
          </cell>
          <cell r="I166">
            <v>8</v>
          </cell>
          <cell r="J166">
            <v>371200</v>
          </cell>
          <cell r="K166">
            <v>464000</v>
          </cell>
          <cell r="U166">
            <v>199</v>
          </cell>
          <cell r="AJ166">
            <v>145</v>
          </cell>
          <cell r="AK166">
            <v>6272600</v>
          </cell>
          <cell r="AN166">
            <v>11542000</v>
          </cell>
          <cell r="AO166">
            <v>8410000</v>
          </cell>
        </row>
        <row r="167">
          <cell r="A167" t="str">
            <v>X</v>
          </cell>
          <cell r="B167" t="str">
            <v>I</v>
          </cell>
          <cell r="C167" t="str">
            <v>ACC</v>
          </cell>
          <cell r="E167" t="str">
            <v>2</v>
          </cell>
          <cell r="F167" t="str">
            <v>W</v>
          </cell>
          <cell r="G167">
            <v>0</v>
          </cell>
          <cell r="H167">
            <v>2775105</v>
          </cell>
          <cell r="I167">
            <v>13</v>
          </cell>
          <cell r="J167">
            <v>603200</v>
          </cell>
          <cell r="K167">
            <v>754000</v>
          </cell>
          <cell r="U167">
            <v>249</v>
          </cell>
          <cell r="AJ167">
            <v>150</v>
          </cell>
          <cell r="AK167">
            <v>6730880</v>
          </cell>
          <cell r="AN167">
            <v>14442000</v>
          </cell>
          <cell r="AO167">
            <v>8700000</v>
          </cell>
        </row>
        <row r="168">
          <cell r="A168" t="str">
            <v>X</v>
          </cell>
          <cell r="B168" t="str">
            <v>I</v>
          </cell>
          <cell r="C168" t="str">
            <v>ACC</v>
          </cell>
          <cell r="E168" t="str">
            <v>2</v>
          </cell>
          <cell r="F168" t="str">
            <v>W</v>
          </cell>
          <cell r="G168">
            <v>1</v>
          </cell>
          <cell r="H168">
            <v>1542040</v>
          </cell>
          <cell r="I168">
            <v>2</v>
          </cell>
          <cell r="J168">
            <v>56400</v>
          </cell>
          <cell r="K168">
            <v>108000</v>
          </cell>
          <cell r="U168">
            <v>152</v>
          </cell>
          <cell r="AJ168">
            <v>56</v>
          </cell>
          <cell r="AK168">
            <v>2383800</v>
          </cell>
          <cell r="AN168">
            <v>8208000</v>
          </cell>
          <cell r="AO168">
            <v>3024000</v>
          </cell>
        </row>
        <row r="169">
          <cell r="A169" t="str">
            <v>X</v>
          </cell>
          <cell r="B169" t="str">
            <v>I</v>
          </cell>
          <cell r="C169" t="str">
            <v>ACC</v>
          </cell>
          <cell r="E169" t="str">
            <v>2</v>
          </cell>
          <cell r="F169" t="str">
            <v>W</v>
          </cell>
          <cell r="G169">
            <v>0</v>
          </cell>
          <cell r="H169">
            <v>1014500</v>
          </cell>
          <cell r="I169">
            <v>5</v>
          </cell>
          <cell r="J169">
            <v>216000</v>
          </cell>
          <cell r="K169">
            <v>270000</v>
          </cell>
          <cell r="U169">
            <v>100</v>
          </cell>
          <cell r="AJ169">
            <v>31</v>
          </cell>
          <cell r="AK169">
            <v>1269000</v>
          </cell>
          <cell r="AN169">
            <v>5400000</v>
          </cell>
          <cell r="AO169">
            <v>1674000</v>
          </cell>
        </row>
        <row r="170">
          <cell r="A170" t="str">
            <v>X</v>
          </cell>
          <cell r="B170" t="str">
            <v>I</v>
          </cell>
          <cell r="C170" t="str">
            <v>ACC</v>
          </cell>
          <cell r="E170" t="str">
            <v>2</v>
          </cell>
          <cell r="F170" t="str">
            <v>W</v>
          </cell>
          <cell r="G170">
            <v>1</v>
          </cell>
          <cell r="H170">
            <v>2305710</v>
          </cell>
          <cell r="I170">
            <v>7</v>
          </cell>
          <cell r="J170">
            <v>324800</v>
          </cell>
          <cell r="K170">
            <v>406000</v>
          </cell>
          <cell r="U170">
            <v>198</v>
          </cell>
          <cell r="AJ170">
            <v>109</v>
          </cell>
          <cell r="AK170">
            <v>4663400</v>
          </cell>
          <cell r="AN170">
            <v>11484000</v>
          </cell>
          <cell r="AO170">
            <v>6322000</v>
          </cell>
        </row>
        <row r="171">
          <cell r="A171" t="str">
            <v>X</v>
          </cell>
          <cell r="B171" t="str">
            <v>I</v>
          </cell>
          <cell r="C171" t="str">
            <v>ACC</v>
          </cell>
          <cell r="E171" t="str">
            <v>2</v>
          </cell>
          <cell r="F171" t="str">
            <v>W</v>
          </cell>
          <cell r="G171">
            <v>1</v>
          </cell>
          <cell r="H171">
            <v>2217855</v>
          </cell>
          <cell r="I171">
            <v>5</v>
          </cell>
          <cell r="J171">
            <v>232000</v>
          </cell>
          <cell r="K171">
            <v>290000</v>
          </cell>
          <cell r="U171">
            <v>199</v>
          </cell>
          <cell r="AJ171">
            <v>33</v>
          </cell>
          <cell r="AK171">
            <v>1512800</v>
          </cell>
          <cell r="AN171">
            <v>11542000</v>
          </cell>
          <cell r="AO171">
            <v>1914000</v>
          </cell>
        </row>
        <row r="172">
          <cell r="A172" t="str">
            <v>X</v>
          </cell>
          <cell r="B172" t="str">
            <v>I</v>
          </cell>
          <cell r="C172" t="str">
            <v>ACC</v>
          </cell>
          <cell r="E172" t="str">
            <v>2</v>
          </cell>
          <cell r="F172" t="str">
            <v>W</v>
          </cell>
          <cell r="G172">
            <v>1</v>
          </cell>
          <cell r="H172">
            <v>1735105</v>
          </cell>
          <cell r="I172">
            <v>4</v>
          </cell>
          <cell r="J172">
            <v>185600</v>
          </cell>
          <cell r="K172">
            <v>232000</v>
          </cell>
          <cell r="U172">
            <v>149</v>
          </cell>
          <cell r="AJ172">
            <v>71</v>
          </cell>
          <cell r="AK172">
            <v>3206000</v>
          </cell>
          <cell r="AN172">
            <v>8642000</v>
          </cell>
          <cell r="AO172">
            <v>4118000</v>
          </cell>
        </row>
        <row r="173">
          <cell r="A173" t="str">
            <v>X</v>
          </cell>
          <cell r="B173" t="str">
            <v>I</v>
          </cell>
          <cell r="C173" t="str">
            <v>ACC</v>
          </cell>
          <cell r="E173" t="str">
            <v>2</v>
          </cell>
          <cell r="F173" t="str">
            <v>W</v>
          </cell>
          <cell r="G173">
            <v>0</v>
          </cell>
          <cell r="H173">
            <v>1735105</v>
          </cell>
          <cell r="I173">
            <v>6</v>
          </cell>
          <cell r="J173">
            <v>278400</v>
          </cell>
          <cell r="K173">
            <v>348000</v>
          </cell>
          <cell r="U173">
            <v>149</v>
          </cell>
          <cell r="AJ173">
            <v>117</v>
          </cell>
          <cell r="AK173">
            <v>5403200</v>
          </cell>
          <cell r="AN173">
            <v>8642000</v>
          </cell>
          <cell r="AO173">
            <v>6786000</v>
          </cell>
        </row>
        <row r="174">
          <cell r="A174" t="str">
            <v>X</v>
          </cell>
          <cell r="B174" t="str">
            <v>I</v>
          </cell>
          <cell r="C174" t="str">
            <v>ACC</v>
          </cell>
          <cell r="E174" t="str">
            <v>2</v>
          </cell>
          <cell r="F174" t="str">
            <v>W</v>
          </cell>
          <cell r="G174">
            <v>1</v>
          </cell>
          <cell r="H174">
            <v>1521750</v>
          </cell>
          <cell r="I174">
            <v>5</v>
          </cell>
          <cell r="J174">
            <v>216000</v>
          </cell>
          <cell r="K174">
            <v>270000</v>
          </cell>
          <cell r="U174">
            <v>150</v>
          </cell>
          <cell r="AJ174">
            <v>35</v>
          </cell>
          <cell r="AK174">
            <v>1441800</v>
          </cell>
          <cell r="AN174">
            <v>8100000</v>
          </cell>
          <cell r="AO174">
            <v>1890000</v>
          </cell>
        </row>
        <row r="175">
          <cell r="A175" t="str">
            <v>X</v>
          </cell>
          <cell r="B175" t="str">
            <v>I</v>
          </cell>
          <cell r="C175" t="str">
            <v>ACC</v>
          </cell>
          <cell r="E175" t="str">
            <v>2</v>
          </cell>
          <cell r="F175" t="str">
            <v>W</v>
          </cell>
          <cell r="G175">
            <v>1</v>
          </cell>
          <cell r="H175">
            <v>1748880</v>
          </cell>
          <cell r="I175">
            <v>2</v>
          </cell>
          <cell r="J175">
            <v>92800</v>
          </cell>
          <cell r="K175">
            <v>116000</v>
          </cell>
          <cell r="U175">
            <v>144</v>
          </cell>
          <cell r="AJ175">
            <v>33</v>
          </cell>
          <cell r="AK175">
            <v>1534400</v>
          </cell>
          <cell r="AN175">
            <v>8352000</v>
          </cell>
          <cell r="AO175">
            <v>1914000</v>
          </cell>
        </row>
        <row r="176">
          <cell r="A176" t="str">
            <v>X</v>
          </cell>
          <cell r="B176" t="str">
            <v>I</v>
          </cell>
          <cell r="C176" t="str">
            <v>ACC</v>
          </cell>
          <cell r="E176" t="str">
            <v>2</v>
          </cell>
          <cell r="F176" t="str">
            <v>W</v>
          </cell>
          <cell r="G176">
            <v>0</v>
          </cell>
          <cell r="H176">
            <v>2392565</v>
          </cell>
          <cell r="I176">
            <v>6</v>
          </cell>
          <cell r="J176">
            <v>278400</v>
          </cell>
          <cell r="K176">
            <v>348000</v>
          </cell>
          <cell r="U176">
            <v>197</v>
          </cell>
          <cell r="AJ176">
            <v>45</v>
          </cell>
          <cell r="AK176">
            <v>2071200</v>
          </cell>
          <cell r="AN176">
            <v>11426000</v>
          </cell>
          <cell r="AO176">
            <v>2610000</v>
          </cell>
        </row>
        <row r="177">
          <cell r="A177" t="str">
            <v>X</v>
          </cell>
          <cell r="B177" t="str">
            <v>I</v>
          </cell>
          <cell r="C177" t="str">
            <v>ACC</v>
          </cell>
          <cell r="E177" t="str">
            <v>2</v>
          </cell>
          <cell r="F177" t="str">
            <v>W</v>
          </cell>
          <cell r="G177">
            <v>0</v>
          </cell>
          <cell r="H177">
            <v>1202355</v>
          </cell>
          <cell r="I177">
            <v>2</v>
          </cell>
          <cell r="J177">
            <v>92800</v>
          </cell>
          <cell r="K177">
            <v>116000</v>
          </cell>
          <cell r="U177">
            <v>99</v>
          </cell>
          <cell r="AJ177">
            <v>29</v>
          </cell>
          <cell r="AK177">
            <v>1348800</v>
          </cell>
          <cell r="AN177">
            <v>5742000</v>
          </cell>
          <cell r="AO177">
            <v>1682000</v>
          </cell>
        </row>
        <row r="178">
          <cell r="A178" t="str">
            <v>X</v>
          </cell>
          <cell r="B178" t="str">
            <v>I</v>
          </cell>
          <cell r="C178" t="str">
            <v>ACC</v>
          </cell>
          <cell r="E178" t="str">
            <v>2</v>
          </cell>
          <cell r="F178" t="str">
            <v>W</v>
          </cell>
          <cell r="G178">
            <v>1</v>
          </cell>
          <cell r="H178">
            <v>1660605</v>
          </cell>
          <cell r="I178">
            <v>7</v>
          </cell>
          <cell r="J178">
            <v>294800</v>
          </cell>
          <cell r="K178">
            <v>406000</v>
          </cell>
          <cell r="U178">
            <v>149</v>
          </cell>
          <cell r="AJ178">
            <v>45</v>
          </cell>
          <cell r="AK178">
            <v>2081200</v>
          </cell>
          <cell r="AN178">
            <v>8642000</v>
          </cell>
          <cell r="AO178">
            <v>2610000</v>
          </cell>
        </row>
        <row r="179">
          <cell r="A179" t="str">
            <v>X</v>
          </cell>
          <cell r="B179" t="str">
            <v>I</v>
          </cell>
          <cell r="C179" t="str">
            <v>ACC</v>
          </cell>
          <cell r="E179" t="str">
            <v>2</v>
          </cell>
          <cell r="F179" t="str">
            <v>W</v>
          </cell>
          <cell r="G179">
            <v>1</v>
          </cell>
          <cell r="H179">
            <v>1400355</v>
          </cell>
          <cell r="I179">
            <v>1</v>
          </cell>
          <cell r="J179">
            <v>49600</v>
          </cell>
          <cell r="K179">
            <v>62000</v>
          </cell>
          <cell r="U179">
            <v>99</v>
          </cell>
          <cell r="AJ179">
            <v>36</v>
          </cell>
          <cell r="AK179">
            <v>1720400</v>
          </cell>
          <cell r="AN179">
            <v>6138000</v>
          </cell>
          <cell r="AO179">
            <v>2232000</v>
          </cell>
        </row>
        <row r="180">
          <cell r="A180" t="str">
            <v>X</v>
          </cell>
          <cell r="B180" t="str">
            <v>I</v>
          </cell>
          <cell r="C180" t="str">
            <v>ACC</v>
          </cell>
          <cell r="E180" t="str">
            <v>2</v>
          </cell>
          <cell r="F180" t="str">
            <v>W</v>
          </cell>
          <cell r="G180">
            <v>1</v>
          </cell>
          <cell r="H180">
            <v>2814855</v>
          </cell>
          <cell r="I180">
            <v>6</v>
          </cell>
          <cell r="J180">
            <v>267600</v>
          </cell>
          <cell r="K180">
            <v>372000</v>
          </cell>
          <cell r="U180">
            <v>199</v>
          </cell>
          <cell r="AJ180">
            <v>87</v>
          </cell>
          <cell r="AK180">
            <v>4107600</v>
          </cell>
          <cell r="AN180">
            <v>12338000</v>
          </cell>
          <cell r="AO180">
            <v>5394000</v>
          </cell>
        </row>
        <row r="181">
          <cell r="A181" t="str">
            <v>X</v>
          </cell>
          <cell r="B181" t="str">
            <v>I</v>
          </cell>
          <cell r="C181" t="str">
            <v>ACC</v>
          </cell>
          <cell r="E181" t="str">
            <v>2</v>
          </cell>
          <cell r="F181" t="str">
            <v>W</v>
          </cell>
          <cell r="G181">
            <v>0</v>
          </cell>
          <cell r="H181">
            <v>3493815</v>
          </cell>
          <cell r="I181">
            <v>10</v>
          </cell>
          <cell r="J181">
            <v>496000</v>
          </cell>
          <cell r="K181">
            <v>620000</v>
          </cell>
          <cell r="U181">
            <v>247</v>
          </cell>
          <cell r="AJ181">
            <v>134</v>
          </cell>
          <cell r="AK181">
            <v>6416000</v>
          </cell>
          <cell r="AN181">
            <v>15314000</v>
          </cell>
          <cell r="AO181">
            <v>8308000</v>
          </cell>
        </row>
        <row r="182">
          <cell r="A182" t="str">
            <v>X</v>
          </cell>
          <cell r="B182" t="str">
            <v>I</v>
          </cell>
          <cell r="C182" t="str">
            <v>ACC</v>
          </cell>
          <cell r="E182" t="str">
            <v>2</v>
          </cell>
          <cell r="F182" t="str">
            <v>W</v>
          </cell>
          <cell r="G182">
            <v>1</v>
          </cell>
          <cell r="H182">
            <v>1456395</v>
          </cell>
          <cell r="I182">
            <v>5</v>
          </cell>
          <cell r="J182">
            <v>178000</v>
          </cell>
          <cell r="K182">
            <v>260000</v>
          </cell>
          <cell r="U182">
            <v>151</v>
          </cell>
          <cell r="AJ182">
            <v>56</v>
          </cell>
          <cell r="AK182">
            <v>2270800</v>
          </cell>
          <cell r="AN182">
            <v>7852000</v>
          </cell>
          <cell r="AO182">
            <v>2912000</v>
          </cell>
        </row>
        <row r="183">
          <cell r="A183" t="str">
            <v>X</v>
          </cell>
          <cell r="B183" t="str">
            <v>I</v>
          </cell>
          <cell r="C183" t="str">
            <v>ACC</v>
          </cell>
          <cell r="E183" t="str">
            <v>2</v>
          </cell>
          <cell r="F183" t="str">
            <v>W</v>
          </cell>
          <cell r="G183">
            <v>0</v>
          </cell>
          <cell r="H183">
            <v>1919355</v>
          </cell>
          <cell r="I183">
            <v>4</v>
          </cell>
          <cell r="J183">
            <v>166400</v>
          </cell>
          <cell r="K183">
            <v>208000</v>
          </cell>
          <cell r="U183">
            <v>199</v>
          </cell>
          <cell r="AJ183">
            <v>81</v>
          </cell>
          <cell r="AK183">
            <v>3311200</v>
          </cell>
          <cell r="AN183">
            <v>10348000</v>
          </cell>
          <cell r="AO183">
            <v>4212000</v>
          </cell>
        </row>
        <row r="184">
          <cell r="A184" t="str">
            <v>X</v>
          </cell>
          <cell r="B184" t="str">
            <v>I</v>
          </cell>
          <cell r="C184" t="str">
            <v>ACC</v>
          </cell>
          <cell r="E184" t="str">
            <v>2</v>
          </cell>
          <cell r="F184" t="str">
            <v>W</v>
          </cell>
          <cell r="G184">
            <v>1</v>
          </cell>
          <cell r="H184">
            <v>2217855</v>
          </cell>
          <cell r="I184">
            <v>5</v>
          </cell>
          <cell r="J184">
            <v>208000</v>
          </cell>
          <cell r="K184">
            <v>260000</v>
          </cell>
          <cell r="U184">
            <v>199</v>
          </cell>
          <cell r="AJ184">
            <v>93</v>
          </cell>
          <cell r="AK184">
            <v>3790800</v>
          </cell>
          <cell r="AN184">
            <v>10348000</v>
          </cell>
          <cell r="AO184">
            <v>4836000</v>
          </cell>
        </row>
        <row r="185">
          <cell r="A185" t="str">
            <v>X</v>
          </cell>
          <cell r="B185" t="str">
            <v>I</v>
          </cell>
          <cell r="C185" t="str">
            <v>ACC</v>
          </cell>
          <cell r="E185" t="str">
            <v>2</v>
          </cell>
          <cell r="F185" t="str">
            <v>W</v>
          </cell>
          <cell r="G185">
            <v>1</v>
          </cell>
          <cell r="H185">
            <v>2331105</v>
          </cell>
          <cell r="I185">
            <v>6</v>
          </cell>
          <cell r="J185">
            <v>312800</v>
          </cell>
          <cell r="K185">
            <v>408000</v>
          </cell>
          <cell r="U185">
            <v>149</v>
          </cell>
          <cell r="AJ185">
            <v>66</v>
          </cell>
          <cell r="AK185">
            <v>3571200</v>
          </cell>
          <cell r="AN185">
            <v>10132000</v>
          </cell>
          <cell r="AO185">
            <v>4488000</v>
          </cell>
        </row>
        <row r="186">
          <cell r="A186" t="str">
            <v>X</v>
          </cell>
          <cell r="B186" t="str">
            <v>I</v>
          </cell>
          <cell r="C186" t="str">
            <v>T커머스</v>
          </cell>
          <cell r="E186" t="str">
            <v>2</v>
          </cell>
          <cell r="F186" t="str">
            <v>1</v>
          </cell>
          <cell r="G186">
            <v>1</v>
          </cell>
          <cell r="H186">
            <v>18095568</v>
          </cell>
          <cell r="I186">
            <v>31</v>
          </cell>
          <cell r="J186">
            <v>1209000</v>
          </cell>
          <cell r="K186">
            <v>3038000</v>
          </cell>
          <cell r="U186">
            <v>1488</v>
          </cell>
          <cell r="AJ186">
            <v>142</v>
          </cell>
          <cell r="AK186">
            <v>5990600</v>
          </cell>
          <cell r="AN186">
            <v>145824000</v>
          </cell>
          <cell r="AO186">
            <v>13916000</v>
          </cell>
        </row>
        <row r="187">
          <cell r="A187" t="str">
            <v>X</v>
          </cell>
          <cell r="B187" t="str">
            <v>I</v>
          </cell>
          <cell r="C187" t="str">
            <v>T커머스</v>
          </cell>
          <cell r="E187" t="str">
            <v>2</v>
          </cell>
          <cell r="F187" t="str">
            <v>1</v>
          </cell>
          <cell r="G187">
            <v>1</v>
          </cell>
          <cell r="H187">
            <v>18067378</v>
          </cell>
          <cell r="I187">
            <v>6</v>
          </cell>
          <cell r="J187">
            <v>294000</v>
          </cell>
          <cell r="K187">
            <v>708000</v>
          </cell>
          <cell r="U187">
            <v>1498</v>
          </cell>
          <cell r="AJ187">
            <v>30</v>
          </cell>
          <cell r="AK187">
            <v>1538200</v>
          </cell>
          <cell r="AN187">
            <v>176764000</v>
          </cell>
          <cell r="AO187">
            <v>3540000</v>
          </cell>
        </row>
        <row r="188">
          <cell r="A188" t="str">
            <v>X</v>
          </cell>
          <cell r="B188" t="str">
            <v>I</v>
          </cell>
          <cell r="C188" t="str">
            <v>T커머스</v>
          </cell>
          <cell r="E188" t="str">
            <v>2</v>
          </cell>
          <cell r="F188" t="str">
            <v>1</v>
          </cell>
          <cell r="G188">
            <v>1</v>
          </cell>
          <cell r="H188">
            <v>18108865</v>
          </cell>
          <cell r="I188">
            <v>16</v>
          </cell>
          <cell r="J188">
            <v>784000</v>
          </cell>
          <cell r="K188">
            <v>2208000</v>
          </cell>
          <cell r="U188">
            <v>1465</v>
          </cell>
          <cell r="AJ188">
            <v>124</v>
          </cell>
          <cell r="AK188">
            <v>7250100</v>
          </cell>
          <cell r="AN188">
            <v>202170000</v>
          </cell>
          <cell r="AO188">
            <v>17112000</v>
          </cell>
        </row>
        <row r="189">
          <cell r="A189" t="str">
            <v>X</v>
          </cell>
          <cell r="B189" t="str">
            <v>I</v>
          </cell>
          <cell r="C189" t="str">
            <v>T커머스</v>
          </cell>
          <cell r="E189" t="str">
            <v>2</v>
          </cell>
          <cell r="F189" t="str">
            <v>1</v>
          </cell>
          <cell r="G189">
            <v>1</v>
          </cell>
          <cell r="H189">
            <v>24154812</v>
          </cell>
          <cell r="I189">
            <v>0</v>
          </cell>
          <cell r="J189">
            <v>0</v>
          </cell>
          <cell r="K189">
            <v>0</v>
          </cell>
          <cell r="U189">
            <v>1991</v>
          </cell>
          <cell r="AJ189">
            <v>168</v>
          </cell>
          <cell r="AK189">
            <v>4912996</v>
          </cell>
          <cell r="AN189">
            <v>195118000</v>
          </cell>
          <cell r="AO189">
            <v>16464000</v>
          </cell>
        </row>
        <row r="190">
          <cell r="A190" t="str">
            <v>X</v>
          </cell>
          <cell r="B190" t="str">
            <v>I</v>
          </cell>
          <cell r="C190" t="str">
            <v>T커머스</v>
          </cell>
          <cell r="E190" t="str">
            <v>2</v>
          </cell>
          <cell r="F190" t="str">
            <v>1</v>
          </cell>
          <cell r="G190">
            <v>1</v>
          </cell>
          <cell r="H190">
            <v>24553012</v>
          </cell>
          <cell r="I190">
            <v>0</v>
          </cell>
          <cell r="J190">
            <v>0</v>
          </cell>
          <cell r="K190">
            <v>0</v>
          </cell>
          <cell r="U190">
            <v>1991</v>
          </cell>
          <cell r="AJ190">
            <v>167</v>
          </cell>
          <cell r="AK190">
            <v>4868896</v>
          </cell>
          <cell r="AN190">
            <v>195118000</v>
          </cell>
          <cell r="AO190">
            <v>16366000</v>
          </cell>
        </row>
        <row r="191">
          <cell r="A191" t="str">
            <v>X</v>
          </cell>
          <cell r="B191" t="str">
            <v>I</v>
          </cell>
          <cell r="C191" t="str">
            <v>T커머스</v>
          </cell>
          <cell r="E191" t="str">
            <v>2</v>
          </cell>
          <cell r="F191" t="str">
            <v>1</v>
          </cell>
          <cell r="G191">
            <v>1</v>
          </cell>
          <cell r="H191">
            <v>24064000</v>
          </cell>
          <cell r="I191">
            <v>0</v>
          </cell>
          <cell r="J191">
            <v>0</v>
          </cell>
          <cell r="K191">
            <v>0</v>
          </cell>
          <cell r="U191">
            <v>2000</v>
          </cell>
          <cell r="AJ191">
            <v>168</v>
          </cell>
          <cell r="AK191">
            <v>4951796</v>
          </cell>
          <cell r="AN191">
            <v>236000000</v>
          </cell>
          <cell r="AO191">
            <v>19824000</v>
          </cell>
        </row>
        <row r="192">
          <cell r="A192" t="str">
            <v>X</v>
          </cell>
          <cell r="B192" t="str">
            <v>I</v>
          </cell>
          <cell r="C192" t="str">
            <v>T커머스</v>
          </cell>
          <cell r="E192" t="str">
            <v>2</v>
          </cell>
          <cell r="F192" t="str">
            <v>7</v>
          </cell>
          <cell r="G192">
            <v>1</v>
          </cell>
          <cell r="H192">
            <v>22331447</v>
          </cell>
          <cell r="I192">
            <v>-1</v>
          </cell>
          <cell r="J192">
            <v>-53100</v>
          </cell>
          <cell r="K192">
            <v>-118000</v>
          </cell>
          <cell r="U192">
            <v>2003</v>
          </cell>
          <cell r="AJ192">
            <v>347</v>
          </cell>
          <cell r="AK192">
            <v>9950917</v>
          </cell>
          <cell r="AN192">
            <v>236354000</v>
          </cell>
          <cell r="AO192">
            <v>40946000</v>
          </cell>
        </row>
        <row r="193">
          <cell r="A193" t="str">
            <v>X</v>
          </cell>
          <cell r="B193" t="str">
            <v>I</v>
          </cell>
          <cell r="C193" t="str">
            <v>T커머스</v>
          </cell>
          <cell r="E193" t="str">
            <v>2</v>
          </cell>
          <cell r="F193" t="str">
            <v>7</v>
          </cell>
          <cell r="G193">
            <v>1</v>
          </cell>
          <cell r="H193">
            <v>21224754</v>
          </cell>
          <cell r="I193">
            <v>81</v>
          </cell>
          <cell r="J193">
            <v>5030100</v>
          </cell>
          <cell r="K193">
            <v>11178000</v>
          </cell>
          <cell r="U193">
            <v>1998</v>
          </cell>
          <cell r="AJ193">
            <v>505</v>
          </cell>
          <cell r="AK193">
            <v>32288410</v>
          </cell>
          <cell r="AN193">
            <v>275724000</v>
          </cell>
          <cell r="AO193">
            <v>69690000</v>
          </cell>
        </row>
        <row r="194">
          <cell r="A194" t="str">
            <v>X</v>
          </cell>
          <cell r="B194" t="str">
            <v>I</v>
          </cell>
          <cell r="C194" t="str">
            <v>T커머스</v>
          </cell>
          <cell r="E194" t="str">
            <v>2</v>
          </cell>
          <cell r="F194" t="str">
            <v>7</v>
          </cell>
          <cell r="G194">
            <v>1</v>
          </cell>
          <cell r="H194">
            <v>24930846</v>
          </cell>
          <cell r="I194">
            <v>1</v>
          </cell>
          <cell r="J194">
            <v>62100</v>
          </cell>
          <cell r="K194">
            <v>138000</v>
          </cell>
          <cell r="U194">
            <v>1966</v>
          </cell>
          <cell r="AJ194">
            <v>350</v>
          </cell>
          <cell r="AK194">
            <v>10160017</v>
          </cell>
          <cell r="AN194">
            <v>271308000</v>
          </cell>
          <cell r="AO194">
            <v>48300000</v>
          </cell>
        </row>
        <row r="195">
          <cell r="A195" t="str">
            <v>X</v>
          </cell>
          <cell r="B195" t="str">
            <v>I</v>
          </cell>
          <cell r="C195" t="str">
            <v>의류</v>
          </cell>
          <cell r="E195" t="str">
            <v>1</v>
          </cell>
          <cell r="F195" t="str">
            <v>1</v>
          </cell>
          <cell r="G195">
            <v>1</v>
          </cell>
          <cell r="H195">
            <v>3504930</v>
          </cell>
          <cell r="I195">
            <v>2</v>
          </cell>
          <cell r="J195">
            <v>124200</v>
          </cell>
          <cell r="K195">
            <v>276000</v>
          </cell>
          <cell r="U195">
            <v>165</v>
          </cell>
          <cell r="AJ195">
            <v>92</v>
          </cell>
          <cell r="AK195">
            <v>6006900</v>
          </cell>
          <cell r="AN195">
            <v>22770000</v>
          </cell>
          <cell r="AO195">
            <v>12696000</v>
          </cell>
        </row>
        <row r="196">
          <cell r="A196" t="str">
            <v>X</v>
          </cell>
          <cell r="B196" t="str">
            <v>I</v>
          </cell>
          <cell r="C196" t="str">
            <v>의류</v>
          </cell>
          <cell r="E196" t="str">
            <v>1</v>
          </cell>
          <cell r="F196" t="str">
            <v>1</v>
          </cell>
          <cell r="G196">
            <v>0</v>
          </cell>
          <cell r="H196">
            <v>3717350</v>
          </cell>
          <cell r="I196">
            <v>1</v>
          </cell>
          <cell r="J196">
            <v>69000</v>
          </cell>
          <cell r="K196">
            <v>138000</v>
          </cell>
          <cell r="U196">
            <v>175</v>
          </cell>
          <cell r="AJ196">
            <v>86</v>
          </cell>
          <cell r="AK196">
            <v>5801200</v>
          </cell>
          <cell r="AN196">
            <v>24150000</v>
          </cell>
          <cell r="AO196">
            <v>11868000</v>
          </cell>
        </row>
        <row r="197">
          <cell r="A197" t="str">
            <v>X</v>
          </cell>
          <cell r="B197" t="str">
            <v>I</v>
          </cell>
          <cell r="C197" t="str">
            <v>의류</v>
          </cell>
          <cell r="E197" t="str">
            <v>1</v>
          </cell>
          <cell r="F197" t="str">
            <v>1</v>
          </cell>
          <cell r="G197">
            <v>1</v>
          </cell>
          <cell r="H197">
            <v>6523738</v>
          </cell>
          <cell r="I197">
            <v>2</v>
          </cell>
          <cell r="J197">
            <v>142200</v>
          </cell>
          <cell r="K197">
            <v>316000</v>
          </cell>
          <cell r="U197">
            <v>338</v>
          </cell>
          <cell r="AJ197">
            <v>186</v>
          </cell>
          <cell r="AK197">
            <v>14244900</v>
          </cell>
          <cell r="AN197">
            <v>53404000</v>
          </cell>
          <cell r="AO197">
            <v>29388000</v>
          </cell>
        </row>
        <row r="198">
          <cell r="A198" t="str">
            <v>X</v>
          </cell>
          <cell r="B198" t="str">
            <v>I</v>
          </cell>
          <cell r="C198" t="str">
            <v>의류</v>
          </cell>
          <cell r="E198" t="str">
            <v>1</v>
          </cell>
          <cell r="F198" t="str">
            <v>1</v>
          </cell>
          <cell r="G198">
            <v>0</v>
          </cell>
          <cell r="H198">
            <v>3435578</v>
          </cell>
          <cell r="I198">
            <v>0</v>
          </cell>
          <cell r="J198">
            <v>0</v>
          </cell>
          <cell r="K198">
            <v>0</v>
          </cell>
          <cell r="U198">
            <v>178</v>
          </cell>
          <cell r="AJ198">
            <v>89</v>
          </cell>
          <cell r="AK198">
            <v>6858800</v>
          </cell>
          <cell r="AN198">
            <v>28124000</v>
          </cell>
          <cell r="AO198">
            <v>14062000</v>
          </cell>
        </row>
        <row r="199">
          <cell r="A199" t="str">
            <v>X</v>
          </cell>
          <cell r="B199" t="str">
            <v>I</v>
          </cell>
          <cell r="C199" t="str">
            <v>의류</v>
          </cell>
          <cell r="E199" t="str">
            <v>1</v>
          </cell>
          <cell r="F199" t="str">
            <v>1</v>
          </cell>
          <cell r="G199">
            <v>1</v>
          </cell>
          <cell r="H199">
            <v>5128653</v>
          </cell>
          <cell r="I199">
            <v>0</v>
          </cell>
          <cell r="J199">
            <v>0</v>
          </cell>
          <cell r="K199">
            <v>0</v>
          </cell>
          <cell r="U199">
            <v>249</v>
          </cell>
          <cell r="AJ199">
            <v>21</v>
          </cell>
          <cell r="AK199">
            <v>1611600</v>
          </cell>
          <cell r="AN199">
            <v>39342000</v>
          </cell>
          <cell r="AO199">
            <v>3318000</v>
          </cell>
        </row>
        <row r="200">
          <cell r="A200" t="str">
            <v>X</v>
          </cell>
          <cell r="B200" t="str">
            <v>I</v>
          </cell>
          <cell r="C200" t="str">
            <v>의류</v>
          </cell>
          <cell r="E200" t="str">
            <v>1</v>
          </cell>
          <cell r="F200" t="str">
            <v>1</v>
          </cell>
          <cell r="G200">
            <v>0</v>
          </cell>
          <cell r="H200">
            <v>5767160</v>
          </cell>
          <cell r="I200">
            <v>0</v>
          </cell>
          <cell r="J200">
            <v>0</v>
          </cell>
          <cell r="K200">
            <v>0</v>
          </cell>
          <cell r="U200">
            <v>280</v>
          </cell>
          <cell r="AJ200">
            <v>36</v>
          </cell>
          <cell r="AK200">
            <v>2730300</v>
          </cell>
          <cell r="AN200">
            <v>44240000</v>
          </cell>
          <cell r="AO200">
            <v>5688000</v>
          </cell>
        </row>
        <row r="201">
          <cell r="A201" t="str">
            <v>X</v>
          </cell>
          <cell r="B201" t="str">
            <v>I</v>
          </cell>
          <cell r="C201" t="str">
            <v>의류</v>
          </cell>
          <cell r="E201" t="str">
            <v>1</v>
          </cell>
          <cell r="F201" t="str">
            <v>1</v>
          </cell>
          <cell r="G201">
            <v>1</v>
          </cell>
          <cell r="H201">
            <v>4736966</v>
          </cell>
          <cell r="I201">
            <v>3</v>
          </cell>
          <cell r="J201">
            <v>213300</v>
          </cell>
          <cell r="K201">
            <v>474000</v>
          </cell>
          <cell r="U201">
            <v>223</v>
          </cell>
          <cell r="AJ201">
            <v>86</v>
          </cell>
          <cell r="AK201">
            <v>6419600</v>
          </cell>
          <cell r="AN201">
            <v>35234000</v>
          </cell>
          <cell r="AO201">
            <v>13588000</v>
          </cell>
        </row>
        <row r="202">
          <cell r="A202" t="str">
            <v>X</v>
          </cell>
          <cell r="B202" t="str">
            <v>I</v>
          </cell>
          <cell r="C202" t="str">
            <v>의류</v>
          </cell>
          <cell r="E202" t="str">
            <v>2</v>
          </cell>
          <cell r="F202" t="str">
            <v>1</v>
          </cell>
          <cell r="G202">
            <v>1</v>
          </cell>
          <cell r="H202">
            <v>7209510</v>
          </cell>
          <cell r="I202">
            <v>3</v>
          </cell>
          <cell r="J202">
            <v>147000</v>
          </cell>
          <cell r="K202">
            <v>354000</v>
          </cell>
          <cell r="U202">
            <v>462</v>
          </cell>
          <cell r="AJ202">
            <v>70</v>
          </cell>
          <cell r="AK202">
            <v>3935750</v>
          </cell>
          <cell r="AN202">
            <v>54516000</v>
          </cell>
          <cell r="AO202">
            <v>8260000</v>
          </cell>
        </row>
        <row r="203">
          <cell r="A203" t="str">
            <v>X</v>
          </cell>
          <cell r="B203" t="str">
            <v>I</v>
          </cell>
          <cell r="C203" t="str">
            <v>의류</v>
          </cell>
          <cell r="E203" t="str">
            <v>2</v>
          </cell>
          <cell r="F203" t="str">
            <v>1</v>
          </cell>
          <cell r="G203">
            <v>0</v>
          </cell>
          <cell r="H203">
            <v>7240720</v>
          </cell>
          <cell r="I203">
            <v>11</v>
          </cell>
          <cell r="J203">
            <v>539000</v>
          </cell>
          <cell r="K203">
            <v>1298000</v>
          </cell>
          <cell r="U203">
            <v>464</v>
          </cell>
          <cell r="AJ203">
            <v>86</v>
          </cell>
          <cell r="AK203">
            <v>4723200</v>
          </cell>
          <cell r="AN203">
            <v>54752000</v>
          </cell>
          <cell r="AO203">
            <v>10148000</v>
          </cell>
        </row>
        <row r="204">
          <cell r="A204" t="str">
            <v>X</v>
          </cell>
          <cell r="B204" t="str">
            <v>I</v>
          </cell>
          <cell r="C204" t="str">
            <v>의류</v>
          </cell>
          <cell r="E204" t="str">
            <v>2</v>
          </cell>
          <cell r="F204" t="str">
            <v>1</v>
          </cell>
          <cell r="G204">
            <v>1</v>
          </cell>
          <cell r="H204">
            <v>2650314</v>
          </cell>
          <cell r="I204">
            <v>3</v>
          </cell>
          <cell r="J204">
            <v>180100</v>
          </cell>
          <cell r="K204">
            <v>414000</v>
          </cell>
          <cell r="U204">
            <v>186</v>
          </cell>
          <cell r="AJ204">
            <v>21</v>
          </cell>
          <cell r="AK204">
            <v>1378300</v>
          </cell>
          <cell r="AN204">
            <v>25668000</v>
          </cell>
          <cell r="AO204">
            <v>2898000</v>
          </cell>
        </row>
        <row r="205">
          <cell r="A205" t="str">
            <v>X</v>
          </cell>
          <cell r="B205" t="str">
            <v>I</v>
          </cell>
          <cell r="C205" t="str">
            <v>의류</v>
          </cell>
          <cell r="E205" t="str">
            <v>2</v>
          </cell>
          <cell r="F205" t="str">
            <v>1</v>
          </cell>
          <cell r="G205">
            <v>0</v>
          </cell>
          <cell r="H205">
            <v>3476756</v>
          </cell>
          <cell r="I205">
            <v>0</v>
          </cell>
          <cell r="J205">
            <v>0</v>
          </cell>
          <cell r="K205">
            <v>0</v>
          </cell>
          <cell r="U205">
            <v>244</v>
          </cell>
          <cell r="AJ205">
            <v>19</v>
          </cell>
          <cell r="AK205">
            <v>1197200</v>
          </cell>
          <cell r="AN205">
            <v>33672000</v>
          </cell>
          <cell r="AO205">
            <v>2622000</v>
          </cell>
        </row>
        <row r="206">
          <cell r="A206" t="str">
            <v>X</v>
          </cell>
          <cell r="B206" t="str">
            <v>I</v>
          </cell>
          <cell r="C206" t="str">
            <v>의류</v>
          </cell>
          <cell r="E206" t="str">
            <v>2</v>
          </cell>
          <cell r="F206" t="str">
            <v>1</v>
          </cell>
          <cell r="G206">
            <v>1</v>
          </cell>
          <cell r="H206">
            <v>6662103</v>
          </cell>
          <cell r="I206">
            <v>6</v>
          </cell>
          <cell r="J206">
            <v>347100</v>
          </cell>
          <cell r="K206">
            <v>828000</v>
          </cell>
          <cell r="U206">
            <v>399</v>
          </cell>
          <cell r="AJ206">
            <v>92</v>
          </cell>
          <cell r="AK206">
            <v>6155200</v>
          </cell>
          <cell r="AN206">
            <v>55062000</v>
          </cell>
          <cell r="AO206">
            <v>12696000</v>
          </cell>
        </row>
        <row r="207">
          <cell r="A207" t="str">
            <v>X</v>
          </cell>
          <cell r="B207" t="str">
            <v>I</v>
          </cell>
          <cell r="C207" t="str">
            <v>의류</v>
          </cell>
          <cell r="E207" t="str">
            <v>2</v>
          </cell>
          <cell r="F207" t="str">
            <v>1</v>
          </cell>
          <cell r="G207">
            <v>1</v>
          </cell>
          <cell r="H207">
            <v>4410300</v>
          </cell>
          <cell r="I207">
            <v>0</v>
          </cell>
          <cell r="J207">
            <v>0</v>
          </cell>
          <cell r="K207">
            <v>0</v>
          </cell>
          <cell r="U207">
            <v>305</v>
          </cell>
          <cell r="AJ207">
            <v>22</v>
          </cell>
          <cell r="AK207">
            <v>1262100</v>
          </cell>
          <cell r="AN207">
            <v>35990000</v>
          </cell>
          <cell r="AO207">
            <v>2596000</v>
          </cell>
        </row>
        <row r="208">
          <cell r="A208" t="str">
            <v>X</v>
          </cell>
          <cell r="B208" t="str">
            <v>I</v>
          </cell>
          <cell r="C208" t="str">
            <v>의류</v>
          </cell>
          <cell r="E208" t="str">
            <v>2</v>
          </cell>
          <cell r="F208" t="str">
            <v>1</v>
          </cell>
          <cell r="G208">
            <v>0</v>
          </cell>
          <cell r="H208">
            <v>6174420</v>
          </cell>
          <cell r="I208">
            <v>4</v>
          </cell>
          <cell r="J208">
            <v>230100</v>
          </cell>
          <cell r="K208">
            <v>472000</v>
          </cell>
          <cell r="U208">
            <v>427</v>
          </cell>
          <cell r="AJ208">
            <v>46</v>
          </cell>
          <cell r="AK208">
            <v>2612700</v>
          </cell>
          <cell r="AN208">
            <v>50386000</v>
          </cell>
          <cell r="AO208">
            <v>5428000</v>
          </cell>
        </row>
        <row r="209">
          <cell r="A209" t="str">
            <v>X</v>
          </cell>
          <cell r="B209" t="str">
            <v>I</v>
          </cell>
          <cell r="C209" t="str">
            <v>의류</v>
          </cell>
          <cell r="E209" t="str">
            <v>2</v>
          </cell>
          <cell r="F209" t="str">
            <v>1</v>
          </cell>
          <cell r="G209">
            <v>1</v>
          </cell>
          <cell r="H209">
            <v>7489482</v>
          </cell>
          <cell r="I209">
            <v>10</v>
          </cell>
          <cell r="J209">
            <v>712600</v>
          </cell>
          <cell r="K209">
            <v>1580000</v>
          </cell>
          <cell r="U209">
            <v>429</v>
          </cell>
          <cell r="AJ209">
            <v>163</v>
          </cell>
          <cell r="AK209">
            <v>12118400</v>
          </cell>
          <cell r="AN209">
            <v>67782000</v>
          </cell>
          <cell r="AO209">
            <v>25754000</v>
          </cell>
        </row>
        <row r="210">
          <cell r="A210" t="str">
            <v>X</v>
          </cell>
          <cell r="B210" t="str">
            <v>I</v>
          </cell>
          <cell r="C210" t="str">
            <v>의류</v>
          </cell>
          <cell r="E210" t="str">
            <v>2</v>
          </cell>
          <cell r="F210" t="str">
            <v>1</v>
          </cell>
          <cell r="G210">
            <v>0</v>
          </cell>
          <cell r="H210">
            <v>5691308</v>
          </cell>
          <cell r="I210">
            <v>4</v>
          </cell>
          <cell r="J210">
            <v>308100</v>
          </cell>
          <cell r="K210">
            <v>632000</v>
          </cell>
          <cell r="U210">
            <v>326</v>
          </cell>
          <cell r="AJ210">
            <v>51</v>
          </cell>
          <cell r="AK210">
            <v>3843200</v>
          </cell>
          <cell r="AN210">
            <v>51508000</v>
          </cell>
          <cell r="AO210">
            <v>8058000</v>
          </cell>
        </row>
        <row r="211">
          <cell r="A211" t="str">
            <v>X</v>
          </cell>
          <cell r="B211" t="str">
            <v>I</v>
          </cell>
          <cell r="C211" t="str">
            <v>의류</v>
          </cell>
          <cell r="E211" t="str">
            <v>2</v>
          </cell>
          <cell r="F211" t="str">
            <v>1</v>
          </cell>
          <cell r="G211">
            <v>1</v>
          </cell>
          <cell r="H211">
            <v>7663992</v>
          </cell>
          <cell r="I211">
            <v>2</v>
          </cell>
          <cell r="J211">
            <v>150100</v>
          </cell>
          <cell r="K211">
            <v>316000</v>
          </cell>
          <cell r="U211">
            <v>392</v>
          </cell>
          <cell r="AJ211">
            <v>17</v>
          </cell>
          <cell r="AK211">
            <v>1211900</v>
          </cell>
          <cell r="AN211">
            <v>61936000</v>
          </cell>
          <cell r="AO211">
            <v>2686000</v>
          </cell>
        </row>
        <row r="212">
          <cell r="A212" t="str">
            <v>X</v>
          </cell>
          <cell r="B212" t="str">
            <v>I</v>
          </cell>
          <cell r="C212" t="str">
            <v>의류</v>
          </cell>
          <cell r="E212" t="str">
            <v>2</v>
          </cell>
          <cell r="F212" t="str">
            <v>1</v>
          </cell>
          <cell r="G212">
            <v>0</v>
          </cell>
          <cell r="H212">
            <v>11085417</v>
          </cell>
          <cell r="I212">
            <v>2</v>
          </cell>
          <cell r="J212">
            <v>158000</v>
          </cell>
          <cell r="K212">
            <v>316000</v>
          </cell>
          <cell r="U212">
            <v>567</v>
          </cell>
          <cell r="AJ212">
            <v>34</v>
          </cell>
          <cell r="AK212">
            <v>2389100</v>
          </cell>
          <cell r="AN212">
            <v>89586000</v>
          </cell>
          <cell r="AO212">
            <v>5372000</v>
          </cell>
        </row>
        <row r="213">
          <cell r="A213" t="str">
            <v>X</v>
          </cell>
          <cell r="B213" t="str">
            <v>I</v>
          </cell>
          <cell r="C213" t="str">
            <v>의류</v>
          </cell>
          <cell r="E213" t="str">
            <v>2</v>
          </cell>
          <cell r="F213" t="str">
            <v>1</v>
          </cell>
          <cell r="G213">
            <v>1</v>
          </cell>
          <cell r="H213">
            <v>5840864</v>
          </cell>
          <cell r="I213">
            <v>9</v>
          </cell>
          <cell r="J213">
            <v>600300</v>
          </cell>
          <cell r="K213">
            <v>1242000</v>
          </cell>
          <cell r="U213">
            <v>523</v>
          </cell>
          <cell r="AJ213">
            <v>48</v>
          </cell>
          <cell r="AK213">
            <v>3012300</v>
          </cell>
          <cell r="AN213">
            <v>72174000</v>
          </cell>
          <cell r="AO213">
            <v>6624000</v>
          </cell>
        </row>
        <row r="214">
          <cell r="A214" t="str">
            <v>X</v>
          </cell>
          <cell r="B214" t="str">
            <v>I</v>
          </cell>
          <cell r="C214" t="str">
            <v>의류</v>
          </cell>
          <cell r="E214" t="str">
            <v>2</v>
          </cell>
          <cell r="F214" t="str">
            <v>1</v>
          </cell>
          <cell r="G214">
            <v>0</v>
          </cell>
          <cell r="H214">
            <v>3462080</v>
          </cell>
          <cell r="I214">
            <v>9</v>
          </cell>
          <cell r="J214">
            <v>586500</v>
          </cell>
          <cell r="K214">
            <v>1242000</v>
          </cell>
          <cell r="U214">
            <v>310</v>
          </cell>
          <cell r="AJ214">
            <v>55</v>
          </cell>
          <cell r="AK214">
            <v>3547700</v>
          </cell>
          <cell r="AN214">
            <v>42780000</v>
          </cell>
          <cell r="AO214">
            <v>7590000</v>
          </cell>
        </row>
        <row r="215">
          <cell r="A215" t="str">
            <v>X</v>
          </cell>
          <cell r="B215" t="str">
            <v>I</v>
          </cell>
          <cell r="C215" t="str">
            <v>의류</v>
          </cell>
          <cell r="E215" t="str">
            <v>2</v>
          </cell>
          <cell r="F215" t="str">
            <v>1</v>
          </cell>
          <cell r="G215">
            <v>1</v>
          </cell>
          <cell r="H215">
            <v>10930082</v>
          </cell>
          <cell r="I215">
            <v>12</v>
          </cell>
          <cell r="J215">
            <v>784300</v>
          </cell>
          <cell r="K215">
            <v>1896000</v>
          </cell>
          <cell r="U215">
            <v>563</v>
          </cell>
          <cell r="AJ215">
            <v>110</v>
          </cell>
          <cell r="AK215">
            <v>8037200</v>
          </cell>
          <cell r="AN215">
            <v>88954000</v>
          </cell>
          <cell r="AO215">
            <v>17380000</v>
          </cell>
        </row>
        <row r="216">
          <cell r="A216" t="str">
            <v>X</v>
          </cell>
          <cell r="B216" t="str">
            <v>I</v>
          </cell>
          <cell r="C216" t="str">
            <v>의류</v>
          </cell>
          <cell r="E216" t="str">
            <v>2</v>
          </cell>
          <cell r="F216" t="str">
            <v>1</v>
          </cell>
          <cell r="G216">
            <v>0</v>
          </cell>
          <cell r="H216">
            <v>5358264</v>
          </cell>
          <cell r="I216">
            <v>4</v>
          </cell>
          <cell r="J216">
            <v>308100</v>
          </cell>
          <cell r="K216">
            <v>632000</v>
          </cell>
          <cell r="U216">
            <v>276</v>
          </cell>
          <cell r="AJ216">
            <v>51</v>
          </cell>
          <cell r="AK216">
            <v>3780500</v>
          </cell>
          <cell r="AN216">
            <v>43608000</v>
          </cell>
          <cell r="AO216">
            <v>8058000</v>
          </cell>
        </row>
        <row r="217">
          <cell r="A217" t="str">
            <v>X</v>
          </cell>
          <cell r="B217" t="str">
            <v>I</v>
          </cell>
          <cell r="C217" t="str">
            <v>의류</v>
          </cell>
          <cell r="E217" t="str">
            <v>2</v>
          </cell>
          <cell r="F217" t="str">
            <v>1</v>
          </cell>
          <cell r="G217">
            <v>1</v>
          </cell>
          <cell r="H217">
            <v>6722340</v>
          </cell>
          <cell r="I217">
            <v>18</v>
          </cell>
          <cell r="J217">
            <v>782600</v>
          </cell>
          <cell r="K217">
            <v>1764000</v>
          </cell>
          <cell r="U217">
            <v>724</v>
          </cell>
          <cell r="AJ217">
            <v>129</v>
          </cell>
          <cell r="AK217">
            <v>5786800</v>
          </cell>
          <cell r="AN217">
            <v>70952000</v>
          </cell>
          <cell r="AO217">
            <v>12642000</v>
          </cell>
        </row>
        <row r="218">
          <cell r="A218" t="str">
            <v>X</v>
          </cell>
          <cell r="B218" t="str">
            <v>I</v>
          </cell>
          <cell r="C218" t="str">
            <v>의류</v>
          </cell>
          <cell r="E218" t="str">
            <v>2</v>
          </cell>
          <cell r="F218" t="str">
            <v>1</v>
          </cell>
          <cell r="G218">
            <v>0</v>
          </cell>
          <cell r="H218">
            <v>3036195</v>
          </cell>
          <cell r="I218">
            <v>13</v>
          </cell>
          <cell r="J218">
            <v>557400</v>
          </cell>
          <cell r="K218">
            <v>1274000</v>
          </cell>
          <cell r="U218">
            <v>327</v>
          </cell>
          <cell r="AJ218">
            <v>66</v>
          </cell>
          <cell r="AK218">
            <v>2976800</v>
          </cell>
          <cell r="AN218">
            <v>32046000</v>
          </cell>
          <cell r="AO218">
            <v>6468000</v>
          </cell>
        </row>
        <row r="219">
          <cell r="A219" t="str">
            <v>X</v>
          </cell>
          <cell r="B219" t="str">
            <v>I</v>
          </cell>
          <cell r="C219" t="str">
            <v>의류</v>
          </cell>
          <cell r="E219" t="str">
            <v>2</v>
          </cell>
          <cell r="F219" t="str">
            <v>1</v>
          </cell>
          <cell r="G219">
            <v>0</v>
          </cell>
          <cell r="H219">
            <v>2804070</v>
          </cell>
          <cell r="I219">
            <v>11</v>
          </cell>
          <cell r="J219">
            <v>484500</v>
          </cell>
          <cell r="K219">
            <v>1078000</v>
          </cell>
          <cell r="U219">
            <v>302</v>
          </cell>
          <cell r="AJ219">
            <v>40</v>
          </cell>
          <cell r="AK219">
            <v>1811200</v>
          </cell>
          <cell r="AN219">
            <v>29596000</v>
          </cell>
          <cell r="AO219">
            <v>3920000</v>
          </cell>
        </row>
        <row r="220">
          <cell r="A220" t="str">
            <v>X</v>
          </cell>
          <cell r="B220" t="str">
            <v>I</v>
          </cell>
          <cell r="C220" t="str">
            <v>의류</v>
          </cell>
          <cell r="E220" t="str">
            <v>2</v>
          </cell>
          <cell r="F220" t="str">
            <v>1</v>
          </cell>
          <cell r="G220">
            <v>1</v>
          </cell>
          <cell r="H220">
            <v>7595896</v>
          </cell>
          <cell r="I220">
            <v>15</v>
          </cell>
          <cell r="J220">
            <v>1085500</v>
          </cell>
          <cell r="K220">
            <v>2370000</v>
          </cell>
          <cell r="U220">
            <v>472</v>
          </cell>
          <cell r="AJ220">
            <v>50</v>
          </cell>
          <cell r="AK220">
            <v>3626200</v>
          </cell>
          <cell r="AN220">
            <v>74576000</v>
          </cell>
          <cell r="AO220">
            <v>7900000</v>
          </cell>
        </row>
        <row r="221">
          <cell r="A221" t="str">
            <v>X</v>
          </cell>
          <cell r="B221" t="str">
            <v>I</v>
          </cell>
          <cell r="C221" t="str">
            <v>의류</v>
          </cell>
          <cell r="E221" t="str">
            <v>2</v>
          </cell>
          <cell r="F221" t="str">
            <v>1</v>
          </cell>
          <cell r="G221">
            <v>0</v>
          </cell>
          <cell r="H221">
            <v>5809573</v>
          </cell>
          <cell r="I221">
            <v>7</v>
          </cell>
          <cell r="J221">
            <v>485100</v>
          </cell>
          <cell r="K221">
            <v>1106000</v>
          </cell>
          <cell r="U221">
            <v>361</v>
          </cell>
          <cell r="AJ221">
            <v>28</v>
          </cell>
          <cell r="AK221">
            <v>2076700</v>
          </cell>
          <cell r="AN221">
            <v>57038000</v>
          </cell>
          <cell r="AO221">
            <v>4424000</v>
          </cell>
        </row>
        <row r="222">
          <cell r="A222" t="str">
            <v>X</v>
          </cell>
          <cell r="B222" t="str">
            <v>I</v>
          </cell>
          <cell r="C222" t="str">
            <v>의류</v>
          </cell>
          <cell r="E222" t="str">
            <v>2</v>
          </cell>
          <cell r="F222" t="str">
            <v>1</v>
          </cell>
          <cell r="G222">
            <v>0</v>
          </cell>
          <cell r="H222">
            <v>5021016</v>
          </cell>
          <cell r="I222">
            <v>2</v>
          </cell>
          <cell r="J222">
            <v>138000</v>
          </cell>
          <cell r="K222">
            <v>316000</v>
          </cell>
          <cell r="U222">
            <v>312</v>
          </cell>
          <cell r="AJ222">
            <v>6</v>
          </cell>
          <cell r="AK222">
            <v>446100</v>
          </cell>
          <cell r="AN222">
            <v>49296000</v>
          </cell>
          <cell r="AO222">
            <v>948000</v>
          </cell>
        </row>
        <row r="223">
          <cell r="A223" t="str">
            <v>X</v>
          </cell>
          <cell r="B223" t="str">
            <v>I</v>
          </cell>
          <cell r="C223" t="str">
            <v>의류</v>
          </cell>
          <cell r="E223" t="str">
            <v>1</v>
          </cell>
          <cell r="F223" t="str">
            <v>4</v>
          </cell>
          <cell r="G223">
            <v>1</v>
          </cell>
          <cell r="H223">
            <v>4946149</v>
          </cell>
          <cell r="I223">
            <v>0</v>
          </cell>
          <cell r="J223">
            <v>0</v>
          </cell>
          <cell r="K223">
            <v>0</v>
          </cell>
          <cell r="U223">
            <v>337</v>
          </cell>
          <cell r="AJ223">
            <v>54</v>
          </cell>
          <cell r="AK223">
            <v>4094400</v>
          </cell>
          <cell r="AN223">
            <v>53246000</v>
          </cell>
          <cell r="AO223">
            <v>8532000</v>
          </cell>
        </row>
        <row r="224">
          <cell r="A224" t="str">
            <v>X</v>
          </cell>
          <cell r="B224" t="str">
            <v>I</v>
          </cell>
          <cell r="C224" t="str">
            <v>의류</v>
          </cell>
          <cell r="E224" t="str">
            <v>1</v>
          </cell>
          <cell r="F224" t="str">
            <v>6</v>
          </cell>
          <cell r="G224">
            <v>1</v>
          </cell>
          <cell r="H224">
            <v>13924438</v>
          </cell>
          <cell r="I224">
            <v>0</v>
          </cell>
          <cell r="J224">
            <v>0</v>
          </cell>
          <cell r="K224">
            <v>0</v>
          </cell>
          <cell r="U224">
            <v>326</v>
          </cell>
          <cell r="AJ224">
            <v>87</v>
          </cell>
          <cell r="AK224">
            <v>13251400</v>
          </cell>
          <cell r="AN224">
            <v>103668000</v>
          </cell>
          <cell r="AO224">
            <v>27666000</v>
          </cell>
        </row>
        <row r="225">
          <cell r="A225" t="str">
            <v>X</v>
          </cell>
          <cell r="B225" t="str">
            <v>I</v>
          </cell>
          <cell r="C225" t="str">
            <v>의류</v>
          </cell>
          <cell r="E225" t="str">
            <v>2</v>
          </cell>
          <cell r="F225" t="str">
            <v>6</v>
          </cell>
          <cell r="G225">
            <v>1</v>
          </cell>
          <cell r="H225">
            <v>10700104</v>
          </cell>
          <cell r="I225">
            <v>3</v>
          </cell>
          <cell r="J225">
            <v>372100</v>
          </cell>
          <cell r="K225">
            <v>894000</v>
          </cell>
          <cell r="U225">
            <v>296</v>
          </cell>
          <cell r="AJ225">
            <v>101</v>
          </cell>
          <cell r="AK225">
            <v>14248645</v>
          </cell>
          <cell r="AN225">
            <v>88208000</v>
          </cell>
          <cell r="AO225">
            <v>30098000</v>
          </cell>
        </row>
        <row r="226">
          <cell r="A226" t="str">
            <v>X</v>
          </cell>
          <cell r="B226" t="str">
            <v>I</v>
          </cell>
          <cell r="C226" t="str">
            <v>의류</v>
          </cell>
          <cell r="E226" t="str">
            <v>2</v>
          </cell>
          <cell r="F226" t="str">
            <v>6</v>
          </cell>
          <cell r="G226">
            <v>0</v>
          </cell>
          <cell r="H226">
            <v>17929904</v>
          </cell>
          <cell r="I226">
            <v>5</v>
          </cell>
          <cell r="J226">
            <v>640300</v>
          </cell>
          <cell r="K226">
            <v>1490000</v>
          </cell>
          <cell r="U226">
            <v>496</v>
          </cell>
          <cell r="AJ226">
            <v>87</v>
          </cell>
          <cell r="AK226">
            <v>12221300</v>
          </cell>
          <cell r="AN226">
            <v>147808000</v>
          </cell>
          <cell r="AO226">
            <v>25926000</v>
          </cell>
        </row>
        <row r="227">
          <cell r="A227" t="str">
            <v>X</v>
          </cell>
          <cell r="B227" t="str">
            <v>I</v>
          </cell>
          <cell r="C227" t="str">
            <v>의류</v>
          </cell>
          <cell r="E227" t="str">
            <v>2</v>
          </cell>
          <cell r="F227" t="str">
            <v>6</v>
          </cell>
          <cell r="G227">
            <v>1</v>
          </cell>
          <cell r="H227">
            <v>8135790</v>
          </cell>
          <cell r="I227">
            <v>3</v>
          </cell>
          <cell r="J227">
            <v>345100</v>
          </cell>
          <cell r="K227">
            <v>714000</v>
          </cell>
          <cell r="U227">
            <v>299</v>
          </cell>
          <cell r="AJ227">
            <v>41</v>
          </cell>
          <cell r="AK227">
            <v>4651900</v>
          </cell>
          <cell r="AN227">
            <v>71162000</v>
          </cell>
          <cell r="AO227">
            <v>9758000</v>
          </cell>
        </row>
        <row r="228">
          <cell r="A228" t="str">
            <v>X</v>
          </cell>
          <cell r="B228" t="str">
            <v>I</v>
          </cell>
          <cell r="C228" t="str">
            <v>의류</v>
          </cell>
          <cell r="E228" t="str">
            <v>1</v>
          </cell>
          <cell r="F228" t="str">
            <v>7</v>
          </cell>
          <cell r="G228">
            <v>1</v>
          </cell>
          <cell r="H228">
            <v>6776835</v>
          </cell>
          <cell r="I228">
            <v>0</v>
          </cell>
          <cell r="J228">
            <v>-8900</v>
          </cell>
          <cell r="K228">
            <v>0</v>
          </cell>
          <cell r="U228">
            <v>345</v>
          </cell>
          <cell r="AJ228">
            <v>40</v>
          </cell>
          <cell r="AK228">
            <v>3323100</v>
          </cell>
          <cell r="AN228">
            <v>61410000</v>
          </cell>
          <cell r="AO228">
            <v>7120000</v>
          </cell>
        </row>
        <row r="229">
          <cell r="A229" t="str">
            <v>X</v>
          </cell>
          <cell r="B229" t="str">
            <v>I</v>
          </cell>
          <cell r="C229" t="str">
            <v>의류</v>
          </cell>
          <cell r="E229" t="str">
            <v>1</v>
          </cell>
          <cell r="F229" t="str">
            <v>7</v>
          </cell>
          <cell r="G229">
            <v>0</v>
          </cell>
          <cell r="H229">
            <v>12709021</v>
          </cell>
          <cell r="I229">
            <v>3</v>
          </cell>
          <cell r="J229">
            <v>258100</v>
          </cell>
          <cell r="K229">
            <v>534000</v>
          </cell>
          <cell r="U229">
            <v>647</v>
          </cell>
          <cell r="AJ229">
            <v>81</v>
          </cell>
          <cell r="AK229">
            <v>6752100</v>
          </cell>
          <cell r="AN229">
            <v>115166000</v>
          </cell>
          <cell r="AO229">
            <v>14418000</v>
          </cell>
        </row>
        <row r="230">
          <cell r="A230" t="str">
            <v>X</v>
          </cell>
          <cell r="B230" t="str">
            <v>I</v>
          </cell>
          <cell r="C230" t="str">
            <v>의류</v>
          </cell>
          <cell r="E230" t="str">
            <v>1</v>
          </cell>
          <cell r="F230" t="str">
            <v>7</v>
          </cell>
          <cell r="G230">
            <v>1</v>
          </cell>
          <cell r="H230">
            <v>11448192</v>
          </cell>
          <cell r="I230">
            <v>9</v>
          </cell>
          <cell r="J230">
            <v>876500</v>
          </cell>
          <cell r="K230">
            <v>1962000</v>
          </cell>
          <cell r="U230">
            <v>448</v>
          </cell>
          <cell r="AJ230">
            <v>159</v>
          </cell>
          <cell r="AK230">
            <v>16412400</v>
          </cell>
          <cell r="AN230">
            <v>97664000</v>
          </cell>
          <cell r="AO230">
            <v>34662000</v>
          </cell>
        </row>
        <row r="231">
          <cell r="A231" t="str">
            <v>X</v>
          </cell>
          <cell r="B231" t="str">
            <v>I</v>
          </cell>
          <cell r="C231" t="str">
            <v>의류</v>
          </cell>
          <cell r="E231" t="str">
            <v>2</v>
          </cell>
          <cell r="F231" t="str">
            <v>7</v>
          </cell>
          <cell r="G231">
            <v>1</v>
          </cell>
          <cell r="H231">
            <v>7603362</v>
          </cell>
          <cell r="I231">
            <v>15</v>
          </cell>
          <cell r="J231">
            <v>1185000</v>
          </cell>
          <cell r="K231">
            <v>3270000</v>
          </cell>
          <cell r="U231">
            <v>351</v>
          </cell>
          <cell r="AJ231">
            <v>101</v>
          </cell>
          <cell r="AK231">
            <v>9760950</v>
          </cell>
          <cell r="AN231">
            <v>76518000</v>
          </cell>
          <cell r="AO231">
            <v>22018000</v>
          </cell>
        </row>
        <row r="232">
          <cell r="A232" t="str">
            <v>X</v>
          </cell>
          <cell r="B232" t="str">
            <v>I</v>
          </cell>
          <cell r="C232" t="str">
            <v>의류</v>
          </cell>
          <cell r="E232" t="str">
            <v>2</v>
          </cell>
          <cell r="F232" t="str">
            <v>7</v>
          </cell>
          <cell r="G232">
            <v>0</v>
          </cell>
          <cell r="H232">
            <v>10917648</v>
          </cell>
          <cell r="I232">
            <v>9</v>
          </cell>
          <cell r="J232">
            <v>711000</v>
          </cell>
          <cell r="K232">
            <v>1962000</v>
          </cell>
          <cell r="U232">
            <v>504</v>
          </cell>
          <cell r="AJ232">
            <v>89</v>
          </cell>
          <cell r="AK232">
            <v>8075150</v>
          </cell>
          <cell r="AN232">
            <v>109872000</v>
          </cell>
          <cell r="AO232">
            <v>19402000</v>
          </cell>
        </row>
        <row r="233">
          <cell r="A233" t="str">
            <v>X</v>
          </cell>
          <cell r="B233" t="str">
            <v>I</v>
          </cell>
          <cell r="C233" t="str">
            <v>의류</v>
          </cell>
          <cell r="E233" t="str">
            <v>2</v>
          </cell>
          <cell r="F233" t="str">
            <v>7</v>
          </cell>
          <cell r="G233">
            <v>1</v>
          </cell>
          <cell r="H233">
            <v>15112265</v>
          </cell>
          <cell r="I233">
            <v>17</v>
          </cell>
          <cell r="J233">
            <v>1173000</v>
          </cell>
          <cell r="K233">
            <v>3026000</v>
          </cell>
          <cell r="U233">
            <v>805</v>
          </cell>
          <cell r="AJ233">
            <v>97</v>
          </cell>
          <cell r="AK233">
            <v>7245100</v>
          </cell>
          <cell r="AN233">
            <v>143290000</v>
          </cell>
          <cell r="AO233">
            <v>17266000</v>
          </cell>
        </row>
        <row r="234">
          <cell r="A234" t="str">
            <v>X</v>
          </cell>
          <cell r="B234" t="str">
            <v>I</v>
          </cell>
          <cell r="C234" t="str">
            <v>의류</v>
          </cell>
          <cell r="E234" t="str">
            <v>2</v>
          </cell>
          <cell r="F234" t="str">
            <v>7</v>
          </cell>
          <cell r="G234">
            <v>0</v>
          </cell>
          <cell r="H234">
            <v>7208832</v>
          </cell>
          <cell r="I234">
            <v>5</v>
          </cell>
          <cell r="J234">
            <v>345000</v>
          </cell>
          <cell r="K234">
            <v>890000</v>
          </cell>
          <cell r="U234">
            <v>384</v>
          </cell>
          <cell r="AJ234">
            <v>21</v>
          </cell>
          <cell r="AK234">
            <v>1550100</v>
          </cell>
          <cell r="AN234">
            <v>68352000</v>
          </cell>
          <cell r="AO234">
            <v>3738000</v>
          </cell>
        </row>
        <row r="235">
          <cell r="A235" t="str">
            <v>X</v>
          </cell>
          <cell r="B235" t="str">
            <v>I</v>
          </cell>
          <cell r="C235" t="str">
            <v>의류</v>
          </cell>
          <cell r="E235" t="str">
            <v>2</v>
          </cell>
          <cell r="F235" t="str">
            <v>7</v>
          </cell>
          <cell r="G235">
            <v>1</v>
          </cell>
          <cell r="H235">
            <v>13154022</v>
          </cell>
          <cell r="I235">
            <v>6</v>
          </cell>
          <cell r="J235">
            <v>579500</v>
          </cell>
          <cell r="K235">
            <v>1308000</v>
          </cell>
          <cell r="U235">
            <v>534</v>
          </cell>
          <cell r="AJ235">
            <v>75</v>
          </cell>
          <cell r="AK235">
            <v>7472500</v>
          </cell>
          <cell r="AN235">
            <v>116412000</v>
          </cell>
          <cell r="AO235">
            <v>16350000</v>
          </cell>
        </row>
        <row r="236">
          <cell r="A236" t="str">
            <v>X</v>
          </cell>
          <cell r="B236" t="str">
            <v>I</v>
          </cell>
          <cell r="C236" t="str">
            <v>의류</v>
          </cell>
          <cell r="E236" t="str">
            <v>2</v>
          </cell>
          <cell r="F236" t="str">
            <v>1</v>
          </cell>
          <cell r="G236">
            <v>1</v>
          </cell>
          <cell r="H236">
            <v>6301050</v>
          </cell>
          <cell r="I236">
            <v>7</v>
          </cell>
          <cell r="J236">
            <v>273000</v>
          </cell>
          <cell r="K236">
            <v>686000</v>
          </cell>
          <cell r="U236">
            <v>510</v>
          </cell>
          <cell r="AJ236">
            <v>108</v>
          </cell>
          <cell r="AK236">
            <v>5033000</v>
          </cell>
          <cell r="AN236">
            <v>49980000</v>
          </cell>
          <cell r="AO236">
            <v>10584000</v>
          </cell>
        </row>
        <row r="237">
          <cell r="A237" t="str">
            <v>X</v>
          </cell>
          <cell r="B237" t="str">
            <v>I</v>
          </cell>
          <cell r="C237" t="str">
            <v>의류</v>
          </cell>
          <cell r="E237" t="str">
            <v>2</v>
          </cell>
          <cell r="F237" t="str">
            <v>1</v>
          </cell>
          <cell r="G237">
            <v>0</v>
          </cell>
          <cell r="H237">
            <v>12206740</v>
          </cell>
          <cell r="I237">
            <v>32</v>
          </cell>
          <cell r="J237">
            <v>1244100</v>
          </cell>
          <cell r="K237">
            <v>3136000</v>
          </cell>
          <cell r="U237">
            <v>988</v>
          </cell>
          <cell r="AJ237">
            <v>235</v>
          </cell>
          <cell r="AK237">
            <v>10664100</v>
          </cell>
          <cell r="AN237">
            <v>96824000</v>
          </cell>
          <cell r="AO237">
            <v>23030000</v>
          </cell>
        </row>
        <row r="238">
          <cell r="A238" t="str">
            <v>X</v>
          </cell>
          <cell r="B238" t="str">
            <v>I</v>
          </cell>
          <cell r="C238" t="str">
            <v>의류</v>
          </cell>
          <cell r="E238" t="str">
            <v>2</v>
          </cell>
          <cell r="F238" t="str">
            <v>1</v>
          </cell>
          <cell r="G238">
            <v>1</v>
          </cell>
          <cell r="H238">
            <v>5838444</v>
          </cell>
          <cell r="I238">
            <v>10</v>
          </cell>
          <cell r="J238">
            <v>490000</v>
          </cell>
          <cell r="K238">
            <v>1180000</v>
          </cell>
          <cell r="U238">
            <v>508</v>
          </cell>
          <cell r="AJ238">
            <v>55</v>
          </cell>
          <cell r="AK238">
            <v>2921400</v>
          </cell>
          <cell r="AN238">
            <v>59944000</v>
          </cell>
          <cell r="AO238">
            <v>6490000</v>
          </cell>
        </row>
        <row r="239">
          <cell r="A239" t="str">
            <v>X</v>
          </cell>
          <cell r="B239" t="str">
            <v>I</v>
          </cell>
          <cell r="C239" t="str">
            <v>의류</v>
          </cell>
          <cell r="E239" t="str">
            <v>2</v>
          </cell>
          <cell r="F239" t="str">
            <v>1</v>
          </cell>
          <cell r="G239">
            <v>0</v>
          </cell>
          <cell r="H239">
            <v>4884525</v>
          </cell>
          <cell r="I239">
            <v>10</v>
          </cell>
          <cell r="J239">
            <v>490000</v>
          </cell>
          <cell r="K239">
            <v>1180000</v>
          </cell>
          <cell r="U239">
            <v>425</v>
          </cell>
          <cell r="AJ239">
            <v>78</v>
          </cell>
          <cell r="AK239">
            <v>4218400</v>
          </cell>
          <cell r="AN239">
            <v>50150000</v>
          </cell>
          <cell r="AO239">
            <v>9204000</v>
          </cell>
        </row>
        <row r="240">
          <cell r="A240" t="str">
            <v>X</v>
          </cell>
          <cell r="B240" t="str">
            <v>I</v>
          </cell>
          <cell r="C240" t="str">
            <v>의류</v>
          </cell>
          <cell r="E240" t="str">
            <v>2</v>
          </cell>
          <cell r="F240" t="str">
            <v>1</v>
          </cell>
          <cell r="G240">
            <v>1</v>
          </cell>
          <cell r="H240">
            <v>2463045</v>
          </cell>
          <cell r="I240">
            <v>2</v>
          </cell>
          <cell r="J240">
            <v>98000</v>
          </cell>
          <cell r="K240">
            <v>196000</v>
          </cell>
          <cell r="U240">
            <v>195</v>
          </cell>
          <cell r="AJ240">
            <v>81</v>
          </cell>
          <cell r="AK240">
            <v>3870400</v>
          </cell>
          <cell r="AN240">
            <v>19110000</v>
          </cell>
          <cell r="AO240">
            <v>7938000</v>
          </cell>
        </row>
        <row r="241">
          <cell r="A241" t="str">
            <v>X</v>
          </cell>
          <cell r="B241" t="str">
            <v>I</v>
          </cell>
          <cell r="C241" t="str">
            <v>의류</v>
          </cell>
          <cell r="E241" t="str">
            <v>2</v>
          </cell>
          <cell r="F241" t="str">
            <v>1</v>
          </cell>
          <cell r="G241">
            <v>1</v>
          </cell>
          <cell r="H241">
            <v>4321302</v>
          </cell>
          <cell r="I241">
            <v>11</v>
          </cell>
          <cell r="J241">
            <v>514100</v>
          </cell>
          <cell r="K241">
            <v>1078000</v>
          </cell>
          <cell r="U241">
            <v>381</v>
          </cell>
          <cell r="AJ241">
            <v>114</v>
          </cell>
          <cell r="AK241">
            <v>5432500</v>
          </cell>
          <cell r="AN241">
            <v>37338000</v>
          </cell>
          <cell r="AO241">
            <v>11172000</v>
          </cell>
        </row>
        <row r="242">
          <cell r="A242" t="str">
            <v>X</v>
          </cell>
          <cell r="B242" t="str">
            <v>I</v>
          </cell>
          <cell r="C242" t="str">
            <v>의류</v>
          </cell>
          <cell r="E242" t="str">
            <v>2</v>
          </cell>
          <cell r="F242" t="str">
            <v>1</v>
          </cell>
          <cell r="G242">
            <v>0</v>
          </cell>
          <cell r="H242">
            <v>4105804</v>
          </cell>
          <cell r="I242">
            <v>17</v>
          </cell>
          <cell r="J242">
            <v>793800</v>
          </cell>
          <cell r="K242">
            <v>1666000</v>
          </cell>
          <cell r="U242">
            <v>362</v>
          </cell>
          <cell r="AJ242">
            <v>170</v>
          </cell>
          <cell r="AK242">
            <v>8035000</v>
          </cell>
          <cell r="AN242">
            <v>35476000</v>
          </cell>
          <cell r="AO242">
            <v>16660000</v>
          </cell>
        </row>
        <row r="243">
          <cell r="A243" t="str">
            <v>X</v>
          </cell>
          <cell r="B243" t="str">
            <v>I</v>
          </cell>
          <cell r="C243" t="str">
            <v>의류</v>
          </cell>
          <cell r="E243" t="str">
            <v>2</v>
          </cell>
          <cell r="F243" t="str">
            <v>1</v>
          </cell>
          <cell r="G243">
            <v>1</v>
          </cell>
          <cell r="H243">
            <v>4505600</v>
          </cell>
          <cell r="I243">
            <v>8</v>
          </cell>
          <cell r="J243">
            <v>288100</v>
          </cell>
          <cell r="K243">
            <v>624000</v>
          </cell>
          <cell r="U243">
            <v>512</v>
          </cell>
          <cell r="AJ243">
            <v>140</v>
          </cell>
          <cell r="AK243">
            <v>5268850</v>
          </cell>
          <cell r="AN243">
            <v>39936000</v>
          </cell>
          <cell r="AO243">
            <v>10920000</v>
          </cell>
        </row>
        <row r="244">
          <cell r="A244" t="str">
            <v>X</v>
          </cell>
          <cell r="B244" t="str">
            <v>I</v>
          </cell>
          <cell r="C244" t="str">
            <v>의류</v>
          </cell>
          <cell r="E244" t="str">
            <v>2</v>
          </cell>
          <cell r="F244" t="str">
            <v>1</v>
          </cell>
          <cell r="G244">
            <v>1</v>
          </cell>
          <cell r="H244">
            <v>3248589</v>
          </cell>
          <cell r="I244">
            <v>3</v>
          </cell>
          <cell r="J244">
            <v>165200</v>
          </cell>
          <cell r="K244">
            <v>354000</v>
          </cell>
          <cell r="U244">
            <v>267</v>
          </cell>
          <cell r="AJ244">
            <v>50</v>
          </cell>
          <cell r="AK244">
            <v>2763300</v>
          </cell>
          <cell r="AN244">
            <v>31506000</v>
          </cell>
          <cell r="AO244">
            <v>5900000</v>
          </cell>
        </row>
        <row r="245">
          <cell r="A245" t="str">
            <v>X</v>
          </cell>
          <cell r="B245" t="str">
            <v>I</v>
          </cell>
          <cell r="C245" t="str">
            <v>의류</v>
          </cell>
          <cell r="E245" t="str">
            <v>2</v>
          </cell>
          <cell r="F245" t="str">
            <v>1</v>
          </cell>
          <cell r="G245">
            <v>1</v>
          </cell>
          <cell r="H245">
            <v>2528240</v>
          </cell>
          <cell r="I245">
            <v>2</v>
          </cell>
          <cell r="J245">
            <v>112100</v>
          </cell>
          <cell r="K245">
            <v>236000</v>
          </cell>
          <cell r="U245">
            <v>187</v>
          </cell>
          <cell r="AJ245">
            <v>50</v>
          </cell>
          <cell r="AK245">
            <v>2852800</v>
          </cell>
          <cell r="AN245">
            <v>22066000</v>
          </cell>
          <cell r="AO245">
            <v>5900000</v>
          </cell>
        </row>
        <row r="246">
          <cell r="A246" t="str">
            <v>X</v>
          </cell>
          <cell r="B246" t="str">
            <v>I</v>
          </cell>
          <cell r="C246" t="str">
            <v>의류</v>
          </cell>
          <cell r="E246" t="str">
            <v>1</v>
          </cell>
          <cell r="F246" t="str">
            <v>1</v>
          </cell>
          <cell r="G246">
            <v>1</v>
          </cell>
          <cell r="H246">
            <v>7765128</v>
          </cell>
          <cell r="I246">
            <v>3</v>
          </cell>
          <cell r="J246">
            <v>165000</v>
          </cell>
          <cell r="K246">
            <v>474000</v>
          </cell>
          <cell r="U246">
            <v>426</v>
          </cell>
          <cell r="AJ246">
            <v>148</v>
          </cell>
          <cell r="AK246">
            <v>9952000</v>
          </cell>
          <cell r="AN246">
            <v>67308000</v>
          </cell>
          <cell r="AO246">
            <v>23384000</v>
          </cell>
        </row>
        <row r="247">
          <cell r="A247" t="str">
            <v>X</v>
          </cell>
          <cell r="B247" t="str">
            <v>I</v>
          </cell>
          <cell r="C247" t="str">
            <v>의류</v>
          </cell>
          <cell r="E247" t="str">
            <v>1</v>
          </cell>
          <cell r="F247" t="str">
            <v>1</v>
          </cell>
          <cell r="G247">
            <v>0</v>
          </cell>
          <cell r="H247">
            <v>7509936</v>
          </cell>
          <cell r="I247">
            <v>2</v>
          </cell>
          <cell r="J247">
            <v>110000</v>
          </cell>
          <cell r="K247">
            <v>316000</v>
          </cell>
          <cell r="U247">
            <v>412</v>
          </cell>
          <cell r="AJ247">
            <v>122</v>
          </cell>
          <cell r="AK247">
            <v>8344750</v>
          </cell>
          <cell r="AN247">
            <v>65096000</v>
          </cell>
          <cell r="AO247">
            <v>19276000</v>
          </cell>
        </row>
        <row r="248">
          <cell r="A248" t="str">
            <v>X</v>
          </cell>
          <cell r="B248" t="str">
            <v>I</v>
          </cell>
          <cell r="C248" t="str">
            <v>의류</v>
          </cell>
          <cell r="E248" t="str">
            <v>2</v>
          </cell>
          <cell r="F248" t="str">
            <v>1</v>
          </cell>
          <cell r="G248">
            <v>1</v>
          </cell>
          <cell r="H248">
            <v>7202328</v>
          </cell>
          <cell r="I248">
            <v>8</v>
          </cell>
          <cell r="J248">
            <v>372400</v>
          </cell>
          <cell r="K248">
            <v>784000</v>
          </cell>
          <cell r="U248">
            <v>602</v>
          </cell>
          <cell r="AJ248">
            <v>95</v>
          </cell>
          <cell r="AK248">
            <v>4388600</v>
          </cell>
          <cell r="AN248">
            <v>58996000</v>
          </cell>
          <cell r="AO248">
            <v>9310000</v>
          </cell>
        </row>
        <row r="249">
          <cell r="A249" t="str">
            <v>X</v>
          </cell>
          <cell r="B249" t="str">
            <v>I</v>
          </cell>
          <cell r="C249" t="str">
            <v>의류</v>
          </cell>
          <cell r="E249" t="str">
            <v>2</v>
          </cell>
          <cell r="F249" t="str">
            <v>1</v>
          </cell>
          <cell r="G249">
            <v>0</v>
          </cell>
          <cell r="H249">
            <v>14966964</v>
          </cell>
          <cell r="I249">
            <v>18</v>
          </cell>
          <cell r="J249">
            <v>837900</v>
          </cell>
          <cell r="K249">
            <v>1764000</v>
          </cell>
          <cell r="U249">
            <v>1251</v>
          </cell>
          <cell r="AJ249">
            <v>346</v>
          </cell>
          <cell r="AK249">
            <v>15364800</v>
          </cell>
          <cell r="AN249">
            <v>122598000</v>
          </cell>
          <cell r="AO249">
            <v>33908000</v>
          </cell>
        </row>
        <row r="250">
          <cell r="A250" t="str">
            <v>X</v>
          </cell>
          <cell r="B250" t="str">
            <v>I</v>
          </cell>
          <cell r="C250" t="str">
            <v>의류</v>
          </cell>
          <cell r="E250" t="str">
            <v>2</v>
          </cell>
          <cell r="F250" t="str">
            <v>1</v>
          </cell>
          <cell r="G250">
            <v>0</v>
          </cell>
          <cell r="H250">
            <v>7477500</v>
          </cell>
          <cell r="I250">
            <v>9</v>
          </cell>
          <cell r="J250">
            <v>406700</v>
          </cell>
          <cell r="K250">
            <v>882000</v>
          </cell>
          <cell r="U250">
            <v>625</v>
          </cell>
          <cell r="AJ250">
            <v>89</v>
          </cell>
          <cell r="AK250">
            <v>4176450</v>
          </cell>
          <cell r="AN250">
            <v>61250000</v>
          </cell>
          <cell r="AO250">
            <v>8722000</v>
          </cell>
        </row>
        <row r="251">
          <cell r="A251" t="str">
            <v>X</v>
          </cell>
          <cell r="B251" t="str">
            <v>I</v>
          </cell>
          <cell r="C251" t="str">
            <v>의류</v>
          </cell>
          <cell r="E251" t="str">
            <v>2</v>
          </cell>
          <cell r="F251" t="str">
            <v>1</v>
          </cell>
          <cell r="G251">
            <v>0</v>
          </cell>
          <cell r="H251">
            <v>18125460</v>
          </cell>
          <cell r="I251">
            <v>32</v>
          </cell>
          <cell r="J251">
            <v>1456750</v>
          </cell>
          <cell r="K251">
            <v>3136000</v>
          </cell>
          <cell r="U251">
            <v>1515</v>
          </cell>
          <cell r="AJ251">
            <v>230</v>
          </cell>
          <cell r="AK251">
            <v>10858850</v>
          </cell>
          <cell r="AN251">
            <v>148470000</v>
          </cell>
          <cell r="AO251">
            <v>22540000</v>
          </cell>
        </row>
        <row r="252">
          <cell r="A252" t="str">
            <v>X</v>
          </cell>
          <cell r="B252" t="str">
            <v>I</v>
          </cell>
          <cell r="C252" t="str">
            <v>의류</v>
          </cell>
          <cell r="E252" t="str">
            <v>2</v>
          </cell>
          <cell r="F252" t="str">
            <v>1</v>
          </cell>
          <cell r="G252">
            <v>0</v>
          </cell>
          <cell r="H252">
            <v>7525356</v>
          </cell>
          <cell r="I252">
            <v>12</v>
          </cell>
          <cell r="J252">
            <v>508600</v>
          </cell>
          <cell r="K252">
            <v>1176000</v>
          </cell>
          <cell r="U252">
            <v>629</v>
          </cell>
          <cell r="AJ252">
            <v>175</v>
          </cell>
          <cell r="AK252">
            <v>8281250</v>
          </cell>
          <cell r="AN252">
            <v>61642000</v>
          </cell>
          <cell r="AO252">
            <v>17150000</v>
          </cell>
        </row>
        <row r="253">
          <cell r="A253" t="str">
            <v>X</v>
          </cell>
          <cell r="B253" t="str">
            <v>I</v>
          </cell>
          <cell r="C253" t="str">
            <v>의류</v>
          </cell>
          <cell r="E253" t="str">
            <v>2</v>
          </cell>
          <cell r="F253" t="str">
            <v>1</v>
          </cell>
          <cell r="G253">
            <v>1</v>
          </cell>
          <cell r="H253">
            <v>3039399</v>
          </cell>
          <cell r="I253">
            <v>20</v>
          </cell>
          <cell r="J253">
            <v>556800</v>
          </cell>
          <cell r="K253">
            <v>1160000</v>
          </cell>
          <cell r="U253">
            <v>363</v>
          </cell>
          <cell r="AJ253">
            <v>291</v>
          </cell>
          <cell r="AK253">
            <v>8180945</v>
          </cell>
          <cell r="AN253">
            <v>21054000</v>
          </cell>
          <cell r="AO253">
            <v>16878000</v>
          </cell>
        </row>
        <row r="254">
          <cell r="A254" t="str">
            <v>X</v>
          </cell>
          <cell r="B254" t="str">
            <v>I</v>
          </cell>
          <cell r="C254" t="str">
            <v>의류</v>
          </cell>
          <cell r="E254" t="str">
            <v>2</v>
          </cell>
          <cell r="F254" t="str">
            <v>1</v>
          </cell>
          <cell r="G254">
            <v>0</v>
          </cell>
          <cell r="H254">
            <v>7008201</v>
          </cell>
          <cell r="I254">
            <v>38</v>
          </cell>
          <cell r="J254">
            <v>1073000</v>
          </cell>
          <cell r="K254">
            <v>2204000</v>
          </cell>
          <cell r="U254">
            <v>837</v>
          </cell>
          <cell r="AJ254">
            <v>607</v>
          </cell>
          <cell r="AK254">
            <v>17157500</v>
          </cell>
          <cell r="AN254">
            <v>48546000</v>
          </cell>
          <cell r="AO254">
            <v>35206000</v>
          </cell>
        </row>
        <row r="255">
          <cell r="A255" t="str">
            <v>X</v>
          </cell>
          <cell r="B255" t="str">
            <v>I</v>
          </cell>
          <cell r="C255" t="str">
            <v>의류</v>
          </cell>
          <cell r="E255" t="str">
            <v>2</v>
          </cell>
          <cell r="F255" t="str">
            <v>1</v>
          </cell>
          <cell r="G255">
            <v>0</v>
          </cell>
          <cell r="H255">
            <v>8682801</v>
          </cell>
          <cell r="I255">
            <v>42</v>
          </cell>
          <cell r="J255">
            <v>1171900</v>
          </cell>
          <cell r="K255">
            <v>2436000</v>
          </cell>
          <cell r="U255">
            <v>1037</v>
          </cell>
          <cell r="AJ255">
            <v>862</v>
          </cell>
          <cell r="AK255">
            <v>24497700</v>
          </cell>
          <cell r="AN255">
            <v>60146000</v>
          </cell>
          <cell r="AO255">
            <v>49996000</v>
          </cell>
        </row>
        <row r="256">
          <cell r="A256" t="str">
            <v>X</v>
          </cell>
          <cell r="B256" t="str">
            <v>I</v>
          </cell>
          <cell r="C256" t="str">
            <v>의류</v>
          </cell>
          <cell r="E256" t="str">
            <v>2</v>
          </cell>
          <cell r="F256" t="str">
            <v>1</v>
          </cell>
          <cell r="G256">
            <v>0</v>
          </cell>
          <cell r="H256">
            <v>3859953</v>
          </cell>
          <cell r="I256">
            <v>14</v>
          </cell>
          <cell r="J256">
            <v>380200</v>
          </cell>
          <cell r="K256">
            <v>812000</v>
          </cell>
          <cell r="U256">
            <v>461</v>
          </cell>
          <cell r="AJ256">
            <v>331</v>
          </cell>
          <cell r="AK256">
            <v>9381100</v>
          </cell>
          <cell r="AN256">
            <v>26738000</v>
          </cell>
          <cell r="AO256">
            <v>19198000</v>
          </cell>
        </row>
        <row r="257">
          <cell r="A257" t="str">
            <v>X</v>
          </cell>
          <cell r="B257" t="str">
            <v>I</v>
          </cell>
          <cell r="C257" t="str">
            <v>의류</v>
          </cell>
          <cell r="E257" t="str">
            <v>2</v>
          </cell>
          <cell r="F257" t="str">
            <v>1</v>
          </cell>
          <cell r="G257">
            <v>1</v>
          </cell>
          <cell r="H257">
            <v>4829630</v>
          </cell>
          <cell r="I257">
            <v>15</v>
          </cell>
          <cell r="J257">
            <v>680700</v>
          </cell>
          <cell r="K257">
            <v>1470000</v>
          </cell>
          <cell r="U257">
            <v>383</v>
          </cell>
          <cell r="AJ257">
            <v>157</v>
          </cell>
          <cell r="AK257">
            <v>7608900</v>
          </cell>
          <cell r="AN257">
            <v>37534000</v>
          </cell>
          <cell r="AO257">
            <v>15386000</v>
          </cell>
        </row>
        <row r="258">
          <cell r="A258" t="str">
            <v>X</v>
          </cell>
          <cell r="B258" t="str">
            <v>I</v>
          </cell>
          <cell r="C258" t="str">
            <v>의류</v>
          </cell>
          <cell r="E258" t="str">
            <v>2</v>
          </cell>
          <cell r="F258" t="str">
            <v>1</v>
          </cell>
          <cell r="G258">
            <v>0</v>
          </cell>
          <cell r="H258">
            <v>6305000</v>
          </cell>
          <cell r="I258">
            <v>13</v>
          </cell>
          <cell r="J258">
            <v>612500</v>
          </cell>
          <cell r="K258">
            <v>1274000</v>
          </cell>
          <cell r="U258">
            <v>500</v>
          </cell>
          <cell r="AJ258">
            <v>173</v>
          </cell>
          <cell r="AK258">
            <v>8234700</v>
          </cell>
          <cell r="AN258">
            <v>49000000</v>
          </cell>
          <cell r="AO258">
            <v>16954000</v>
          </cell>
        </row>
        <row r="259">
          <cell r="A259" t="str">
            <v>X</v>
          </cell>
          <cell r="B259" t="str">
            <v>I</v>
          </cell>
          <cell r="C259" t="str">
            <v>의류</v>
          </cell>
          <cell r="E259" t="str">
            <v>2</v>
          </cell>
          <cell r="F259" t="str">
            <v>1</v>
          </cell>
          <cell r="G259">
            <v>1</v>
          </cell>
          <cell r="H259">
            <v>5534130</v>
          </cell>
          <cell r="I259">
            <v>7</v>
          </cell>
          <cell r="J259">
            <v>435400</v>
          </cell>
          <cell r="K259">
            <v>966000</v>
          </cell>
          <cell r="U259">
            <v>399</v>
          </cell>
          <cell r="AJ259">
            <v>107</v>
          </cell>
          <cell r="AK259">
            <v>7075000</v>
          </cell>
          <cell r="AN259">
            <v>55062000</v>
          </cell>
          <cell r="AO259">
            <v>14766000</v>
          </cell>
        </row>
        <row r="260">
          <cell r="A260" t="str">
            <v>X</v>
          </cell>
          <cell r="B260" t="str">
            <v>I</v>
          </cell>
          <cell r="C260" t="str">
            <v>의류</v>
          </cell>
          <cell r="E260" t="str">
            <v>2</v>
          </cell>
          <cell r="F260" t="str">
            <v>1</v>
          </cell>
          <cell r="G260">
            <v>0</v>
          </cell>
          <cell r="H260">
            <v>8252650</v>
          </cell>
          <cell r="I260">
            <v>8</v>
          </cell>
          <cell r="J260">
            <v>488200</v>
          </cell>
          <cell r="K260">
            <v>1104000</v>
          </cell>
          <cell r="U260">
            <v>595</v>
          </cell>
          <cell r="AJ260">
            <v>175</v>
          </cell>
          <cell r="AK260">
            <v>11563200</v>
          </cell>
          <cell r="AN260">
            <v>82110000</v>
          </cell>
          <cell r="AO260">
            <v>24150000</v>
          </cell>
        </row>
        <row r="261">
          <cell r="A261" t="str">
            <v>X</v>
          </cell>
          <cell r="B261" t="str">
            <v>I</v>
          </cell>
          <cell r="C261" t="str">
            <v>의류</v>
          </cell>
          <cell r="E261" t="str">
            <v>2</v>
          </cell>
          <cell r="F261" t="str">
            <v>1</v>
          </cell>
          <cell r="G261">
            <v>1</v>
          </cell>
          <cell r="H261">
            <v>5927194</v>
          </cell>
          <cell r="I261">
            <v>4</v>
          </cell>
          <cell r="J261">
            <v>212200</v>
          </cell>
          <cell r="K261">
            <v>552000</v>
          </cell>
          <cell r="U261">
            <v>377</v>
          </cell>
          <cell r="AJ261">
            <v>93</v>
          </cell>
          <cell r="AK261">
            <v>5930400</v>
          </cell>
          <cell r="AN261">
            <v>52026000</v>
          </cell>
          <cell r="AO261">
            <v>12834000</v>
          </cell>
        </row>
        <row r="262">
          <cell r="A262" t="str">
            <v>X</v>
          </cell>
          <cell r="B262" t="str">
            <v>I</v>
          </cell>
          <cell r="C262" t="str">
            <v>의류</v>
          </cell>
          <cell r="E262" t="str">
            <v>2</v>
          </cell>
          <cell r="F262" t="str">
            <v>1</v>
          </cell>
          <cell r="G262">
            <v>0</v>
          </cell>
          <cell r="H262">
            <v>6666128</v>
          </cell>
          <cell r="I262">
            <v>4</v>
          </cell>
          <cell r="J262">
            <v>219100</v>
          </cell>
          <cell r="K262">
            <v>552000</v>
          </cell>
          <cell r="U262">
            <v>424</v>
          </cell>
          <cell r="AJ262">
            <v>69</v>
          </cell>
          <cell r="AK262">
            <v>4536500</v>
          </cell>
          <cell r="AN262">
            <v>58512000</v>
          </cell>
          <cell r="AO262">
            <v>9522000</v>
          </cell>
        </row>
        <row r="263">
          <cell r="A263" t="str">
            <v>X</v>
          </cell>
          <cell r="B263" t="str">
            <v>I</v>
          </cell>
          <cell r="C263" t="str">
            <v>의류</v>
          </cell>
          <cell r="E263" t="str">
            <v>1</v>
          </cell>
          <cell r="F263" t="str">
            <v>5</v>
          </cell>
          <cell r="G263">
            <v>1</v>
          </cell>
          <cell r="H263">
            <v>13504634</v>
          </cell>
          <cell r="I263">
            <v>0</v>
          </cell>
          <cell r="J263">
            <v>0</v>
          </cell>
          <cell r="K263">
            <v>0</v>
          </cell>
          <cell r="U263">
            <v>299</v>
          </cell>
          <cell r="AJ263">
            <v>54</v>
          </cell>
          <cell r="AK263">
            <v>7841500</v>
          </cell>
          <cell r="AN263">
            <v>89102000</v>
          </cell>
          <cell r="AO263">
            <v>16092000</v>
          </cell>
        </row>
        <row r="264">
          <cell r="A264" t="str">
            <v>X</v>
          </cell>
          <cell r="B264" t="str">
            <v>I</v>
          </cell>
          <cell r="C264" t="str">
            <v>의류</v>
          </cell>
          <cell r="E264" t="str">
            <v>1</v>
          </cell>
          <cell r="F264" t="str">
            <v>7</v>
          </cell>
          <cell r="G264">
            <v>1</v>
          </cell>
          <cell r="H264">
            <v>8617483</v>
          </cell>
          <cell r="I264">
            <v>9</v>
          </cell>
          <cell r="J264">
            <v>495000</v>
          </cell>
          <cell r="K264">
            <v>1422000</v>
          </cell>
          <cell r="U264">
            <v>497</v>
          </cell>
          <cell r="AJ264">
            <v>231</v>
          </cell>
          <cell r="AK264">
            <v>14069250</v>
          </cell>
          <cell r="AN264">
            <v>78526000</v>
          </cell>
          <cell r="AO264">
            <v>36498000</v>
          </cell>
        </row>
        <row r="265">
          <cell r="A265" t="str">
            <v>X</v>
          </cell>
          <cell r="B265" t="str">
            <v>I</v>
          </cell>
          <cell r="C265" t="str">
            <v>의류</v>
          </cell>
          <cell r="E265" t="str">
            <v>1</v>
          </cell>
          <cell r="F265" t="str">
            <v>7</v>
          </cell>
          <cell r="G265">
            <v>0</v>
          </cell>
          <cell r="H265">
            <v>12033266</v>
          </cell>
          <cell r="I265">
            <v>3</v>
          </cell>
          <cell r="J265">
            <v>165000</v>
          </cell>
          <cell r="K265">
            <v>474000</v>
          </cell>
          <cell r="U265">
            <v>694</v>
          </cell>
          <cell r="AJ265">
            <v>265</v>
          </cell>
          <cell r="AK265">
            <v>17216500</v>
          </cell>
          <cell r="AN265">
            <v>109652000</v>
          </cell>
          <cell r="AO265">
            <v>41870000</v>
          </cell>
        </row>
        <row r="266">
          <cell r="A266" t="str">
            <v>X</v>
          </cell>
          <cell r="B266" t="str">
            <v>I</v>
          </cell>
          <cell r="C266" t="str">
            <v>의류</v>
          </cell>
          <cell r="E266" t="str">
            <v>1</v>
          </cell>
          <cell r="F266" t="str">
            <v>7</v>
          </cell>
          <cell r="G266">
            <v>0</v>
          </cell>
          <cell r="H266">
            <v>10282027</v>
          </cell>
          <cell r="I266">
            <v>7</v>
          </cell>
          <cell r="J266">
            <v>385000</v>
          </cell>
          <cell r="K266">
            <v>1106000</v>
          </cell>
          <cell r="U266">
            <v>593</v>
          </cell>
          <cell r="AJ266">
            <v>283</v>
          </cell>
          <cell r="AK266">
            <v>17880000</v>
          </cell>
          <cell r="AN266">
            <v>93694000</v>
          </cell>
          <cell r="AO266">
            <v>44714000</v>
          </cell>
        </row>
        <row r="267">
          <cell r="A267" t="str">
            <v>X</v>
          </cell>
          <cell r="B267" t="str">
            <v>I</v>
          </cell>
          <cell r="C267" t="str">
            <v>의류</v>
          </cell>
          <cell r="E267" t="str">
            <v>1</v>
          </cell>
          <cell r="F267" t="str">
            <v>7</v>
          </cell>
          <cell r="G267">
            <v>1</v>
          </cell>
          <cell r="H267">
            <v>15744715</v>
          </cell>
          <cell r="I267">
            <v>6</v>
          </cell>
          <cell r="J267">
            <v>544200</v>
          </cell>
          <cell r="K267">
            <v>1188000</v>
          </cell>
          <cell r="U267">
            <v>751</v>
          </cell>
          <cell r="AJ267">
            <v>347</v>
          </cell>
          <cell r="AK267">
            <v>32309850</v>
          </cell>
          <cell r="AN267">
            <v>148698000</v>
          </cell>
          <cell r="AO267">
            <v>68706000</v>
          </cell>
        </row>
        <row r="268">
          <cell r="A268" t="str">
            <v>X</v>
          </cell>
          <cell r="B268" t="str">
            <v>I</v>
          </cell>
          <cell r="C268" t="str">
            <v>의류</v>
          </cell>
          <cell r="E268" t="str">
            <v>1</v>
          </cell>
          <cell r="F268" t="str">
            <v>7</v>
          </cell>
          <cell r="G268">
            <v>1</v>
          </cell>
          <cell r="H268">
            <v>9767520</v>
          </cell>
          <cell r="I268">
            <v>3</v>
          </cell>
          <cell r="J268">
            <v>267300</v>
          </cell>
          <cell r="K268">
            <v>594000</v>
          </cell>
          <cell r="U268">
            <v>480</v>
          </cell>
          <cell r="AJ268">
            <v>199</v>
          </cell>
          <cell r="AK268">
            <v>18766100</v>
          </cell>
          <cell r="AN268">
            <v>95040000</v>
          </cell>
          <cell r="AO268">
            <v>39402000</v>
          </cell>
        </row>
        <row r="269">
          <cell r="A269" t="str">
            <v>X</v>
          </cell>
          <cell r="B269" t="str">
            <v>I</v>
          </cell>
          <cell r="C269" t="str">
            <v>의류</v>
          </cell>
          <cell r="E269" t="str">
            <v>2</v>
          </cell>
          <cell r="F269" t="str">
            <v>7</v>
          </cell>
          <cell r="G269">
            <v>1</v>
          </cell>
          <cell r="H269">
            <v>19726560</v>
          </cell>
          <cell r="I269">
            <v>26</v>
          </cell>
          <cell r="J269">
            <v>2344800</v>
          </cell>
          <cell r="K269">
            <v>5148000</v>
          </cell>
          <cell r="U269">
            <v>1008</v>
          </cell>
          <cell r="AJ269">
            <v>299</v>
          </cell>
          <cell r="AK269">
            <v>27659295</v>
          </cell>
          <cell r="AN269">
            <v>199584000</v>
          </cell>
          <cell r="AO269">
            <v>59202000</v>
          </cell>
        </row>
        <row r="270">
          <cell r="A270" t="str">
            <v>X</v>
          </cell>
          <cell r="B270" t="str">
            <v>I</v>
          </cell>
          <cell r="C270" t="str">
            <v>의류</v>
          </cell>
          <cell r="E270" t="str">
            <v>2</v>
          </cell>
          <cell r="F270" t="str">
            <v>7</v>
          </cell>
          <cell r="G270">
            <v>0</v>
          </cell>
          <cell r="H270">
            <v>30529200</v>
          </cell>
          <cell r="I270">
            <v>37</v>
          </cell>
          <cell r="J270">
            <v>3304500</v>
          </cell>
          <cell r="K270">
            <v>7326000</v>
          </cell>
          <cell r="U270">
            <v>1560</v>
          </cell>
          <cell r="AJ270">
            <v>433</v>
          </cell>
          <cell r="AK270">
            <v>40013750</v>
          </cell>
          <cell r="AN270">
            <v>308880000</v>
          </cell>
          <cell r="AO270">
            <v>85734000</v>
          </cell>
        </row>
        <row r="271">
          <cell r="A271" t="str">
            <v>X</v>
          </cell>
          <cell r="B271" t="str">
            <v>I</v>
          </cell>
          <cell r="C271" t="str">
            <v>의류</v>
          </cell>
          <cell r="E271" t="str">
            <v>2</v>
          </cell>
          <cell r="F271" t="str">
            <v>7</v>
          </cell>
          <cell r="G271">
            <v>1</v>
          </cell>
          <cell r="H271">
            <v>12619115</v>
          </cell>
          <cell r="I271">
            <v>17</v>
          </cell>
          <cell r="J271">
            <v>1593400</v>
          </cell>
          <cell r="K271">
            <v>3366000</v>
          </cell>
          <cell r="U271">
            <v>695</v>
          </cell>
          <cell r="AJ271">
            <v>238</v>
          </cell>
          <cell r="AK271">
            <v>22430850</v>
          </cell>
          <cell r="AN271">
            <v>137610000</v>
          </cell>
          <cell r="AO271">
            <v>47124000</v>
          </cell>
        </row>
        <row r="272">
          <cell r="A272" t="str">
            <v>X</v>
          </cell>
          <cell r="B272" t="str">
            <v>I</v>
          </cell>
          <cell r="C272" t="str">
            <v>의류</v>
          </cell>
          <cell r="E272" t="str">
            <v>2</v>
          </cell>
          <cell r="F272" t="str">
            <v>7</v>
          </cell>
          <cell r="G272">
            <v>0</v>
          </cell>
          <cell r="H272">
            <v>16722597</v>
          </cell>
          <cell r="I272">
            <v>32</v>
          </cell>
          <cell r="J272">
            <v>2959300</v>
          </cell>
          <cell r="K272">
            <v>6336000</v>
          </cell>
          <cell r="U272">
            <v>921</v>
          </cell>
          <cell r="AJ272">
            <v>277</v>
          </cell>
          <cell r="AK272">
            <v>25709515</v>
          </cell>
          <cell r="AN272">
            <v>182358000</v>
          </cell>
          <cell r="AO272">
            <v>54846000</v>
          </cell>
        </row>
        <row r="273">
          <cell r="A273" t="str">
            <v>X</v>
          </cell>
          <cell r="B273" t="str">
            <v>I</v>
          </cell>
          <cell r="C273" t="str">
            <v>의류</v>
          </cell>
          <cell r="E273" t="str">
            <v>2</v>
          </cell>
          <cell r="F273" t="str">
            <v>7</v>
          </cell>
          <cell r="G273">
            <v>1</v>
          </cell>
          <cell r="H273">
            <v>15317970</v>
          </cell>
          <cell r="I273">
            <v>22</v>
          </cell>
          <cell r="J273">
            <v>1518000</v>
          </cell>
          <cell r="K273">
            <v>3916000</v>
          </cell>
          <cell r="U273">
            <v>685</v>
          </cell>
          <cell r="AJ273">
            <v>156</v>
          </cell>
          <cell r="AK273">
            <v>11482795</v>
          </cell>
          <cell r="AN273">
            <v>121930000</v>
          </cell>
          <cell r="AO273">
            <v>27768000</v>
          </cell>
        </row>
        <row r="274">
          <cell r="A274" t="str">
            <v>X</v>
          </cell>
          <cell r="B274" t="str">
            <v>I</v>
          </cell>
          <cell r="C274" t="str">
            <v>의류</v>
          </cell>
          <cell r="E274" t="str">
            <v>2</v>
          </cell>
          <cell r="F274" t="str">
            <v>7</v>
          </cell>
          <cell r="G274">
            <v>1</v>
          </cell>
          <cell r="H274">
            <v>24144282</v>
          </cell>
          <cell r="I274">
            <v>46</v>
          </cell>
          <cell r="J274">
            <v>3167100</v>
          </cell>
          <cell r="K274">
            <v>8188000</v>
          </cell>
          <cell r="U274">
            <v>1291</v>
          </cell>
          <cell r="AJ274">
            <v>331</v>
          </cell>
          <cell r="AK274">
            <v>25685450</v>
          </cell>
          <cell r="AN274">
            <v>229798000</v>
          </cell>
          <cell r="AO274">
            <v>58918000</v>
          </cell>
        </row>
        <row r="275">
          <cell r="A275" t="str">
            <v>X</v>
          </cell>
          <cell r="B275" t="str">
            <v>I</v>
          </cell>
          <cell r="C275" t="str">
            <v>의류</v>
          </cell>
          <cell r="E275" t="str">
            <v>2</v>
          </cell>
          <cell r="F275" t="str">
            <v>7</v>
          </cell>
          <cell r="G275">
            <v>1</v>
          </cell>
          <cell r="H275">
            <v>13444964</v>
          </cell>
          <cell r="I275">
            <v>29</v>
          </cell>
          <cell r="J275">
            <v>2264200</v>
          </cell>
          <cell r="K275">
            <v>5162000</v>
          </cell>
          <cell r="U275">
            <v>676</v>
          </cell>
          <cell r="AJ275">
            <v>474</v>
          </cell>
          <cell r="AK275">
            <v>39921650</v>
          </cell>
          <cell r="AN275">
            <v>120328000</v>
          </cell>
          <cell r="AO275">
            <v>84372000</v>
          </cell>
        </row>
        <row r="276">
          <cell r="A276" t="str">
            <v>X</v>
          </cell>
          <cell r="B276" t="str">
            <v>I</v>
          </cell>
          <cell r="C276" t="str">
            <v>의류</v>
          </cell>
          <cell r="E276" t="str">
            <v>2</v>
          </cell>
          <cell r="F276" t="str">
            <v>7</v>
          </cell>
          <cell r="G276">
            <v>1</v>
          </cell>
          <cell r="H276">
            <v>6571481</v>
          </cell>
          <cell r="I276">
            <v>1</v>
          </cell>
          <cell r="J276">
            <v>53100</v>
          </cell>
          <cell r="K276">
            <v>118000</v>
          </cell>
          <cell r="U276">
            <v>379</v>
          </cell>
          <cell r="AJ276">
            <v>6</v>
          </cell>
          <cell r="AK276">
            <v>336300</v>
          </cell>
          <cell r="AN276">
            <v>44722000</v>
          </cell>
          <cell r="AO276">
            <v>708000</v>
          </cell>
        </row>
        <row r="277">
          <cell r="A277" t="str">
            <v>X</v>
          </cell>
          <cell r="B277" t="str">
            <v>I</v>
          </cell>
          <cell r="C277" t="str">
            <v>의류</v>
          </cell>
          <cell r="E277" t="str">
            <v>2</v>
          </cell>
          <cell r="F277" t="str">
            <v>7</v>
          </cell>
          <cell r="G277">
            <v>0</v>
          </cell>
          <cell r="H277">
            <v>8496110</v>
          </cell>
          <cell r="I277">
            <v>5</v>
          </cell>
          <cell r="J277">
            <v>265500</v>
          </cell>
          <cell r="K277">
            <v>590000</v>
          </cell>
          <cell r="U277">
            <v>490</v>
          </cell>
          <cell r="AJ277">
            <v>18</v>
          </cell>
          <cell r="AK277">
            <v>1008900</v>
          </cell>
          <cell r="AN277">
            <v>57820000</v>
          </cell>
          <cell r="AO277">
            <v>2124000</v>
          </cell>
        </row>
        <row r="278">
          <cell r="A278" t="str">
            <v>X</v>
          </cell>
          <cell r="B278" t="str">
            <v>I</v>
          </cell>
          <cell r="C278" t="str">
            <v>의류</v>
          </cell>
          <cell r="E278" t="str">
            <v>2</v>
          </cell>
          <cell r="F278" t="str">
            <v>7</v>
          </cell>
          <cell r="G278">
            <v>0</v>
          </cell>
          <cell r="H278">
            <v>5201700</v>
          </cell>
          <cell r="I278">
            <v>3</v>
          </cell>
          <cell r="J278">
            <v>171100</v>
          </cell>
          <cell r="K278">
            <v>354000</v>
          </cell>
          <cell r="U278">
            <v>300</v>
          </cell>
          <cell r="AJ278">
            <v>11</v>
          </cell>
          <cell r="AK278">
            <v>625400</v>
          </cell>
          <cell r="AN278">
            <v>35400000</v>
          </cell>
          <cell r="AO278">
            <v>1298000</v>
          </cell>
        </row>
        <row r="279">
          <cell r="A279" t="str">
            <v>X</v>
          </cell>
          <cell r="B279" t="str">
            <v>I</v>
          </cell>
          <cell r="C279" t="str">
            <v>의류</v>
          </cell>
          <cell r="E279" t="str">
            <v>2</v>
          </cell>
          <cell r="F279" t="str">
            <v>7</v>
          </cell>
          <cell r="G279">
            <v>1</v>
          </cell>
          <cell r="H279">
            <v>7158704</v>
          </cell>
          <cell r="I279">
            <v>3</v>
          </cell>
          <cell r="J279">
            <v>207000</v>
          </cell>
          <cell r="K279">
            <v>414000</v>
          </cell>
          <cell r="U279">
            <v>392</v>
          </cell>
          <cell r="AJ279">
            <v>19</v>
          </cell>
          <cell r="AK279">
            <v>1206500</v>
          </cell>
          <cell r="AN279">
            <v>54096000</v>
          </cell>
          <cell r="AO279">
            <v>2622000</v>
          </cell>
        </row>
        <row r="280">
          <cell r="A280" t="str">
            <v>X</v>
          </cell>
          <cell r="B280" t="str">
            <v>I</v>
          </cell>
          <cell r="C280" t="str">
            <v>의류</v>
          </cell>
          <cell r="E280" t="str">
            <v>1</v>
          </cell>
          <cell r="F280" t="str">
            <v>8</v>
          </cell>
          <cell r="G280">
            <v>1</v>
          </cell>
          <cell r="H280">
            <v>5039098</v>
          </cell>
          <cell r="I280">
            <v>2</v>
          </cell>
          <cell r="J280">
            <v>138000</v>
          </cell>
          <cell r="K280">
            <v>316000</v>
          </cell>
          <cell r="U280">
            <v>283</v>
          </cell>
          <cell r="AJ280">
            <v>85</v>
          </cell>
          <cell r="AK280">
            <v>6278850</v>
          </cell>
          <cell r="AN280">
            <v>44714000</v>
          </cell>
          <cell r="AO280">
            <v>13430000</v>
          </cell>
        </row>
        <row r="281">
          <cell r="A281" t="str">
            <v>X</v>
          </cell>
          <cell r="B281" t="str">
            <v>I</v>
          </cell>
          <cell r="C281" t="str">
            <v>의류</v>
          </cell>
          <cell r="E281" t="str">
            <v>1</v>
          </cell>
          <cell r="F281" t="str">
            <v>8</v>
          </cell>
          <cell r="G281">
            <v>1</v>
          </cell>
          <cell r="H281">
            <v>5714150</v>
          </cell>
          <cell r="I281">
            <v>1</v>
          </cell>
          <cell r="J281">
            <v>49000</v>
          </cell>
          <cell r="K281">
            <v>158000</v>
          </cell>
          <cell r="U281">
            <v>298</v>
          </cell>
          <cell r="AJ281">
            <v>76</v>
          </cell>
          <cell r="AK281">
            <v>5661300</v>
          </cell>
          <cell r="AN281">
            <v>47084000</v>
          </cell>
          <cell r="AO281">
            <v>12008000</v>
          </cell>
        </row>
        <row r="282">
          <cell r="A282" t="str">
            <v>X</v>
          </cell>
          <cell r="B282" t="str">
            <v>I</v>
          </cell>
          <cell r="C282" t="str">
            <v>의류</v>
          </cell>
          <cell r="E282" t="str">
            <v>1</v>
          </cell>
          <cell r="F282" t="str">
            <v>8</v>
          </cell>
          <cell r="G282">
            <v>1</v>
          </cell>
          <cell r="H282">
            <v>6169180</v>
          </cell>
          <cell r="I282">
            <v>10</v>
          </cell>
          <cell r="J282">
            <v>676200</v>
          </cell>
          <cell r="K282">
            <v>1380000</v>
          </cell>
          <cell r="U282">
            <v>346</v>
          </cell>
          <cell r="AJ282">
            <v>99</v>
          </cell>
          <cell r="AK282">
            <v>6313950</v>
          </cell>
          <cell r="AN282">
            <v>47748000</v>
          </cell>
          <cell r="AO282">
            <v>13662000</v>
          </cell>
        </row>
        <row r="283">
          <cell r="A283" t="str">
            <v>X</v>
          </cell>
          <cell r="B283" t="str">
            <v>I</v>
          </cell>
          <cell r="C283" t="str">
            <v>의류</v>
          </cell>
          <cell r="E283" t="str">
            <v>1</v>
          </cell>
          <cell r="F283" t="str">
            <v>8</v>
          </cell>
          <cell r="G283">
            <v>0</v>
          </cell>
          <cell r="H283">
            <v>5812580</v>
          </cell>
          <cell r="I283">
            <v>3</v>
          </cell>
          <cell r="J283">
            <v>200100</v>
          </cell>
          <cell r="K283">
            <v>414000</v>
          </cell>
          <cell r="U283">
            <v>326</v>
          </cell>
          <cell r="AJ283">
            <v>49</v>
          </cell>
          <cell r="AK283">
            <v>3192300</v>
          </cell>
          <cell r="AN283">
            <v>44988000</v>
          </cell>
          <cell r="AO283">
            <v>6762000</v>
          </cell>
        </row>
        <row r="284">
          <cell r="A284" t="str">
            <v>X</v>
          </cell>
          <cell r="B284" t="str">
            <v>I</v>
          </cell>
          <cell r="C284" t="str">
            <v>의류</v>
          </cell>
          <cell r="E284" t="str">
            <v>1</v>
          </cell>
          <cell r="F284" t="str">
            <v>8</v>
          </cell>
          <cell r="G284">
            <v>1</v>
          </cell>
          <cell r="H284">
            <v>6781980</v>
          </cell>
          <cell r="I284">
            <v>1</v>
          </cell>
          <cell r="J284">
            <v>89000</v>
          </cell>
          <cell r="K284">
            <v>178000</v>
          </cell>
          <cell r="U284">
            <v>340</v>
          </cell>
          <cell r="AJ284">
            <v>70</v>
          </cell>
          <cell r="AK284">
            <v>5888700</v>
          </cell>
          <cell r="AN284">
            <v>60520000</v>
          </cell>
          <cell r="AO284">
            <v>12460000</v>
          </cell>
        </row>
        <row r="285">
          <cell r="A285" t="str">
            <v>X</v>
          </cell>
          <cell r="B285" t="str">
            <v>I</v>
          </cell>
          <cell r="C285" t="str">
            <v>의류</v>
          </cell>
          <cell r="E285" t="str">
            <v>2</v>
          </cell>
          <cell r="F285" t="str">
            <v>8</v>
          </cell>
          <cell r="G285">
            <v>1</v>
          </cell>
          <cell r="H285">
            <v>4997860</v>
          </cell>
          <cell r="I285">
            <v>9</v>
          </cell>
          <cell r="J285">
            <v>483300</v>
          </cell>
          <cell r="K285">
            <v>1062000</v>
          </cell>
          <cell r="U285">
            <v>406</v>
          </cell>
          <cell r="AJ285">
            <v>88</v>
          </cell>
          <cell r="AK285">
            <v>4938100</v>
          </cell>
          <cell r="AN285">
            <v>47908000</v>
          </cell>
          <cell r="AO285">
            <v>10384000</v>
          </cell>
        </row>
        <row r="286">
          <cell r="A286" t="str">
            <v>X</v>
          </cell>
          <cell r="B286" t="str">
            <v>I</v>
          </cell>
          <cell r="C286" t="str">
            <v>의류</v>
          </cell>
          <cell r="E286" t="str">
            <v>2</v>
          </cell>
          <cell r="F286" t="str">
            <v>8</v>
          </cell>
          <cell r="G286">
            <v>1</v>
          </cell>
          <cell r="H286">
            <v>9105811</v>
          </cell>
          <cell r="I286">
            <v>18</v>
          </cell>
          <cell r="J286">
            <v>1260900</v>
          </cell>
          <cell r="K286">
            <v>2844000</v>
          </cell>
          <cell r="U286">
            <v>481</v>
          </cell>
          <cell r="AJ286">
            <v>135</v>
          </cell>
          <cell r="AK286">
            <v>9970350</v>
          </cell>
          <cell r="AN286">
            <v>75998000</v>
          </cell>
          <cell r="AO286">
            <v>21330000</v>
          </cell>
        </row>
        <row r="287">
          <cell r="A287" t="str">
            <v>X</v>
          </cell>
          <cell r="B287" t="str">
            <v>I</v>
          </cell>
          <cell r="C287" t="str">
            <v>의류</v>
          </cell>
          <cell r="E287" t="str">
            <v>2</v>
          </cell>
          <cell r="F287" t="str">
            <v>8</v>
          </cell>
          <cell r="G287">
            <v>0</v>
          </cell>
          <cell r="H287">
            <v>6171506</v>
          </cell>
          <cell r="I287">
            <v>19</v>
          </cell>
          <cell r="J287">
            <v>1307800</v>
          </cell>
          <cell r="K287">
            <v>3002000</v>
          </cell>
          <cell r="U287">
            <v>326</v>
          </cell>
          <cell r="AJ287">
            <v>164</v>
          </cell>
          <cell r="AK287">
            <v>12232700</v>
          </cell>
          <cell r="AN287">
            <v>51508000</v>
          </cell>
          <cell r="AO287">
            <v>25912000</v>
          </cell>
        </row>
        <row r="288">
          <cell r="A288" t="str">
            <v>X</v>
          </cell>
          <cell r="B288" t="str">
            <v>I</v>
          </cell>
          <cell r="C288" t="str">
            <v>의류</v>
          </cell>
          <cell r="E288" t="str">
            <v>2</v>
          </cell>
          <cell r="F288" t="str">
            <v>8</v>
          </cell>
          <cell r="G288">
            <v>1</v>
          </cell>
          <cell r="H288">
            <v>6010827</v>
          </cell>
          <cell r="I288">
            <v>17</v>
          </cell>
          <cell r="J288">
            <v>1063500</v>
          </cell>
          <cell r="K288">
            <v>2686000</v>
          </cell>
          <cell r="U288">
            <v>349</v>
          </cell>
          <cell r="AJ288">
            <v>101</v>
          </cell>
          <cell r="AK288">
            <v>7308900</v>
          </cell>
          <cell r="AN288">
            <v>55142000</v>
          </cell>
          <cell r="AO288">
            <v>15958000</v>
          </cell>
        </row>
        <row r="289">
          <cell r="A289" t="str">
            <v>X</v>
          </cell>
          <cell r="B289" t="str">
            <v>I</v>
          </cell>
          <cell r="C289" t="str">
            <v>의류</v>
          </cell>
          <cell r="E289" t="str">
            <v>2</v>
          </cell>
          <cell r="F289" t="str">
            <v>8</v>
          </cell>
          <cell r="G289">
            <v>1</v>
          </cell>
          <cell r="H289">
            <v>7541100</v>
          </cell>
          <cell r="I289">
            <v>19</v>
          </cell>
          <cell r="J289">
            <v>1357300</v>
          </cell>
          <cell r="K289">
            <v>3002000</v>
          </cell>
          <cell r="U289">
            <v>405</v>
          </cell>
          <cell r="AJ289">
            <v>204</v>
          </cell>
          <cell r="AK289">
            <v>15081100</v>
          </cell>
          <cell r="AN289">
            <v>63990000</v>
          </cell>
          <cell r="AO289">
            <v>32232000</v>
          </cell>
        </row>
        <row r="290">
          <cell r="A290" t="str">
            <v>X</v>
          </cell>
          <cell r="B290" t="str">
            <v>I</v>
          </cell>
          <cell r="C290" t="str">
            <v>의류</v>
          </cell>
          <cell r="E290" t="str">
            <v>2</v>
          </cell>
          <cell r="F290" t="str">
            <v>8</v>
          </cell>
          <cell r="G290">
            <v>1</v>
          </cell>
          <cell r="H290">
            <v>8606736</v>
          </cell>
          <cell r="I290">
            <v>7</v>
          </cell>
          <cell r="J290">
            <v>484100</v>
          </cell>
          <cell r="K290">
            <v>1246000</v>
          </cell>
          <cell r="U290">
            <v>348</v>
          </cell>
          <cell r="AJ290">
            <v>45</v>
          </cell>
          <cell r="AK290">
            <v>3633750</v>
          </cell>
          <cell r="AN290">
            <v>61944000</v>
          </cell>
          <cell r="AO290">
            <v>8010000</v>
          </cell>
        </row>
        <row r="291">
          <cell r="A291" t="str">
            <v>X</v>
          </cell>
          <cell r="B291" t="str">
            <v>I</v>
          </cell>
          <cell r="C291" t="str">
            <v>의류</v>
          </cell>
          <cell r="E291" t="str">
            <v>2</v>
          </cell>
          <cell r="F291" t="str">
            <v>8</v>
          </cell>
          <cell r="G291">
            <v>1</v>
          </cell>
          <cell r="H291">
            <v>5481606</v>
          </cell>
          <cell r="I291">
            <v>4</v>
          </cell>
          <cell r="J291">
            <v>216000</v>
          </cell>
          <cell r="K291">
            <v>552000</v>
          </cell>
          <cell r="U291">
            <v>403</v>
          </cell>
          <cell r="AJ291">
            <v>114</v>
          </cell>
          <cell r="AK291">
            <v>7524550</v>
          </cell>
          <cell r="AN291">
            <v>55614000</v>
          </cell>
          <cell r="AO291">
            <v>15732000</v>
          </cell>
        </row>
        <row r="292">
          <cell r="A292" t="str">
            <v>X</v>
          </cell>
          <cell r="B292" t="str">
            <v>I</v>
          </cell>
          <cell r="C292" t="str">
            <v>의류</v>
          </cell>
          <cell r="E292" t="str">
            <v>2</v>
          </cell>
          <cell r="F292" t="str">
            <v>8</v>
          </cell>
          <cell r="G292">
            <v>1</v>
          </cell>
          <cell r="H292">
            <v>5432220</v>
          </cell>
          <cell r="I292">
            <v>5</v>
          </cell>
          <cell r="J292">
            <v>267400</v>
          </cell>
          <cell r="K292">
            <v>690000</v>
          </cell>
          <cell r="U292">
            <v>412</v>
          </cell>
          <cell r="AJ292">
            <v>84</v>
          </cell>
          <cell r="AK292">
            <v>5411795</v>
          </cell>
          <cell r="AN292">
            <v>56856000</v>
          </cell>
          <cell r="AO292">
            <v>11592000</v>
          </cell>
        </row>
        <row r="293">
          <cell r="A293" t="str">
            <v>X</v>
          </cell>
          <cell r="B293" t="str">
            <v>I</v>
          </cell>
          <cell r="C293" t="str">
            <v>의류</v>
          </cell>
          <cell r="E293" t="str">
            <v>2</v>
          </cell>
          <cell r="F293" t="str">
            <v>8</v>
          </cell>
          <cell r="G293">
            <v>1</v>
          </cell>
          <cell r="H293">
            <v>5905957</v>
          </cell>
          <cell r="I293">
            <v>7</v>
          </cell>
          <cell r="J293">
            <v>449200</v>
          </cell>
          <cell r="K293">
            <v>966000</v>
          </cell>
          <cell r="U293">
            <v>379</v>
          </cell>
          <cell r="AJ293">
            <v>43</v>
          </cell>
          <cell r="AK293">
            <v>2795600</v>
          </cell>
          <cell r="AN293">
            <v>52302000</v>
          </cell>
          <cell r="AO293">
            <v>5934000</v>
          </cell>
        </row>
        <row r="294">
          <cell r="A294" t="str">
            <v>X</v>
          </cell>
          <cell r="B294" t="str">
            <v>I</v>
          </cell>
          <cell r="C294" t="str">
            <v>의류</v>
          </cell>
          <cell r="E294" t="str">
            <v>2</v>
          </cell>
          <cell r="F294" t="str">
            <v>8</v>
          </cell>
          <cell r="G294">
            <v>1</v>
          </cell>
          <cell r="H294">
            <v>9332564</v>
          </cell>
          <cell r="I294">
            <v>20</v>
          </cell>
          <cell r="J294">
            <v>1295500</v>
          </cell>
          <cell r="K294">
            <v>2760000</v>
          </cell>
          <cell r="U294">
            <v>718</v>
          </cell>
          <cell r="AJ294">
            <v>140</v>
          </cell>
          <cell r="AK294">
            <v>9086800</v>
          </cell>
          <cell r="AN294">
            <v>99084000</v>
          </cell>
          <cell r="AO294">
            <v>19320000</v>
          </cell>
        </row>
        <row r="295">
          <cell r="A295" t="str">
            <v>X</v>
          </cell>
          <cell r="B295" t="str">
            <v>I</v>
          </cell>
          <cell r="C295" t="str">
            <v>의류</v>
          </cell>
          <cell r="E295" t="str">
            <v>2</v>
          </cell>
          <cell r="F295" t="str">
            <v>8</v>
          </cell>
          <cell r="G295">
            <v>1</v>
          </cell>
          <cell r="H295">
            <v>4587930</v>
          </cell>
          <cell r="I295">
            <v>17</v>
          </cell>
          <cell r="J295">
            <v>1077100</v>
          </cell>
          <cell r="K295">
            <v>2346000</v>
          </cell>
          <cell r="U295">
            <v>342</v>
          </cell>
          <cell r="AJ295">
            <v>103</v>
          </cell>
          <cell r="AK295">
            <v>6684495</v>
          </cell>
          <cell r="AN295">
            <v>47196000</v>
          </cell>
          <cell r="AO295">
            <v>14214000</v>
          </cell>
        </row>
        <row r="296">
          <cell r="A296" t="str">
            <v>X</v>
          </cell>
          <cell r="B296" t="str">
            <v>I</v>
          </cell>
          <cell r="C296" t="str">
            <v>의류</v>
          </cell>
          <cell r="E296" t="str">
            <v>2</v>
          </cell>
          <cell r="F296" t="str">
            <v>8</v>
          </cell>
          <cell r="G296">
            <v>1</v>
          </cell>
          <cell r="H296">
            <v>5513933</v>
          </cell>
          <cell r="I296">
            <v>10</v>
          </cell>
          <cell r="J296">
            <v>549300</v>
          </cell>
          <cell r="K296">
            <v>1380000</v>
          </cell>
          <cell r="U296">
            <v>397</v>
          </cell>
          <cell r="AJ296">
            <v>84</v>
          </cell>
          <cell r="AK296">
            <v>5372200</v>
          </cell>
          <cell r="AN296">
            <v>54786000</v>
          </cell>
          <cell r="AO296">
            <v>11592000</v>
          </cell>
        </row>
        <row r="297">
          <cell r="A297" t="str">
            <v>X</v>
          </cell>
          <cell r="B297" t="str">
            <v>I</v>
          </cell>
          <cell r="C297" t="str">
            <v>의류</v>
          </cell>
          <cell r="E297" t="str">
            <v>2</v>
          </cell>
          <cell r="F297" t="str">
            <v>8</v>
          </cell>
          <cell r="G297">
            <v>1</v>
          </cell>
          <cell r="H297">
            <v>3758664</v>
          </cell>
          <cell r="I297">
            <v>1</v>
          </cell>
          <cell r="J297">
            <v>53100</v>
          </cell>
          <cell r="K297">
            <v>118000</v>
          </cell>
          <cell r="U297">
            <v>312</v>
          </cell>
          <cell r="AJ297">
            <v>21</v>
          </cell>
          <cell r="AK297">
            <v>1163100</v>
          </cell>
          <cell r="AN297">
            <v>36816000</v>
          </cell>
          <cell r="AO297">
            <v>2478000</v>
          </cell>
        </row>
        <row r="298">
          <cell r="A298" t="str">
            <v>X</v>
          </cell>
          <cell r="B298" t="str">
            <v>I</v>
          </cell>
          <cell r="C298" t="str">
            <v>의류</v>
          </cell>
          <cell r="E298" t="str">
            <v>1</v>
          </cell>
          <cell r="F298" t="str">
            <v>9</v>
          </cell>
          <cell r="G298">
            <v>1</v>
          </cell>
          <cell r="H298">
            <v>15419916</v>
          </cell>
          <cell r="I298">
            <v>0</v>
          </cell>
          <cell r="J298">
            <v>0</v>
          </cell>
          <cell r="K298">
            <v>0</v>
          </cell>
          <cell r="U298">
            <v>402</v>
          </cell>
          <cell r="AJ298">
            <v>164</v>
          </cell>
          <cell r="AK298">
            <v>24655550</v>
          </cell>
          <cell r="AN298">
            <v>127836000</v>
          </cell>
          <cell r="AO298">
            <v>52152000</v>
          </cell>
        </row>
        <row r="299">
          <cell r="A299" t="str">
            <v>X</v>
          </cell>
          <cell r="B299" t="str">
            <v>I</v>
          </cell>
          <cell r="C299" t="str">
            <v>의류</v>
          </cell>
          <cell r="E299" t="str">
            <v>1</v>
          </cell>
          <cell r="F299" t="str">
            <v>9</v>
          </cell>
          <cell r="G299">
            <v>1</v>
          </cell>
          <cell r="H299">
            <v>11388168</v>
          </cell>
          <cell r="I299">
            <v>1</v>
          </cell>
          <cell r="J299">
            <v>161100</v>
          </cell>
          <cell r="K299">
            <v>358000</v>
          </cell>
          <cell r="U299">
            <v>297</v>
          </cell>
          <cell r="AJ299">
            <v>126</v>
          </cell>
          <cell r="AK299">
            <v>21574300</v>
          </cell>
          <cell r="AN299">
            <v>106326000</v>
          </cell>
          <cell r="AO299">
            <v>45108000</v>
          </cell>
        </row>
        <row r="300">
          <cell r="A300" t="str">
            <v>X</v>
          </cell>
          <cell r="B300" t="str">
            <v>I</v>
          </cell>
          <cell r="C300" t="str">
            <v>의류</v>
          </cell>
          <cell r="E300" t="str">
            <v>1</v>
          </cell>
          <cell r="F300" t="str">
            <v>9</v>
          </cell>
          <cell r="G300">
            <v>0</v>
          </cell>
          <cell r="H300">
            <v>14379000</v>
          </cell>
          <cell r="I300">
            <v>0</v>
          </cell>
          <cell r="J300">
            <v>0</v>
          </cell>
          <cell r="K300">
            <v>0</v>
          </cell>
          <cell r="U300">
            <v>375</v>
          </cell>
          <cell r="AJ300">
            <v>234</v>
          </cell>
          <cell r="AK300">
            <v>40125100</v>
          </cell>
          <cell r="AN300">
            <v>134250000</v>
          </cell>
          <cell r="AO300">
            <v>83772000</v>
          </cell>
        </row>
        <row r="301">
          <cell r="A301" t="str">
            <v>X</v>
          </cell>
          <cell r="B301" t="str">
            <v>I</v>
          </cell>
          <cell r="C301" t="str">
            <v>의류</v>
          </cell>
          <cell r="E301" t="str">
            <v>1</v>
          </cell>
          <cell r="F301" t="str">
            <v>9</v>
          </cell>
          <cell r="G301">
            <v>1</v>
          </cell>
          <cell r="H301">
            <v>11094176</v>
          </cell>
          <cell r="I301">
            <v>3</v>
          </cell>
          <cell r="J301">
            <v>345100</v>
          </cell>
          <cell r="K301">
            <v>1014000</v>
          </cell>
          <cell r="U301">
            <v>284</v>
          </cell>
          <cell r="AJ301">
            <v>145</v>
          </cell>
          <cell r="AK301">
            <v>18793600</v>
          </cell>
          <cell r="AN301">
            <v>95992000</v>
          </cell>
          <cell r="AO301">
            <v>49010000</v>
          </cell>
        </row>
        <row r="302">
          <cell r="A302" t="str">
            <v>X</v>
          </cell>
          <cell r="B302" t="str">
            <v>I</v>
          </cell>
          <cell r="C302" t="str">
            <v>의류</v>
          </cell>
          <cell r="E302" t="str">
            <v>1</v>
          </cell>
          <cell r="F302" t="str">
            <v>9</v>
          </cell>
          <cell r="G302">
            <v>0</v>
          </cell>
          <cell r="H302">
            <v>15000576</v>
          </cell>
          <cell r="I302">
            <v>10</v>
          </cell>
          <cell r="J302">
            <v>1190000</v>
          </cell>
          <cell r="K302">
            <v>3380000</v>
          </cell>
          <cell r="U302">
            <v>384</v>
          </cell>
          <cell r="AJ302">
            <v>252</v>
          </cell>
          <cell r="AK302">
            <v>34972800</v>
          </cell>
          <cell r="AN302">
            <v>129792000</v>
          </cell>
          <cell r="AO302">
            <v>85176000</v>
          </cell>
        </row>
        <row r="303">
          <cell r="A303" t="str">
            <v>X</v>
          </cell>
          <cell r="B303" t="str">
            <v>I</v>
          </cell>
          <cell r="C303" t="str">
            <v>의류</v>
          </cell>
          <cell r="E303" t="str">
            <v>1</v>
          </cell>
          <cell r="F303" t="str">
            <v>9</v>
          </cell>
          <cell r="G303">
            <v>1</v>
          </cell>
          <cell r="H303">
            <v>15972063</v>
          </cell>
          <cell r="I303">
            <v>3</v>
          </cell>
          <cell r="J303">
            <v>387000</v>
          </cell>
          <cell r="K303">
            <v>1074000</v>
          </cell>
          <cell r="U303">
            <v>347</v>
          </cell>
          <cell r="AJ303">
            <v>186</v>
          </cell>
          <cell r="AK303">
            <v>27208550</v>
          </cell>
          <cell r="AN303">
            <v>124226000</v>
          </cell>
          <cell r="AO303">
            <v>66588000</v>
          </cell>
        </row>
        <row r="304">
          <cell r="A304" t="str">
            <v>X</v>
          </cell>
          <cell r="B304" t="str">
            <v>I</v>
          </cell>
          <cell r="C304" t="str">
            <v>의류</v>
          </cell>
          <cell r="E304" t="str">
            <v>1</v>
          </cell>
          <cell r="F304" t="str">
            <v>9</v>
          </cell>
          <cell r="G304">
            <v>0</v>
          </cell>
          <cell r="H304">
            <v>18503658</v>
          </cell>
          <cell r="I304">
            <v>5</v>
          </cell>
          <cell r="J304">
            <v>632100</v>
          </cell>
          <cell r="K304">
            <v>1790000</v>
          </cell>
          <cell r="U304">
            <v>402</v>
          </cell>
          <cell r="AJ304">
            <v>187</v>
          </cell>
          <cell r="AK304">
            <v>27922450</v>
          </cell>
          <cell r="AN304">
            <v>143916000</v>
          </cell>
          <cell r="AO304">
            <v>66946000</v>
          </cell>
        </row>
        <row r="305">
          <cell r="A305" t="str">
            <v>X</v>
          </cell>
          <cell r="B305" t="str">
            <v>I</v>
          </cell>
          <cell r="C305" t="str">
            <v>의류</v>
          </cell>
          <cell r="E305" t="str">
            <v>2</v>
          </cell>
          <cell r="F305" t="str">
            <v>9</v>
          </cell>
          <cell r="G305">
            <v>1</v>
          </cell>
          <cell r="H305">
            <v>12721780</v>
          </cell>
          <cell r="I305">
            <v>14</v>
          </cell>
          <cell r="J305">
            <v>2163200</v>
          </cell>
          <cell r="K305">
            <v>4732000</v>
          </cell>
          <cell r="U305">
            <v>340</v>
          </cell>
          <cell r="AJ305">
            <v>113</v>
          </cell>
          <cell r="AK305">
            <v>17727650</v>
          </cell>
          <cell r="AN305">
            <v>114920000</v>
          </cell>
          <cell r="AO305">
            <v>38194000</v>
          </cell>
        </row>
        <row r="306">
          <cell r="A306" t="str">
            <v>X</v>
          </cell>
          <cell r="B306" t="str">
            <v>I</v>
          </cell>
          <cell r="C306" t="str">
            <v>의류</v>
          </cell>
          <cell r="E306" t="str">
            <v>2</v>
          </cell>
          <cell r="F306" t="str">
            <v>9</v>
          </cell>
          <cell r="G306">
            <v>0</v>
          </cell>
          <cell r="H306">
            <v>16014476</v>
          </cell>
          <cell r="I306">
            <v>23</v>
          </cell>
          <cell r="J306">
            <v>3577300</v>
          </cell>
          <cell r="K306">
            <v>7774000</v>
          </cell>
          <cell r="U306">
            <v>428</v>
          </cell>
          <cell r="AJ306">
            <v>255</v>
          </cell>
          <cell r="AK306">
            <v>39922090</v>
          </cell>
          <cell r="AN306">
            <v>144664000</v>
          </cell>
          <cell r="AO306">
            <v>86190000</v>
          </cell>
        </row>
        <row r="307">
          <cell r="A307" t="str">
            <v>X</v>
          </cell>
          <cell r="B307" t="str">
            <v>I</v>
          </cell>
          <cell r="C307" t="str">
            <v>의류</v>
          </cell>
          <cell r="E307" t="str">
            <v>2</v>
          </cell>
          <cell r="F307" t="str">
            <v>9</v>
          </cell>
          <cell r="G307">
            <v>1</v>
          </cell>
          <cell r="H307">
            <v>19665475</v>
          </cell>
          <cell r="I307">
            <v>4</v>
          </cell>
          <cell r="J307">
            <v>736200</v>
          </cell>
          <cell r="K307">
            <v>1592000</v>
          </cell>
          <cell r="U307">
            <v>361</v>
          </cell>
          <cell r="AJ307">
            <v>100</v>
          </cell>
          <cell r="AK307">
            <v>18565400</v>
          </cell>
          <cell r="AN307">
            <v>143678000</v>
          </cell>
          <cell r="AO307">
            <v>39800000</v>
          </cell>
        </row>
        <row r="308">
          <cell r="A308" t="str">
            <v>X</v>
          </cell>
          <cell r="B308" t="str">
            <v>I</v>
          </cell>
          <cell r="C308" t="str">
            <v>의류</v>
          </cell>
          <cell r="E308" t="str">
            <v>2</v>
          </cell>
          <cell r="F308" t="str">
            <v>9</v>
          </cell>
          <cell r="G308">
            <v>1</v>
          </cell>
          <cell r="H308">
            <v>13017340</v>
          </cell>
          <cell r="I308">
            <v>21</v>
          </cell>
          <cell r="J308">
            <v>3091800</v>
          </cell>
          <cell r="K308">
            <v>6678000</v>
          </cell>
          <cell r="U308">
            <v>359</v>
          </cell>
          <cell r="AJ308">
            <v>111</v>
          </cell>
          <cell r="AK308">
            <v>16014450</v>
          </cell>
          <cell r="AN308">
            <v>114162000</v>
          </cell>
          <cell r="AO308">
            <v>35298000</v>
          </cell>
        </row>
        <row r="309">
          <cell r="A309" t="str">
            <v>X</v>
          </cell>
          <cell r="B309" t="str">
            <v>I</v>
          </cell>
          <cell r="C309" t="str">
            <v>의류</v>
          </cell>
          <cell r="E309" t="str">
            <v>2</v>
          </cell>
          <cell r="F309" t="str">
            <v>9</v>
          </cell>
          <cell r="G309">
            <v>1</v>
          </cell>
          <cell r="H309">
            <v>25012400</v>
          </cell>
          <cell r="I309">
            <v>4</v>
          </cell>
          <cell r="J309">
            <v>736300</v>
          </cell>
          <cell r="K309">
            <v>1592000</v>
          </cell>
          <cell r="U309">
            <v>560</v>
          </cell>
          <cell r="AJ309">
            <v>50</v>
          </cell>
          <cell r="AK309">
            <v>9322500</v>
          </cell>
          <cell r="AN309">
            <v>222880000</v>
          </cell>
          <cell r="AO309">
            <v>19900000</v>
          </cell>
        </row>
        <row r="310">
          <cell r="A310" t="str">
            <v>X</v>
          </cell>
          <cell r="B310" t="str">
            <v>I</v>
          </cell>
          <cell r="C310" t="str">
            <v>의류</v>
          </cell>
          <cell r="E310" t="str">
            <v>2</v>
          </cell>
          <cell r="F310" t="str">
            <v>9</v>
          </cell>
          <cell r="G310">
            <v>1</v>
          </cell>
          <cell r="H310">
            <v>9454476</v>
          </cell>
          <cell r="I310">
            <v>3</v>
          </cell>
          <cell r="J310">
            <v>501200</v>
          </cell>
          <cell r="K310">
            <v>1074000</v>
          </cell>
          <cell r="U310">
            <v>228</v>
          </cell>
          <cell r="AJ310">
            <v>37</v>
          </cell>
          <cell r="AK310">
            <v>6129750</v>
          </cell>
          <cell r="AN310">
            <v>81624000</v>
          </cell>
          <cell r="AO310">
            <v>13246000</v>
          </cell>
        </row>
        <row r="311">
          <cell r="A311" t="str">
            <v>X</v>
          </cell>
          <cell r="B311" t="str">
            <v>I</v>
          </cell>
          <cell r="C311" t="str">
            <v>의류</v>
          </cell>
          <cell r="E311" t="str">
            <v>2</v>
          </cell>
          <cell r="F311" t="str">
            <v>9</v>
          </cell>
          <cell r="G311">
            <v>1</v>
          </cell>
          <cell r="H311">
            <v>20032800</v>
          </cell>
          <cell r="I311">
            <v>42</v>
          </cell>
          <cell r="J311">
            <v>6937400</v>
          </cell>
          <cell r="K311">
            <v>15036000</v>
          </cell>
          <cell r="U311">
            <v>600</v>
          </cell>
          <cell r="AJ311">
            <v>420</v>
          </cell>
          <cell r="AK311">
            <v>69137450</v>
          </cell>
          <cell r="AN311">
            <v>214800000</v>
          </cell>
          <cell r="AO311">
            <v>150360000</v>
          </cell>
        </row>
        <row r="312">
          <cell r="A312" t="str">
            <v>X</v>
          </cell>
          <cell r="B312" t="str">
            <v>I</v>
          </cell>
          <cell r="C312" t="str">
            <v>의류</v>
          </cell>
          <cell r="E312" t="str">
            <v>2</v>
          </cell>
          <cell r="F312" t="str">
            <v>9</v>
          </cell>
          <cell r="G312">
            <v>1</v>
          </cell>
          <cell r="H312">
            <v>10198836</v>
          </cell>
          <cell r="I312">
            <v>4</v>
          </cell>
          <cell r="J312">
            <v>680200</v>
          </cell>
          <cell r="K312">
            <v>1432000</v>
          </cell>
          <cell r="U312">
            <v>261</v>
          </cell>
          <cell r="AJ312">
            <v>55</v>
          </cell>
          <cell r="AK312">
            <v>9213800</v>
          </cell>
          <cell r="AN312">
            <v>93438000</v>
          </cell>
          <cell r="AO312">
            <v>19690000</v>
          </cell>
        </row>
        <row r="313">
          <cell r="A313" t="str">
            <v>X</v>
          </cell>
          <cell r="B313" t="str">
            <v>I</v>
          </cell>
          <cell r="C313" t="str">
            <v>의류</v>
          </cell>
          <cell r="E313" t="str">
            <v>2</v>
          </cell>
          <cell r="F313" t="str">
            <v>9</v>
          </cell>
          <cell r="G313">
            <v>1</v>
          </cell>
          <cell r="H313">
            <v>18039252</v>
          </cell>
          <cell r="I313">
            <v>14</v>
          </cell>
          <cell r="J313">
            <v>2188550</v>
          </cell>
          <cell r="K313">
            <v>4732000</v>
          </cell>
          <cell r="U313">
            <v>462</v>
          </cell>
          <cell r="AJ313">
            <v>255</v>
          </cell>
          <cell r="AK313">
            <v>40185745</v>
          </cell>
          <cell r="AN313">
            <v>156156000</v>
          </cell>
          <cell r="AO313">
            <v>86190000</v>
          </cell>
        </row>
        <row r="314">
          <cell r="A314" t="str">
            <v>X</v>
          </cell>
          <cell r="B314" t="str">
            <v>I</v>
          </cell>
          <cell r="C314" t="str">
            <v>의류</v>
          </cell>
          <cell r="E314" t="str">
            <v>1</v>
          </cell>
          <cell r="F314" t="str">
            <v>T</v>
          </cell>
          <cell r="G314">
            <v>1</v>
          </cell>
          <cell r="H314">
            <v>18158822</v>
          </cell>
          <cell r="I314">
            <v>0</v>
          </cell>
          <cell r="J314">
            <v>0</v>
          </cell>
          <cell r="K314">
            <v>0</v>
          </cell>
          <cell r="U314">
            <v>391</v>
          </cell>
          <cell r="AJ314">
            <v>78</v>
          </cell>
          <cell r="AK314">
            <v>14526200</v>
          </cell>
          <cell r="AN314">
            <v>155618000</v>
          </cell>
          <cell r="AO314">
            <v>31044000</v>
          </cell>
        </row>
        <row r="315">
          <cell r="A315" t="str">
            <v>X</v>
          </cell>
          <cell r="B315" t="str">
            <v>P</v>
          </cell>
          <cell r="C315" t="str">
            <v>의류</v>
          </cell>
          <cell r="E315" t="str">
            <v>1</v>
          </cell>
          <cell r="F315" t="str">
            <v>1</v>
          </cell>
          <cell r="G315">
            <v>1</v>
          </cell>
          <cell r="H315">
            <v>2759218</v>
          </cell>
          <cell r="I315">
            <v>0</v>
          </cell>
          <cell r="J315">
            <v>-20000</v>
          </cell>
          <cell r="K315">
            <v>0</v>
          </cell>
          <cell r="U315">
            <v>266</v>
          </cell>
          <cell r="AJ315">
            <v>199</v>
          </cell>
          <cell r="AK315">
            <v>7589600</v>
          </cell>
          <cell r="AN315">
            <v>20748000</v>
          </cell>
          <cell r="AO315">
            <v>15522000</v>
          </cell>
        </row>
        <row r="316">
          <cell r="A316" t="str">
            <v>X</v>
          </cell>
          <cell r="B316" t="str">
            <v>P</v>
          </cell>
          <cell r="C316" t="str">
            <v>의류</v>
          </cell>
          <cell r="E316" t="str">
            <v>1</v>
          </cell>
          <cell r="F316" t="str">
            <v>1</v>
          </cell>
          <cell r="G316">
            <v>0</v>
          </cell>
          <cell r="H316">
            <v>3879502</v>
          </cell>
          <cell r="I316">
            <v>0</v>
          </cell>
          <cell r="J316">
            <v>-3900</v>
          </cell>
          <cell r="K316">
            <v>0</v>
          </cell>
          <cell r="U316">
            <v>374</v>
          </cell>
          <cell r="AJ316">
            <v>118</v>
          </cell>
          <cell r="AK316">
            <v>4500600</v>
          </cell>
          <cell r="AN316">
            <v>29172000</v>
          </cell>
          <cell r="AO316">
            <v>9204000</v>
          </cell>
        </row>
        <row r="317">
          <cell r="A317" t="str">
            <v>X</v>
          </cell>
          <cell r="B317" t="str">
            <v>P</v>
          </cell>
          <cell r="C317" t="str">
            <v>의류</v>
          </cell>
          <cell r="E317" t="str">
            <v>1</v>
          </cell>
          <cell r="F317" t="str">
            <v>1</v>
          </cell>
          <cell r="G317">
            <v>0</v>
          </cell>
          <cell r="H317">
            <v>4844191</v>
          </cell>
          <cell r="I317">
            <v>1</v>
          </cell>
          <cell r="J317">
            <v>39000</v>
          </cell>
          <cell r="K317">
            <v>78000</v>
          </cell>
          <cell r="U317">
            <v>467</v>
          </cell>
          <cell r="AJ317">
            <v>218</v>
          </cell>
          <cell r="AK317">
            <v>8236000</v>
          </cell>
          <cell r="AN317">
            <v>36426000</v>
          </cell>
          <cell r="AO317">
            <v>17004000</v>
          </cell>
        </row>
        <row r="318">
          <cell r="A318" t="str">
            <v>X</v>
          </cell>
          <cell r="B318" t="str">
            <v>P</v>
          </cell>
          <cell r="C318" t="str">
            <v>의류</v>
          </cell>
          <cell r="E318" t="str">
            <v>1</v>
          </cell>
          <cell r="F318" t="str">
            <v>1</v>
          </cell>
          <cell r="G318">
            <v>0</v>
          </cell>
          <cell r="H318">
            <v>4885683</v>
          </cell>
          <cell r="I318">
            <v>0</v>
          </cell>
          <cell r="J318">
            <v>0</v>
          </cell>
          <cell r="K318">
            <v>0</v>
          </cell>
          <cell r="U318">
            <v>471</v>
          </cell>
          <cell r="AJ318">
            <v>232</v>
          </cell>
          <cell r="AK318">
            <v>8758100</v>
          </cell>
          <cell r="AN318">
            <v>36738000</v>
          </cell>
          <cell r="AO318">
            <v>18096000</v>
          </cell>
        </row>
        <row r="319">
          <cell r="A319" t="str">
            <v>X</v>
          </cell>
          <cell r="B319" t="str">
            <v>P</v>
          </cell>
          <cell r="C319" t="str">
            <v>의류</v>
          </cell>
          <cell r="E319" t="str">
            <v>1</v>
          </cell>
          <cell r="F319" t="str">
            <v>1</v>
          </cell>
          <cell r="G319">
            <v>1</v>
          </cell>
          <cell r="H319">
            <v>6783476</v>
          </cell>
          <cell r="I319">
            <v>1</v>
          </cell>
          <cell r="J319">
            <v>45000</v>
          </cell>
          <cell r="K319">
            <v>118000</v>
          </cell>
          <cell r="U319">
            <v>476</v>
          </cell>
          <cell r="AJ319">
            <v>293</v>
          </cell>
          <cell r="AK319">
            <v>15080000</v>
          </cell>
          <cell r="AN319">
            <v>56168000</v>
          </cell>
          <cell r="AO319">
            <v>34574000</v>
          </cell>
        </row>
        <row r="320">
          <cell r="A320" t="str">
            <v>X</v>
          </cell>
          <cell r="B320" t="str">
            <v>P</v>
          </cell>
          <cell r="C320" t="str">
            <v>의류</v>
          </cell>
          <cell r="E320" t="str">
            <v>1</v>
          </cell>
          <cell r="F320" t="str">
            <v>1</v>
          </cell>
          <cell r="G320">
            <v>0</v>
          </cell>
          <cell r="H320">
            <v>8906875</v>
          </cell>
          <cell r="I320">
            <v>3</v>
          </cell>
          <cell r="J320">
            <v>135000</v>
          </cell>
          <cell r="K320">
            <v>354000</v>
          </cell>
          <cell r="U320">
            <v>625</v>
          </cell>
          <cell r="AJ320">
            <v>156</v>
          </cell>
          <cell r="AK320">
            <v>8136050</v>
          </cell>
          <cell r="AN320">
            <v>73750000</v>
          </cell>
          <cell r="AO320">
            <v>18408000</v>
          </cell>
        </row>
        <row r="321">
          <cell r="A321" t="str">
            <v>X</v>
          </cell>
          <cell r="B321" t="str">
            <v>P</v>
          </cell>
          <cell r="C321" t="str">
            <v>의류</v>
          </cell>
          <cell r="E321" t="str">
            <v>1</v>
          </cell>
          <cell r="F321" t="str">
            <v>1</v>
          </cell>
          <cell r="G321">
            <v>0</v>
          </cell>
          <cell r="H321">
            <v>7025743</v>
          </cell>
          <cell r="I321">
            <v>1</v>
          </cell>
          <cell r="J321">
            <v>45000</v>
          </cell>
          <cell r="K321">
            <v>118000</v>
          </cell>
          <cell r="U321">
            <v>493</v>
          </cell>
          <cell r="AJ321">
            <v>128</v>
          </cell>
          <cell r="AK321">
            <v>6659000</v>
          </cell>
          <cell r="AN321">
            <v>58174000</v>
          </cell>
          <cell r="AO321">
            <v>15104000</v>
          </cell>
        </row>
        <row r="322">
          <cell r="A322" t="str">
            <v>X</v>
          </cell>
          <cell r="B322" t="str">
            <v>P</v>
          </cell>
          <cell r="C322" t="str">
            <v>의류</v>
          </cell>
          <cell r="E322" t="str">
            <v>1</v>
          </cell>
          <cell r="F322" t="str">
            <v>1</v>
          </cell>
          <cell r="G322">
            <v>1</v>
          </cell>
          <cell r="H322">
            <v>2896845</v>
          </cell>
          <cell r="I322">
            <v>-1</v>
          </cell>
          <cell r="J322">
            <v>-54000</v>
          </cell>
          <cell r="K322">
            <v>-108000</v>
          </cell>
          <cell r="U322">
            <v>235</v>
          </cell>
          <cell r="AJ322">
            <v>197</v>
          </cell>
          <cell r="AK322">
            <v>10028800</v>
          </cell>
          <cell r="AN322">
            <v>25380000</v>
          </cell>
          <cell r="AO322">
            <v>21276000</v>
          </cell>
        </row>
        <row r="323">
          <cell r="A323" t="str">
            <v>X</v>
          </cell>
          <cell r="B323" t="str">
            <v>P</v>
          </cell>
          <cell r="C323" t="str">
            <v>의류</v>
          </cell>
          <cell r="E323" t="str">
            <v>1</v>
          </cell>
          <cell r="F323" t="str">
            <v>1</v>
          </cell>
          <cell r="G323">
            <v>0</v>
          </cell>
          <cell r="H323">
            <v>4055583</v>
          </cell>
          <cell r="I323">
            <v>0</v>
          </cell>
          <cell r="J323">
            <v>0</v>
          </cell>
          <cell r="K323">
            <v>0</v>
          </cell>
          <cell r="U323">
            <v>329</v>
          </cell>
          <cell r="AJ323">
            <v>107</v>
          </cell>
          <cell r="AK323">
            <v>5519200</v>
          </cell>
          <cell r="AN323">
            <v>35532000</v>
          </cell>
          <cell r="AO323">
            <v>11556000</v>
          </cell>
        </row>
        <row r="324">
          <cell r="A324" t="str">
            <v>X</v>
          </cell>
          <cell r="B324" t="str">
            <v>P</v>
          </cell>
          <cell r="C324" t="str">
            <v>의류</v>
          </cell>
          <cell r="E324" t="str">
            <v>1</v>
          </cell>
          <cell r="F324" t="str">
            <v>1</v>
          </cell>
          <cell r="G324">
            <v>1</v>
          </cell>
          <cell r="H324">
            <v>6265504</v>
          </cell>
          <cell r="I324">
            <v>-1</v>
          </cell>
          <cell r="J324">
            <v>-79000</v>
          </cell>
          <cell r="K324">
            <v>-158000</v>
          </cell>
          <cell r="U324">
            <v>337</v>
          </cell>
          <cell r="AJ324">
            <v>180</v>
          </cell>
          <cell r="AK324">
            <v>13083350</v>
          </cell>
          <cell r="AN324">
            <v>53246000</v>
          </cell>
          <cell r="AO324">
            <v>28440000</v>
          </cell>
        </row>
        <row r="325">
          <cell r="A325" t="str">
            <v>X</v>
          </cell>
          <cell r="B325" t="str">
            <v>P</v>
          </cell>
          <cell r="C325" t="str">
            <v>의류</v>
          </cell>
          <cell r="E325" t="str">
            <v>1</v>
          </cell>
          <cell r="F325" t="str">
            <v>1</v>
          </cell>
          <cell r="G325">
            <v>0</v>
          </cell>
          <cell r="H325">
            <v>8998528</v>
          </cell>
          <cell r="I325">
            <v>2</v>
          </cell>
          <cell r="J325">
            <v>142200</v>
          </cell>
          <cell r="K325">
            <v>316000</v>
          </cell>
          <cell r="U325">
            <v>484</v>
          </cell>
          <cell r="AJ325">
            <v>248</v>
          </cell>
          <cell r="AK325">
            <v>18806100</v>
          </cell>
          <cell r="AN325">
            <v>76472000</v>
          </cell>
          <cell r="AO325">
            <v>39184000</v>
          </cell>
        </row>
        <row r="326">
          <cell r="A326" t="str">
            <v>X</v>
          </cell>
          <cell r="B326" t="str">
            <v>P</v>
          </cell>
          <cell r="C326" t="str">
            <v>의류</v>
          </cell>
          <cell r="E326" t="str">
            <v>1</v>
          </cell>
          <cell r="F326" t="str">
            <v>1</v>
          </cell>
          <cell r="G326">
            <v>1</v>
          </cell>
          <cell r="H326">
            <v>7730384</v>
          </cell>
          <cell r="I326">
            <v>-3</v>
          </cell>
          <cell r="J326">
            <v>-237000</v>
          </cell>
          <cell r="K326">
            <v>-474000</v>
          </cell>
          <cell r="U326">
            <v>397</v>
          </cell>
          <cell r="AJ326">
            <v>230</v>
          </cell>
          <cell r="AK326">
            <v>17772100</v>
          </cell>
          <cell r="AN326">
            <v>62726000</v>
          </cell>
          <cell r="AO326">
            <v>36340000</v>
          </cell>
        </row>
        <row r="327">
          <cell r="A327" t="str">
            <v>X</v>
          </cell>
          <cell r="B327" t="str">
            <v>P</v>
          </cell>
          <cell r="C327" t="str">
            <v>의류</v>
          </cell>
          <cell r="E327" t="str">
            <v>1</v>
          </cell>
          <cell r="F327" t="str">
            <v>1</v>
          </cell>
          <cell r="G327">
            <v>0</v>
          </cell>
          <cell r="H327">
            <v>7068336</v>
          </cell>
          <cell r="I327">
            <v>0</v>
          </cell>
          <cell r="J327">
            <v>0</v>
          </cell>
          <cell r="K327">
            <v>0</v>
          </cell>
          <cell r="U327">
            <v>363</v>
          </cell>
          <cell r="AJ327">
            <v>151</v>
          </cell>
          <cell r="AK327">
            <v>11630100</v>
          </cell>
          <cell r="AN327">
            <v>57354000</v>
          </cell>
          <cell r="AO327">
            <v>23858000</v>
          </cell>
        </row>
        <row r="328">
          <cell r="A328" t="str">
            <v>X</v>
          </cell>
          <cell r="B328" t="str">
            <v>P</v>
          </cell>
          <cell r="C328" t="str">
            <v>의류</v>
          </cell>
          <cell r="E328" t="str">
            <v>1</v>
          </cell>
          <cell r="F328" t="str">
            <v>1</v>
          </cell>
          <cell r="G328">
            <v>1</v>
          </cell>
          <cell r="H328">
            <v>6946842</v>
          </cell>
          <cell r="I328">
            <v>0</v>
          </cell>
          <cell r="J328">
            <v>0</v>
          </cell>
          <cell r="K328">
            <v>0</v>
          </cell>
          <cell r="U328">
            <v>386</v>
          </cell>
          <cell r="AJ328">
            <v>346</v>
          </cell>
          <cell r="AK328">
            <v>26532900</v>
          </cell>
          <cell r="AN328">
            <v>60988000</v>
          </cell>
          <cell r="AO328">
            <v>54668000</v>
          </cell>
        </row>
        <row r="329">
          <cell r="A329" t="str">
            <v>X</v>
          </cell>
          <cell r="B329" t="str">
            <v>P</v>
          </cell>
          <cell r="C329" t="str">
            <v>의류</v>
          </cell>
          <cell r="E329" t="str">
            <v>1</v>
          </cell>
          <cell r="F329" t="str">
            <v>1</v>
          </cell>
          <cell r="G329">
            <v>0</v>
          </cell>
          <cell r="H329">
            <v>6856857</v>
          </cell>
          <cell r="I329">
            <v>0</v>
          </cell>
          <cell r="J329">
            <v>0</v>
          </cell>
          <cell r="K329">
            <v>0</v>
          </cell>
          <cell r="U329">
            <v>381</v>
          </cell>
          <cell r="AJ329">
            <v>203</v>
          </cell>
          <cell r="AK329">
            <v>15442700</v>
          </cell>
          <cell r="AN329">
            <v>60198000</v>
          </cell>
          <cell r="AO329">
            <v>32074000</v>
          </cell>
        </row>
        <row r="330">
          <cell r="A330" t="str">
            <v>X</v>
          </cell>
          <cell r="B330" t="str">
            <v>P</v>
          </cell>
          <cell r="C330" t="str">
            <v>의류</v>
          </cell>
          <cell r="E330" t="str">
            <v>1</v>
          </cell>
          <cell r="F330" t="str">
            <v>1</v>
          </cell>
          <cell r="G330">
            <v>0</v>
          </cell>
          <cell r="H330">
            <v>7324779</v>
          </cell>
          <cell r="I330">
            <v>0</v>
          </cell>
          <cell r="J330">
            <v>0</v>
          </cell>
          <cell r="K330">
            <v>0</v>
          </cell>
          <cell r="U330">
            <v>407</v>
          </cell>
          <cell r="AJ330">
            <v>243</v>
          </cell>
          <cell r="AK330">
            <v>18226550</v>
          </cell>
          <cell r="AN330">
            <v>64306000</v>
          </cell>
          <cell r="AO330">
            <v>38394000</v>
          </cell>
        </row>
        <row r="331">
          <cell r="A331" t="str">
            <v>X</v>
          </cell>
          <cell r="B331" t="str">
            <v>P</v>
          </cell>
          <cell r="C331" t="str">
            <v>의류</v>
          </cell>
          <cell r="E331" t="str">
            <v>1</v>
          </cell>
          <cell r="F331" t="str">
            <v>1</v>
          </cell>
          <cell r="G331">
            <v>1</v>
          </cell>
          <cell r="H331">
            <v>9321579</v>
          </cell>
          <cell r="I331">
            <v>0</v>
          </cell>
          <cell r="J331">
            <v>0</v>
          </cell>
          <cell r="K331">
            <v>0</v>
          </cell>
          <cell r="U331">
            <v>463</v>
          </cell>
          <cell r="AJ331">
            <v>202</v>
          </cell>
          <cell r="AK331">
            <v>15501850</v>
          </cell>
          <cell r="AN331">
            <v>73154000</v>
          </cell>
          <cell r="AO331">
            <v>31916000</v>
          </cell>
        </row>
        <row r="332">
          <cell r="A332" t="str">
            <v>X</v>
          </cell>
          <cell r="B332" t="str">
            <v>P</v>
          </cell>
          <cell r="C332" t="str">
            <v>의류</v>
          </cell>
          <cell r="E332" t="str">
            <v>1</v>
          </cell>
          <cell r="F332" t="str">
            <v>1</v>
          </cell>
          <cell r="G332">
            <v>1</v>
          </cell>
          <cell r="H332">
            <v>7512974</v>
          </cell>
          <cell r="I332">
            <v>-4</v>
          </cell>
          <cell r="J332">
            <v>-300200</v>
          </cell>
          <cell r="K332">
            <v>-632000</v>
          </cell>
          <cell r="U332">
            <v>434</v>
          </cell>
          <cell r="AJ332">
            <v>388</v>
          </cell>
          <cell r="AK332">
            <v>29787100</v>
          </cell>
          <cell r="AN332">
            <v>68572000</v>
          </cell>
          <cell r="AO332">
            <v>61304000</v>
          </cell>
        </row>
        <row r="333">
          <cell r="A333" t="str">
            <v>X</v>
          </cell>
          <cell r="B333" t="str">
            <v>P</v>
          </cell>
          <cell r="C333" t="str">
            <v>의류</v>
          </cell>
          <cell r="E333" t="str">
            <v>1</v>
          </cell>
          <cell r="F333" t="str">
            <v>1</v>
          </cell>
          <cell r="G333">
            <v>0</v>
          </cell>
          <cell r="H333">
            <v>7824572</v>
          </cell>
          <cell r="I333">
            <v>2</v>
          </cell>
          <cell r="J333">
            <v>158000</v>
          </cell>
          <cell r="K333">
            <v>316000</v>
          </cell>
          <cell r="U333">
            <v>452</v>
          </cell>
          <cell r="AJ333">
            <v>335</v>
          </cell>
          <cell r="AK333">
            <v>25003100</v>
          </cell>
          <cell r="AN333">
            <v>71416000</v>
          </cell>
          <cell r="AO333">
            <v>52930000</v>
          </cell>
        </row>
        <row r="334">
          <cell r="A334" t="str">
            <v>X</v>
          </cell>
          <cell r="B334" t="str">
            <v>P</v>
          </cell>
          <cell r="C334" t="str">
            <v>의류</v>
          </cell>
          <cell r="E334" t="str">
            <v>1</v>
          </cell>
          <cell r="F334" t="str">
            <v>1</v>
          </cell>
          <cell r="G334">
            <v>1</v>
          </cell>
          <cell r="H334">
            <v>5486712</v>
          </cell>
          <cell r="I334">
            <v>1</v>
          </cell>
          <cell r="J334">
            <v>71100</v>
          </cell>
          <cell r="K334">
            <v>158000</v>
          </cell>
          <cell r="U334">
            <v>308</v>
          </cell>
          <cell r="AJ334">
            <v>38</v>
          </cell>
          <cell r="AK334">
            <v>2740900</v>
          </cell>
          <cell r="AN334">
            <v>48664000</v>
          </cell>
          <cell r="AO334">
            <v>6004000</v>
          </cell>
        </row>
        <row r="335">
          <cell r="A335" t="str">
            <v>X</v>
          </cell>
          <cell r="B335" t="str">
            <v>P</v>
          </cell>
          <cell r="C335" t="str">
            <v>의류</v>
          </cell>
          <cell r="E335" t="str">
            <v>1</v>
          </cell>
          <cell r="F335" t="str">
            <v>1</v>
          </cell>
          <cell r="G335">
            <v>0</v>
          </cell>
          <cell r="H335">
            <v>7232484</v>
          </cell>
          <cell r="I335">
            <v>1</v>
          </cell>
          <cell r="J335">
            <v>79000</v>
          </cell>
          <cell r="K335">
            <v>158000</v>
          </cell>
          <cell r="U335">
            <v>406</v>
          </cell>
          <cell r="AJ335">
            <v>53</v>
          </cell>
          <cell r="AK335">
            <v>3919250</v>
          </cell>
          <cell r="AN335">
            <v>64148000</v>
          </cell>
          <cell r="AO335">
            <v>8374000</v>
          </cell>
        </row>
        <row r="336">
          <cell r="A336" t="str">
            <v>X</v>
          </cell>
          <cell r="B336" t="str">
            <v>P</v>
          </cell>
          <cell r="C336" t="str">
            <v>의류</v>
          </cell>
          <cell r="E336" t="str">
            <v>2</v>
          </cell>
          <cell r="F336" t="str">
            <v>1</v>
          </cell>
          <cell r="G336">
            <v>1</v>
          </cell>
          <cell r="H336">
            <v>4066608</v>
          </cell>
          <cell r="I336">
            <v>1</v>
          </cell>
          <cell r="J336">
            <v>39000</v>
          </cell>
          <cell r="K336">
            <v>78000</v>
          </cell>
          <cell r="U336">
            <v>399</v>
          </cell>
          <cell r="AJ336">
            <v>79</v>
          </cell>
          <cell r="AK336">
            <v>2829900</v>
          </cell>
          <cell r="AN336">
            <v>31122000</v>
          </cell>
          <cell r="AO336">
            <v>6162000</v>
          </cell>
        </row>
        <row r="337">
          <cell r="A337" t="str">
            <v>X</v>
          </cell>
          <cell r="B337" t="str">
            <v>P</v>
          </cell>
          <cell r="C337" t="str">
            <v>의류</v>
          </cell>
          <cell r="E337" t="str">
            <v>2</v>
          </cell>
          <cell r="F337" t="str">
            <v>1</v>
          </cell>
          <cell r="G337">
            <v>0</v>
          </cell>
          <cell r="H337">
            <v>5034848</v>
          </cell>
          <cell r="I337">
            <v>4</v>
          </cell>
          <cell r="J337">
            <v>136000</v>
          </cell>
          <cell r="K337">
            <v>312000</v>
          </cell>
          <cell r="U337">
            <v>494</v>
          </cell>
          <cell r="AJ337">
            <v>49</v>
          </cell>
          <cell r="AK337">
            <v>1835900</v>
          </cell>
          <cell r="AN337">
            <v>38532000</v>
          </cell>
          <cell r="AO337">
            <v>3822000</v>
          </cell>
        </row>
        <row r="338">
          <cell r="A338" t="str">
            <v>X</v>
          </cell>
          <cell r="B338" t="str">
            <v>P</v>
          </cell>
          <cell r="C338" t="str">
            <v>의류</v>
          </cell>
          <cell r="E338" t="str">
            <v>2</v>
          </cell>
          <cell r="F338" t="str">
            <v>1</v>
          </cell>
          <cell r="G338">
            <v>0</v>
          </cell>
          <cell r="H338">
            <v>8184176</v>
          </cell>
          <cell r="I338">
            <v>6</v>
          </cell>
          <cell r="J338">
            <v>222300</v>
          </cell>
          <cell r="K338">
            <v>468000</v>
          </cell>
          <cell r="U338">
            <v>803</v>
          </cell>
          <cell r="AJ338">
            <v>61</v>
          </cell>
          <cell r="AK338">
            <v>2282700</v>
          </cell>
          <cell r="AN338">
            <v>62634000</v>
          </cell>
          <cell r="AO338">
            <v>4758000</v>
          </cell>
        </row>
        <row r="339">
          <cell r="A339" t="str">
            <v>X</v>
          </cell>
          <cell r="B339" t="str">
            <v>P</v>
          </cell>
          <cell r="C339" t="str">
            <v>의류</v>
          </cell>
          <cell r="E339" t="str">
            <v>2</v>
          </cell>
          <cell r="F339" t="str">
            <v>1</v>
          </cell>
          <cell r="G339">
            <v>0</v>
          </cell>
          <cell r="H339">
            <v>4066608</v>
          </cell>
          <cell r="I339">
            <v>4</v>
          </cell>
          <cell r="J339">
            <v>148200</v>
          </cell>
          <cell r="K339">
            <v>312000</v>
          </cell>
          <cell r="U339">
            <v>399</v>
          </cell>
          <cell r="AJ339">
            <v>54</v>
          </cell>
          <cell r="AK339">
            <v>2025300</v>
          </cell>
          <cell r="AN339">
            <v>31122000</v>
          </cell>
          <cell r="AO339">
            <v>4212000</v>
          </cell>
        </row>
        <row r="340">
          <cell r="A340" t="str">
            <v>X</v>
          </cell>
          <cell r="B340" t="str">
            <v>P</v>
          </cell>
          <cell r="C340" t="str">
            <v>의류</v>
          </cell>
          <cell r="E340" t="str">
            <v>2</v>
          </cell>
          <cell r="F340" t="str">
            <v>1</v>
          </cell>
          <cell r="G340">
            <v>0</v>
          </cell>
          <cell r="H340">
            <v>6125392</v>
          </cell>
          <cell r="I340">
            <v>4</v>
          </cell>
          <cell r="J340">
            <v>152100</v>
          </cell>
          <cell r="K340">
            <v>312000</v>
          </cell>
          <cell r="U340">
            <v>601</v>
          </cell>
          <cell r="AJ340">
            <v>122</v>
          </cell>
          <cell r="AK340">
            <v>4473700</v>
          </cell>
          <cell r="AN340">
            <v>46878000</v>
          </cell>
          <cell r="AO340">
            <v>9516000</v>
          </cell>
        </row>
        <row r="341">
          <cell r="A341" t="str">
            <v>X</v>
          </cell>
          <cell r="B341" t="str">
            <v>P</v>
          </cell>
          <cell r="C341" t="str">
            <v>의류</v>
          </cell>
          <cell r="E341" t="str">
            <v>2</v>
          </cell>
          <cell r="F341" t="str">
            <v>1</v>
          </cell>
          <cell r="G341">
            <v>1</v>
          </cell>
          <cell r="H341">
            <v>7404832</v>
          </cell>
          <cell r="I341">
            <v>11</v>
          </cell>
          <cell r="J341">
            <v>568600</v>
          </cell>
          <cell r="K341">
            <v>1188000</v>
          </cell>
          <cell r="U341">
            <v>608</v>
          </cell>
          <cell r="AJ341">
            <v>203</v>
          </cell>
          <cell r="AK341">
            <v>10338400</v>
          </cell>
          <cell r="AN341">
            <v>65664000</v>
          </cell>
          <cell r="AO341">
            <v>21924000</v>
          </cell>
        </row>
        <row r="342">
          <cell r="A342" t="str">
            <v>X</v>
          </cell>
          <cell r="B342" t="str">
            <v>P</v>
          </cell>
          <cell r="C342" t="str">
            <v>의류</v>
          </cell>
          <cell r="E342" t="str">
            <v>2</v>
          </cell>
          <cell r="F342" t="str">
            <v>1</v>
          </cell>
          <cell r="G342">
            <v>0</v>
          </cell>
          <cell r="H342">
            <v>7380474</v>
          </cell>
          <cell r="I342">
            <v>10</v>
          </cell>
          <cell r="J342">
            <v>472200</v>
          </cell>
          <cell r="K342">
            <v>1080000</v>
          </cell>
          <cell r="U342">
            <v>606</v>
          </cell>
          <cell r="AJ342">
            <v>254</v>
          </cell>
          <cell r="AK342">
            <v>12575000</v>
          </cell>
          <cell r="AN342">
            <v>65448000</v>
          </cell>
          <cell r="AO342">
            <v>27432000</v>
          </cell>
        </row>
        <row r="343">
          <cell r="A343" t="str">
            <v>X</v>
          </cell>
          <cell r="B343" t="str">
            <v>P</v>
          </cell>
          <cell r="C343" t="str">
            <v>의류</v>
          </cell>
          <cell r="E343" t="str">
            <v>2</v>
          </cell>
          <cell r="F343" t="str">
            <v>1</v>
          </cell>
          <cell r="G343">
            <v>1</v>
          </cell>
          <cell r="H343">
            <v>12924105</v>
          </cell>
          <cell r="I343">
            <v>7</v>
          </cell>
          <cell r="J343">
            <v>422300</v>
          </cell>
          <cell r="K343">
            <v>966000</v>
          </cell>
          <cell r="U343">
            <v>807</v>
          </cell>
          <cell r="AJ343">
            <v>194</v>
          </cell>
          <cell r="AK343">
            <v>12426500</v>
          </cell>
          <cell r="AN343">
            <v>111366000</v>
          </cell>
          <cell r="AO343">
            <v>26772000</v>
          </cell>
        </row>
        <row r="344">
          <cell r="A344" t="str">
            <v>X</v>
          </cell>
          <cell r="B344" t="str">
            <v>P</v>
          </cell>
          <cell r="C344" t="str">
            <v>의류</v>
          </cell>
          <cell r="E344" t="str">
            <v>2</v>
          </cell>
          <cell r="F344" t="str">
            <v>1</v>
          </cell>
          <cell r="G344">
            <v>0</v>
          </cell>
          <cell r="H344">
            <v>7479005</v>
          </cell>
          <cell r="I344">
            <v>6</v>
          </cell>
          <cell r="J344">
            <v>377100</v>
          </cell>
          <cell r="K344">
            <v>828000</v>
          </cell>
          <cell r="U344">
            <v>467</v>
          </cell>
          <cell r="AJ344">
            <v>78</v>
          </cell>
          <cell r="AK344">
            <v>5169900</v>
          </cell>
          <cell r="AN344">
            <v>64446000</v>
          </cell>
          <cell r="AO344">
            <v>10764000</v>
          </cell>
        </row>
        <row r="345">
          <cell r="A345" t="str">
            <v>X</v>
          </cell>
          <cell r="B345" t="str">
            <v>P</v>
          </cell>
          <cell r="C345" t="str">
            <v>의류</v>
          </cell>
          <cell r="E345" t="str">
            <v>2</v>
          </cell>
          <cell r="F345" t="str">
            <v>1</v>
          </cell>
          <cell r="G345">
            <v>1</v>
          </cell>
          <cell r="H345">
            <v>7671930</v>
          </cell>
          <cell r="I345">
            <v>10</v>
          </cell>
          <cell r="J345">
            <v>548700</v>
          </cell>
          <cell r="K345">
            <v>1180000</v>
          </cell>
          <cell r="U345">
            <v>614</v>
          </cell>
          <cell r="AJ345">
            <v>96</v>
          </cell>
          <cell r="AK345">
            <v>5189300</v>
          </cell>
          <cell r="AN345">
            <v>72452000</v>
          </cell>
          <cell r="AO345">
            <v>11328000</v>
          </cell>
        </row>
        <row r="346">
          <cell r="A346" t="str">
            <v>X</v>
          </cell>
          <cell r="B346" t="str">
            <v>P</v>
          </cell>
          <cell r="C346" t="str">
            <v>의류</v>
          </cell>
          <cell r="E346" t="str">
            <v>2</v>
          </cell>
          <cell r="F346" t="str">
            <v>1</v>
          </cell>
          <cell r="G346">
            <v>0</v>
          </cell>
          <cell r="H346">
            <v>10870650</v>
          </cell>
          <cell r="I346">
            <v>47</v>
          </cell>
          <cell r="J346">
            <v>2472700</v>
          </cell>
          <cell r="K346">
            <v>5546000</v>
          </cell>
          <cell r="U346">
            <v>870</v>
          </cell>
          <cell r="AJ346">
            <v>404</v>
          </cell>
          <cell r="AK346">
            <v>21903100</v>
          </cell>
          <cell r="AN346">
            <v>102660000</v>
          </cell>
          <cell r="AO346">
            <v>47672000</v>
          </cell>
        </row>
        <row r="347">
          <cell r="A347" t="str">
            <v>X</v>
          </cell>
          <cell r="B347" t="str">
            <v>P</v>
          </cell>
          <cell r="C347" t="str">
            <v>의류</v>
          </cell>
          <cell r="E347" t="str">
            <v>2</v>
          </cell>
          <cell r="F347" t="str">
            <v>1</v>
          </cell>
          <cell r="G347">
            <v>0</v>
          </cell>
          <cell r="H347">
            <v>8783985</v>
          </cell>
          <cell r="I347">
            <v>18</v>
          </cell>
          <cell r="J347">
            <v>958900</v>
          </cell>
          <cell r="K347">
            <v>2124000</v>
          </cell>
          <cell r="U347">
            <v>703</v>
          </cell>
          <cell r="AJ347">
            <v>174</v>
          </cell>
          <cell r="AK347">
            <v>9422650</v>
          </cell>
          <cell r="AN347">
            <v>82954000</v>
          </cell>
          <cell r="AO347">
            <v>20532000</v>
          </cell>
        </row>
        <row r="348">
          <cell r="A348" t="str">
            <v>X</v>
          </cell>
          <cell r="B348" t="str">
            <v>P</v>
          </cell>
          <cell r="C348" t="str">
            <v>의류</v>
          </cell>
          <cell r="E348" t="str">
            <v>2</v>
          </cell>
          <cell r="F348" t="str">
            <v>1</v>
          </cell>
          <cell r="G348">
            <v>1</v>
          </cell>
          <cell r="H348">
            <v>9330216</v>
          </cell>
          <cell r="I348">
            <v>9</v>
          </cell>
          <cell r="J348">
            <v>621000</v>
          </cell>
          <cell r="K348">
            <v>1602000</v>
          </cell>
          <cell r="U348">
            <v>444</v>
          </cell>
          <cell r="AJ348">
            <v>56</v>
          </cell>
          <cell r="AK348">
            <v>4386300</v>
          </cell>
          <cell r="AN348">
            <v>79032000</v>
          </cell>
          <cell r="AO348">
            <v>9968000</v>
          </cell>
        </row>
        <row r="349">
          <cell r="A349" t="str">
            <v>X</v>
          </cell>
          <cell r="B349" t="str">
            <v>P</v>
          </cell>
          <cell r="C349" t="str">
            <v>의류</v>
          </cell>
          <cell r="E349" t="str">
            <v>2</v>
          </cell>
          <cell r="F349" t="str">
            <v>1</v>
          </cell>
          <cell r="G349">
            <v>1</v>
          </cell>
          <cell r="H349">
            <v>3035250</v>
          </cell>
          <cell r="I349">
            <v>8</v>
          </cell>
          <cell r="J349">
            <v>246400</v>
          </cell>
          <cell r="K349">
            <v>624000</v>
          </cell>
          <cell r="U349">
            <v>426</v>
          </cell>
          <cell r="AJ349">
            <v>111</v>
          </cell>
          <cell r="AK349">
            <v>4083450</v>
          </cell>
          <cell r="AN349">
            <v>33228000</v>
          </cell>
          <cell r="AO349">
            <v>8658000</v>
          </cell>
        </row>
        <row r="350">
          <cell r="A350" t="str">
            <v>X</v>
          </cell>
          <cell r="B350" t="str">
            <v>P</v>
          </cell>
          <cell r="C350" t="str">
            <v>의류</v>
          </cell>
          <cell r="E350" t="str">
            <v>2</v>
          </cell>
          <cell r="F350" t="str">
            <v>1</v>
          </cell>
          <cell r="G350">
            <v>0</v>
          </cell>
          <cell r="H350">
            <v>3719250</v>
          </cell>
          <cell r="I350">
            <v>14</v>
          </cell>
          <cell r="J350">
            <v>534300</v>
          </cell>
          <cell r="K350">
            <v>1092000</v>
          </cell>
          <cell r="U350">
            <v>522</v>
          </cell>
          <cell r="AJ350">
            <v>164</v>
          </cell>
          <cell r="AK350">
            <v>6225100</v>
          </cell>
          <cell r="AN350">
            <v>40716000</v>
          </cell>
          <cell r="AO350">
            <v>12792000</v>
          </cell>
        </row>
        <row r="351">
          <cell r="A351" t="str">
            <v>X</v>
          </cell>
          <cell r="B351" t="str">
            <v>P</v>
          </cell>
          <cell r="C351" t="str">
            <v>의류</v>
          </cell>
          <cell r="E351" t="str">
            <v>2</v>
          </cell>
          <cell r="F351" t="str">
            <v>1</v>
          </cell>
          <cell r="G351">
            <v>0</v>
          </cell>
          <cell r="H351">
            <v>3783375</v>
          </cell>
          <cell r="I351">
            <v>10</v>
          </cell>
          <cell r="J351">
            <v>348300</v>
          </cell>
          <cell r="K351">
            <v>780000</v>
          </cell>
          <cell r="U351">
            <v>531</v>
          </cell>
          <cell r="AJ351">
            <v>157</v>
          </cell>
          <cell r="AK351">
            <v>5631345</v>
          </cell>
          <cell r="AN351">
            <v>41418000</v>
          </cell>
          <cell r="AO351">
            <v>12246000</v>
          </cell>
        </row>
        <row r="352">
          <cell r="A352" t="str">
            <v>X</v>
          </cell>
          <cell r="B352" t="str">
            <v>P</v>
          </cell>
          <cell r="C352" t="str">
            <v>의류</v>
          </cell>
          <cell r="E352" t="str">
            <v>2</v>
          </cell>
          <cell r="F352" t="str">
            <v>1</v>
          </cell>
          <cell r="G352">
            <v>1</v>
          </cell>
          <cell r="H352">
            <v>7827870</v>
          </cell>
          <cell r="I352">
            <v>13</v>
          </cell>
          <cell r="J352">
            <v>609400</v>
          </cell>
          <cell r="K352">
            <v>1794000</v>
          </cell>
          <cell r="U352">
            <v>622</v>
          </cell>
          <cell r="AJ352">
            <v>149</v>
          </cell>
          <cell r="AK352">
            <v>8250200</v>
          </cell>
          <cell r="AN352">
            <v>85836000</v>
          </cell>
          <cell r="AO352">
            <v>20562000</v>
          </cell>
        </row>
        <row r="353">
          <cell r="A353" t="str">
            <v>X</v>
          </cell>
          <cell r="B353" t="str">
            <v>P</v>
          </cell>
          <cell r="C353" t="str">
            <v>의류</v>
          </cell>
          <cell r="E353" t="str">
            <v>2</v>
          </cell>
          <cell r="F353" t="str">
            <v>1</v>
          </cell>
          <cell r="G353">
            <v>1</v>
          </cell>
          <cell r="H353">
            <v>9872460</v>
          </cell>
          <cell r="I353">
            <v>14</v>
          </cell>
          <cell r="J353">
            <v>826000</v>
          </cell>
          <cell r="K353">
            <v>2212000</v>
          </cell>
          <cell r="U353">
            <v>780</v>
          </cell>
          <cell r="AJ353">
            <v>56</v>
          </cell>
          <cell r="AK353">
            <v>3646000</v>
          </cell>
          <cell r="AN353">
            <v>123240000</v>
          </cell>
          <cell r="AO353">
            <v>8848000</v>
          </cell>
        </row>
        <row r="354">
          <cell r="A354" t="str">
            <v>X</v>
          </cell>
          <cell r="B354" t="str">
            <v>P</v>
          </cell>
          <cell r="C354" t="str">
            <v>의류</v>
          </cell>
          <cell r="E354" t="str">
            <v>2</v>
          </cell>
          <cell r="F354" t="str">
            <v>1</v>
          </cell>
          <cell r="G354">
            <v>0</v>
          </cell>
          <cell r="H354">
            <v>8720673</v>
          </cell>
          <cell r="I354">
            <v>16</v>
          </cell>
          <cell r="J354">
            <v>924000</v>
          </cell>
          <cell r="K354">
            <v>2528000</v>
          </cell>
          <cell r="U354">
            <v>689</v>
          </cell>
          <cell r="AJ354">
            <v>106</v>
          </cell>
          <cell r="AK354">
            <v>7184400</v>
          </cell>
          <cell r="AN354">
            <v>108862000</v>
          </cell>
          <cell r="AO354">
            <v>16748000</v>
          </cell>
        </row>
        <row r="355">
          <cell r="A355" t="str">
            <v>X</v>
          </cell>
          <cell r="B355" t="str">
            <v>P</v>
          </cell>
          <cell r="C355" t="str">
            <v>의류</v>
          </cell>
          <cell r="E355" t="str">
            <v>2</v>
          </cell>
          <cell r="F355" t="str">
            <v>1</v>
          </cell>
          <cell r="G355">
            <v>1</v>
          </cell>
          <cell r="H355">
            <v>6812292</v>
          </cell>
          <cell r="I355">
            <v>3</v>
          </cell>
          <cell r="J355">
            <v>193200</v>
          </cell>
          <cell r="K355">
            <v>414000</v>
          </cell>
          <cell r="U355">
            <v>402</v>
          </cell>
          <cell r="AJ355">
            <v>49</v>
          </cell>
          <cell r="AK355">
            <v>3148200</v>
          </cell>
          <cell r="AN355">
            <v>55476000</v>
          </cell>
          <cell r="AO355">
            <v>6762000</v>
          </cell>
        </row>
        <row r="356">
          <cell r="A356" t="str">
            <v>X</v>
          </cell>
          <cell r="B356" t="str">
            <v>P</v>
          </cell>
          <cell r="C356" t="str">
            <v>의류</v>
          </cell>
          <cell r="E356" t="str">
            <v>2</v>
          </cell>
          <cell r="F356" t="str">
            <v>1</v>
          </cell>
          <cell r="G356">
            <v>0</v>
          </cell>
          <cell r="H356">
            <v>8489946</v>
          </cell>
          <cell r="I356">
            <v>4</v>
          </cell>
          <cell r="J356">
            <v>232200</v>
          </cell>
          <cell r="K356">
            <v>552000</v>
          </cell>
          <cell r="U356">
            <v>501</v>
          </cell>
          <cell r="AJ356">
            <v>73</v>
          </cell>
          <cell r="AK356">
            <v>4596600</v>
          </cell>
          <cell r="AN356">
            <v>69138000</v>
          </cell>
          <cell r="AO356">
            <v>10074000</v>
          </cell>
        </row>
        <row r="357">
          <cell r="A357" t="str">
            <v>X</v>
          </cell>
          <cell r="B357" t="str">
            <v>P</v>
          </cell>
          <cell r="C357" t="str">
            <v>의류</v>
          </cell>
          <cell r="E357" t="str">
            <v>2</v>
          </cell>
          <cell r="F357" t="str">
            <v>1</v>
          </cell>
          <cell r="G357">
            <v>1</v>
          </cell>
          <cell r="H357">
            <v>9206265</v>
          </cell>
          <cell r="I357">
            <v>3</v>
          </cell>
          <cell r="J357">
            <v>177000</v>
          </cell>
          <cell r="K357">
            <v>474000</v>
          </cell>
          <cell r="U357">
            <v>457</v>
          </cell>
          <cell r="AJ357">
            <v>66</v>
          </cell>
          <cell r="AK357">
            <v>4830800</v>
          </cell>
          <cell r="AN357">
            <v>72206000</v>
          </cell>
          <cell r="AO357">
            <v>10428000</v>
          </cell>
        </row>
        <row r="358">
          <cell r="A358" t="str">
            <v>X</v>
          </cell>
          <cell r="B358" t="str">
            <v>P</v>
          </cell>
          <cell r="C358" t="str">
            <v>의류</v>
          </cell>
          <cell r="E358" t="str">
            <v>2</v>
          </cell>
          <cell r="F358" t="str">
            <v>1</v>
          </cell>
          <cell r="G358">
            <v>0</v>
          </cell>
          <cell r="H358">
            <v>12912945</v>
          </cell>
          <cell r="I358">
            <v>5</v>
          </cell>
          <cell r="J358">
            <v>295000</v>
          </cell>
          <cell r="K358">
            <v>790000</v>
          </cell>
          <cell r="U358">
            <v>641</v>
          </cell>
          <cell r="AJ358">
            <v>149</v>
          </cell>
          <cell r="AK358">
            <v>10770400</v>
          </cell>
          <cell r="AN358">
            <v>101278000</v>
          </cell>
          <cell r="AO358">
            <v>23542000</v>
          </cell>
        </row>
        <row r="359">
          <cell r="A359" t="str">
            <v>X</v>
          </cell>
          <cell r="B359" t="str">
            <v>P</v>
          </cell>
          <cell r="C359" t="str">
            <v>의류</v>
          </cell>
          <cell r="E359" t="str">
            <v>2</v>
          </cell>
          <cell r="F359" t="str">
            <v>1</v>
          </cell>
          <cell r="G359">
            <v>1</v>
          </cell>
          <cell r="H359">
            <v>14790339</v>
          </cell>
          <cell r="I359">
            <v>9</v>
          </cell>
          <cell r="J359">
            <v>441000</v>
          </cell>
          <cell r="K359">
            <v>1242000</v>
          </cell>
          <cell r="U359">
            <v>909</v>
          </cell>
          <cell r="AJ359">
            <v>93</v>
          </cell>
          <cell r="AK359">
            <v>5562100</v>
          </cell>
          <cell r="AN359">
            <v>125442000</v>
          </cell>
          <cell r="AO359">
            <v>12834000</v>
          </cell>
        </row>
        <row r="360">
          <cell r="A360" t="str">
            <v>X</v>
          </cell>
          <cell r="B360" t="str">
            <v>P</v>
          </cell>
          <cell r="C360" t="str">
            <v>의류</v>
          </cell>
          <cell r="E360" t="str">
            <v>2</v>
          </cell>
          <cell r="F360" t="str">
            <v>1</v>
          </cell>
          <cell r="G360">
            <v>1</v>
          </cell>
          <cell r="H360">
            <v>4145949</v>
          </cell>
          <cell r="I360">
            <v>2</v>
          </cell>
          <cell r="J360">
            <v>131100</v>
          </cell>
          <cell r="K360">
            <v>276000</v>
          </cell>
          <cell r="U360">
            <v>303</v>
          </cell>
          <cell r="AJ360">
            <v>77</v>
          </cell>
          <cell r="AK360">
            <v>4975700</v>
          </cell>
          <cell r="AN360">
            <v>41814000</v>
          </cell>
          <cell r="AO360">
            <v>10626000</v>
          </cell>
        </row>
        <row r="361">
          <cell r="A361" t="str">
            <v>X</v>
          </cell>
          <cell r="B361" t="str">
            <v>P</v>
          </cell>
          <cell r="C361" t="str">
            <v>의류</v>
          </cell>
          <cell r="E361" t="str">
            <v>2</v>
          </cell>
          <cell r="F361" t="str">
            <v>1</v>
          </cell>
          <cell r="G361">
            <v>0</v>
          </cell>
          <cell r="H361">
            <v>7443552</v>
          </cell>
          <cell r="I361">
            <v>12</v>
          </cell>
          <cell r="J361">
            <v>764200</v>
          </cell>
          <cell r="K361">
            <v>1656000</v>
          </cell>
          <cell r="U361">
            <v>544</v>
          </cell>
          <cell r="AJ361">
            <v>190</v>
          </cell>
          <cell r="AK361">
            <v>12205700</v>
          </cell>
          <cell r="AN361">
            <v>75072000</v>
          </cell>
          <cell r="AO361">
            <v>26220000</v>
          </cell>
        </row>
        <row r="362">
          <cell r="A362" t="str">
            <v>X</v>
          </cell>
          <cell r="B362" t="str">
            <v>P</v>
          </cell>
          <cell r="C362" t="str">
            <v>의류</v>
          </cell>
          <cell r="E362" t="str">
            <v>2</v>
          </cell>
          <cell r="F362" t="str">
            <v>1</v>
          </cell>
          <cell r="G362">
            <v>0</v>
          </cell>
          <cell r="H362">
            <v>7511967</v>
          </cell>
          <cell r="I362">
            <v>14</v>
          </cell>
          <cell r="J362">
            <v>822900</v>
          </cell>
          <cell r="K362">
            <v>1932000</v>
          </cell>
          <cell r="U362">
            <v>549</v>
          </cell>
          <cell r="AJ362">
            <v>157</v>
          </cell>
          <cell r="AK362">
            <v>9949500</v>
          </cell>
          <cell r="AN362">
            <v>75762000</v>
          </cell>
          <cell r="AO362">
            <v>21666000</v>
          </cell>
        </row>
        <row r="363">
          <cell r="A363" t="str">
            <v>X</v>
          </cell>
          <cell r="B363" t="str">
            <v>P</v>
          </cell>
          <cell r="C363" t="str">
            <v>의류</v>
          </cell>
          <cell r="E363" t="str">
            <v>2</v>
          </cell>
          <cell r="F363" t="str">
            <v>1</v>
          </cell>
          <cell r="G363">
            <v>1</v>
          </cell>
          <cell r="H363">
            <v>6233370</v>
          </cell>
          <cell r="I363">
            <v>11</v>
          </cell>
          <cell r="J363">
            <v>539000</v>
          </cell>
          <cell r="K363">
            <v>1518000</v>
          </cell>
          <cell r="U363">
            <v>390</v>
          </cell>
          <cell r="AJ363">
            <v>52</v>
          </cell>
          <cell r="AK363">
            <v>3007250</v>
          </cell>
          <cell r="AN363">
            <v>53820000</v>
          </cell>
          <cell r="AO363">
            <v>7176000</v>
          </cell>
        </row>
        <row r="364">
          <cell r="A364" t="str">
            <v>X</v>
          </cell>
          <cell r="B364" t="str">
            <v>P</v>
          </cell>
          <cell r="C364" t="str">
            <v>의류</v>
          </cell>
          <cell r="E364" t="str">
            <v>2</v>
          </cell>
          <cell r="F364" t="str">
            <v>1</v>
          </cell>
          <cell r="G364">
            <v>0</v>
          </cell>
          <cell r="H364">
            <v>11108185</v>
          </cell>
          <cell r="I364">
            <v>28</v>
          </cell>
          <cell r="J364">
            <v>1372000</v>
          </cell>
          <cell r="K364">
            <v>3864000</v>
          </cell>
          <cell r="U364">
            <v>695</v>
          </cell>
          <cell r="AJ364">
            <v>166</v>
          </cell>
          <cell r="AK364">
            <v>9713850</v>
          </cell>
          <cell r="AN364">
            <v>95910000</v>
          </cell>
          <cell r="AO364">
            <v>22908000</v>
          </cell>
        </row>
        <row r="365">
          <cell r="A365" t="str">
            <v>X</v>
          </cell>
          <cell r="B365" t="str">
            <v>P</v>
          </cell>
          <cell r="C365" t="str">
            <v>의류</v>
          </cell>
          <cell r="E365" t="str">
            <v>2</v>
          </cell>
          <cell r="F365" t="str">
            <v>1</v>
          </cell>
          <cell r="G365">
            <v>0</v>
          </cell>
          <cell r="H365">
            <v>7767738</v>
          </cell>
          <cell r="I365">
            <v>7</v>
          </cell>
          <cell r="J365">
            <v>343000</v>
          </cell>
          <cell r="K365">
            <v>966000</v>
          </cell>
          <cell r="U365">
            <v>486</v>
          </cell>
          <cell r="AJ365">
            <v>33</v>
          </cell>
          <cell r="AK365">
            <v>1900100</v>
          </cell>
          <cell r="AN365">
            <v>67068000</v>
          </cell>
          <cell r="AO365">
            <v>4554000</v>
          </cell>
        </row>
        <row r="366">
          <cell r="A366" t="str">
            <v>X</v>
          </cell>
          <cell r="B366" t="str">
            <v>P</v>
          </cell>
          <cell r="C366" t="str">
            <v>의류</v>
          </cell>
          <cell r="E366" t="str">
            <v>2</v>
          </cell>
          <cell r="F366" t="str">
            <v>1</v>
          </cell>
          <cell r="G366">
            <v>1</v>
          </cell>
          <cell r="H366">
            <v>9726700</v>
          </cell>
          <cell r="I366">
            <v>17</v>
          </cell>
          <cell r="J366">
            <v>1003000</v>
          </cell>
          <cell r="K366">
            <v>2686000</v>
          </cell>
          <cell r="U366">
            <v>575</v>
          </cell>
          <cell r="AJ366">
            <v>173</v>
          </cell>
          <cell r="AK366">
            <v>12532200</v>
          </cell>
          <cell r="AN366">
            <v>90850000</v>
          </cell>
          <cell r="AO366">
            <v>27334000</v>
          </cell>
        </row>
        <row r="367">
          <cell r="A367" t="str">
            <v>X</v>
          </cell>
          <cell r="B367" t="str">
            <v>P</v>
          </cell>
          <cell r="C367" t="str">
            <v>의류</v>
          </cell>
          <cell r="E367" t="str">
            <v>2</v>
          </cell>
          <cell r="F367" t="str">
            <v>1</v>
          </cell>
          <cell r="G367">
            <v>0</v>
          </cell>
          <cell r="H367">
            <v>9929692</v>
          </cell>
          <cell r="I367">
            <v>15</v>
          </cell>
          <cell r="J367">
            <v>882050</v>
          </cell>
          <cell r="K367">
            <v>2370000</v>
          </cell>
          <cell r="U367">
            <v>587</v>
          </cell>
          <cell r="AJ367">
            <v>114</v>
          </cell>
          <cell r="AK367">
            <v>7836150</v>
          </cell>
          <cell r="AN367">
            <v>92746000</v>
          </cell>
          <cell r="AO367">
            <v>18012000</v>
          </cell>
        </row>
        <row r="368">
          <cell r="A368" t="str">
            <v>X</v>
          </cell>
          <cell r="B368" t="str">
            <v>P</v>
          </cell>
          <cell r="C368" t="str">
            <v>의류</v>
          </cell>
          <cell r="E368" t="str">
            <v>2</v>
          </cell>
          <cell r="F368" t="str">
            <v>1</v>
          </cell>
          <cell r="G368">
            <v>1</v>
          </cell>
          <cell r="H368">
            <v>9837107</v>
          </cell>
          <cell r="I368">
            <v>10</v>
          </cell>
          <cell r="J368">
            <v>540000</v>
          </cell>
          <cell r="K368">
            <v>1480000</v>
          </cell>
          <cell r="U368">
            <v>523</v>
          </cell>
          <cell r="AJ368">
            <v>109</v>
          </cell>
          <cell r="AK368">
            <v>6903200</v>
          </cell>
          <cell r="AN368">
            <v>77404000</v>
          </cell>
          <cell r="AO368">
            <v>16132000</v>
          </cell>
        </row>
        <row r="369">
          <cell r="A369" t="str">
            <v>X</v>
          </cell>
          <cell r="B369" t="str">
            <v>P</v>
          </cell>
          <cell r="C369" t="str">
            <v>의류</v>
          </cell>
          <cell r="E369" t="str">
            <v>2</v>
          </cell>
          <cell r="F369" t="str">
            <v>1</v>
          </cell>
          <cell r="G369">
            <v>0</v>
          </cell>
          <cell r="H369">
            <v>14125559</v>
          </cell>
          <cell r="I369">
            <v>12</v>
          </cell>
          <cell r="J369">
            <v>648000</v>
          </cell>
          <cell r="K369">
            <v>1776000</v>
          </cell>
          <cell r="U369">
            <v>751</v>
          </cell>
          <cell r="AJ369">
            <v>109</v>
          </cell>
          <cell r="AK369">
            <v>6654200</v>
          </cell>
          <cell r="AN369">
            <v>111148000</v>
          </cell>
          <cell r="AO369">
            <v>16132000</v>
          </cell>
        </row>
        <row r="370">
          <cell r="A370" t="str">
            <v>X</v>
          </cell>
          <cell r="B370" t="str">
            <v>P</v>
          </cell>
          <cell r="C370" t="str">
            <v>의류</v>
          </cell>
          <cell r="E370" t="str">
            <v>2</v>
          </cell>
          <cell r="F370" t="str">
            <v>1</v>
          </cell>
          <cell r="G370">
            <v>1</v>
          </cell>
          <cell r="H370">
            <v>14628002</v>
          </cell>
          <cell r="I370">
            <v>39</v>
          </cell>
          <cell r="J370">
            <v>2437200</v>
          </cell>
          <cell r="K370">
            <v>5772000</v>
          </cell>
          <cell r="U370">
            <v>823</v>
          </cell>
          <cell r="AJ370">
            <v>274</v>
          </cell>
          <cell r="AK370">
            <v>17874400</v>
          </cell>
          <cell r="AN370">
            <v>121804000</v>
          </cell>
          <cell r="AO370">
            <v>40552000</v>
          </cell>
        </row>
        <row r="371">
          <cell r="A371" t="str">
            <v>X</v>
          </cell>
          <cell r="B371" t="str">
            <v>P</v>
          </cell>
          <cell r="C371" t="str">
            <v>의류</v>
          </cell>
          <cell r="E371" t="str">
            <v>2</v>
          </cell>
          <cell r="F371" t="str">
            <v>1</v>
          </cell>
          <cell r="G371">
            <v>0</v>
          </cell>
          <cell r="H371">
            <v>7180696</v>
          </cell>
          <cell r="I371">
            <v>7</v>
          </cell>
          <cell r="J371">
            <v>488400</v>
          </cell>
          <cell r="K371">
            <v>1036000</v>
          </cell>
          <cell r="U371">
            <v>404</v>
          </cell>
          <cell r="AJ371">
            <v>49</v>
          </cell>
          <cell r="AK371">
            <v>3327600</v>
          </cell>
          <cell r="AN371">
            <v>59792000</v>
          </cell>
          <cell r="AO371">
            <v>7252000</v>
          </cell>
        </row>
        <row r="372">
          <cell r="A372" t="str">
            <v>X</v>
          </cell>
          <cell r="B372" t="str">
            <v>P</v>
          </cell>
          <cell r="C372" t="str">
            <v>의류</v>
          </cell>
          <cell r="E372" t="str">
            <v>2</v>
          </cell>
          <cell r="F372" t="str">
            <v>1</v>
          </cell>
          <cell r="G372">
            <v>1</v>
          </cell>
          <cell r="H372">
            <v>10962145</v>
          </cell>
          <cell r="I372">
            <v>21</v>
          </cell>
          <cell r="J372">
            <v>1343800</v>
          </cell>
          <cell r="K372">
            <v>2898000</v>
          </cell>
          <cell r="U372">
            <v>667</v>
          </cell>
          <cell r="AJ372">
            <v>96</v>
          </cell>
          <cell r="AK372">
            <v>6204600</v>
          </cell>
          <cell r="AN372">
            <v>92046000</v>
          </cell>
          <cell r="AO372">
            <v>13248000</v>
          </cell>
        </row>
        <row r="373">
          <cell r="A373" t="str">
            <v>X</v>
          </cell>
          <cell r="B373" t="str">
            <v>P</v>
          </cell>
          <cell r="C373" t="str">
            <v>의류</v>
          </cell>
          <cell r="E373" t="str">
            <v>2</v>
          </cell>
          <cell r="F373" t="str">
            <v>1</v>
          </cell>
          <cell r="G373">
            <v>0</v>
          </cell>
          <cell r="H373">
            <v>11011450</v>
          </cell>
          <cell r="I373">
            <v>19</v>
          </cell>
          <cell r="J373">
            <v>1105800</v>
          </cell>
          <cell r="K373">
            <v>2622000</v>
          </cell>
          <cell r="U373">
            <v>670</v>
          </cell>
          <cell r="AJ373">
            <v>183</v>
          </cell>
          <cell r="AK373">
            <v>11333000</v>
          </cell>
          <cell r="AN373">
            <v>92460000</v>
          </cell>
          <cell r="AO373">
            <v>25254000</v>
          </cell>
        </row>
        <row r="374">
          <cell r="A374" t="str">
            <v>X</v>
          </cell>
          <cell r="B374" t="str">
            <v>P</v>
          </cell>
          <cell r="C374" t="str">
            <v>의류</v>
          </cell>
          <cell r="E374" t="str">
            <v>2</v>
          </cell>
          <cell r="F374" t="str">
            <v>1</v>
          </cell>
          <cell r="G374">
            <v>1</v>
          </cell>
          <cell r="H374">
            <v>8303070</v>
          </cell>
          <cell r="I374">
            <v>11</v>
          </cell>
          <cell r="J374">
            <v>675500</v>
          </cell>
          <cell r="K374">
            <v>1628000</v>
          </cell>
          <cell r="U374">
            <v>590</v>
          </cell>
          <cell r="AJ374">
            <v>109</v>
          </cell>
          <cell r="AK374">
            <v>7379700</v>
          </cell>
          <cell r="AN374">
            <v>87320000</v>
          </cell>
          <cell r="AO374">
            <v>16132000</v>
          </cell>
        </row>
        <row r="375">
          <cell r="A375" t="str">
            <v>X</v>
          </cell>
          <cell r="B375" t="str">
            <v>P</v>
          </cell>
          <cell r="C375" t="str">
            <v>의류</v>
          </cell>
          <cell r="E375" t="str">
            <v>2</v>
          </cell>
          <cell r="F375" t="str">
            <v>1</v>
          </cell>
          <cell r="G375">
            <v>0</v>
          </cell>
          <cell r="H375">
            <v>8190486</v>
          </cell>
          <cell r="I375">
            <v>4</v>
          </cell>
          <cell r="J375">
            <v>258600</v>
          </cell>
          <cell r="K375">
            <v>592000</v>
          </cell>
          <cell r="U375">
            <v>582</v>
          </cell>
          <cell r="AJ375">
            <v>79</v>
          </cell>
          <cell r="AK375">
            <v>5305600</v>
          </cell>
          <cell r="AN375">
            <v>86136000</v>
          </cell>
          <cell r="AO375">
            <v>11692000</v>
          </cell>
        </row>
        <row r="376">
          <cell r="A376" t="str">
            <v>X</v>
          </cell>
          <cell r="B376" t="str">
            <v>P</v>
          </cell>
          <cell r="C376" t="str">
            <v>의류</v>
          </cell>
          <cell r="E376" t="str">
            <v>2</v>
          </cell>
          <cell r="F376" t="str">
            <v>1</v>
          </cell>
          <cell r="G376">
            <v>1</v>
          </cell>
          <cell r="H376">
            <v>15303004</v>
          </cell>
          <cell r="I376">
            <v>10</v>
          </cell>
          <cell r="J376">
            <v>670500</v>
          </cell>
          <cell r="K376">
            <v>1580000</v>
          </cell>
          <cell r="U376">
            <v>943</v>
          </cell>
          <cell r="AJ376">
            <v>105</v>
          </cell>
          <cell r="AK376">
            <v>7608500</v>
          </cell>
          <cell r="AN376">
            <v>148994000</v>
          </cell>
          <cell r="AO376">
            <v>16590000</v>
          </cell>
        </row>
        <row r="377">
          <cell r="A377" t="str">
            <v>X</v>
          </cell>
          <cell r="B377" t="str">
            <v>P</v>
          </cell>
          <cell r="C377" t="str">
            <v>의류</v>
          </cell>
          <cell r="E377" t="str">
            <v>2</v>
          </cell>
          <cell r="F377" t="str">
            <v>1</v>
          </cell>
          <cell r="G377">
            <v>0</v>
          </cell>
          <cell r="H377">
            <v>7708300</v>
          </cell>
          <cell r="I377">
            <v>15</v>
          </cell>
          <cell r="J377">
            <v>1089200</v>
          </cell>
          <cell r="K377">
            <v>2370000</v>
          </cell>
          <cell r="U377">
            <v>475</v>
          </cell>
          <cell r="AJ377">
            <v>127</v>
          </cell>
          <cell r="AK377">
            <v>9278600</v>
          </cell>
          <cell r="AN377">
            <v>75050000</v>
          </cell>
          <cell r="AO377">
            <v>20066000</v>
          </cell>
        </row>
        <row r="378">
          <cell r="A378" t="str">
            <v>X</v>
          </cell>
          <cell r="B378" t="str">
            <v>P</v>
          </cell>
          <cell r="C378" t="str">
            <v>의류</v>
          </cell>
          <cell r="E378" t="str">
            <v>2</v>
          </cell>
          <cell r="F378" t="str">
            <v>1</v>
          </cell>
          <cell r="G378">
            <v>1</v>
          </cell>
          <cell r="H378">
            <v>9372627</v>
          </cell>
          <cell r="I378">
            <v>45</v>
          </cell>
          <cell r="J378">
            <v>2944900</v>
          </cell>
          <cell r="K378">
            <v>7110000</v>
          </cell>
          <cell r="U378">
            <v>561</v>
          </cell>
          <cell r="AJ378">
            <v>175</v>
          </cell>
          <cell r="AK378">
            <v>12195100</v>
          </cell>
          <cell r="AN378">
            <v>88638000</v>
          </cell>
          <cell r="AO378">
            <v>27650000</v>
          </cell>
        </row>
        <row r="379">
          <cell r="A379" t="str">
            <v>X</v>
          </cell>
          <cell r="B379" t="str">
            <v>P</v>
          </cell>
          <cell r="C379" t="str">
            <v>의류</v>
          </cell>
          <cell r="E379" t="str">
            <v>2</v>
          </cell>
          <cell r="F379" t="str">
            <v>1</v>
          </cell>
          <cell r="G379">
            <v>0</v>
          </cell>
          <cell r="H379">
            <v>9272385</v>
          </cell>
          <cell r="I379">
            <v>13</v>
          </cell>
          <cell r="J379">
            <v>967500</v>
          </cell>
          <cell r="K379">
            <v>2054000</v>
          </cell>
          <cell r="U379">
            <v>555</v>
          </cell>
          <cell r="AJ379">
            <v>74</v>
          </cell>
          <cell r="AK379">
            <v>5192950</v>
          </cell>
          <cell r="AN379">
            <v>87690000</v>
          </cell>
          <cell r="AO379">
            <v>11692000</v>
          </cell>
        </row>
        <row r="380">
          <cell r="A380" t="str">
            <v>X</v>
          </cell>
          <cell r="B380" t="str">
            <v>P</v>
          </cell>
          <cell r="C380" t="str">
            <v>의류</v>
          </cell>
          <cell r="E380" t="str">
            <v>2</v>
          </cell>
          <cell r="F380" t="str">
            <v>1</v>
          </cell>
          <cell r="G380">
            <v>1</v>
          </cell>
          <cell r="H380">
            <v>15691302</v>
          </cell>
          <cell r="I380">
            <v>13</v>
          </cell>
          <cell r="J380">
            <v>692000</v>
          </cell>
          <cell r="K380">
            <v>1924000</v>
          </cell>
          <cell r="U380">
            <v>873</v>
          </cell>
          <cell r="AJ380">
            <v>92</v>
          </cell>
          <cell r="AK380">
            <v>6060650</v>
          </cell>
          <cell r="AN380">
            <v>129204000</v>
          </cell>
          <cell r="AO380">
            <v>13616000</v>
          </cell>
        </row>
        <row r="381">
          <cell r="A381" t="str">
            <v>X</v>
          </cell>
          <cell r="B381" t="str">
            <v>P</v>
          </cell>
          <cell r="C381" t="str">
            <v>의류</v>
          </cell>
          <cell r="E381" t="str">
            <v>2</v>
          </cell>
          <cell r="F381" t="str">
            <v>1</v>
          </cell>
          <cell r="G381">
            <v>0</v>
          </cell>
          <cell r="H381">
            <v>19052440</v>
          </cell>
          <cell r="I381">
            <v>16</v>
          </cell>
          <cell r="J381">
            <v>899000</v>
          </cell>
          <cell r="K381">
            <v>2368000</v>
          </cell>
          <cell r="U381">
            <v>1060</v>
          </cell>
          <cell r="AJ381">
            <v>182</v>
          </cell>
          <cell r="AK381">
            <v>12139950</v>
          </cell>
          <cell r="AN381">
            <v>156880000</v>
          </cell>
          <cell r="AO381">
            <v>26936000</v>
          </cell>
        </row>
        <row r="382">
          <cell r="A382" t="str">
            <v>X</v>
          </cell>
          <cell r="B382" t="str">
            <v>P</v>
          </cell>
          <cell r="C382" t="str">
            <v>의류</v>
          </cell>
          <cell r="E382" t="str">
            <v>2</v>
          </cell>
          <cell r="F382" t="str">
            <v>1</v>
          </cell>
          <cell r="G382">
            <v>1</v>
          </cell>
          <cell r="H382">
            <v>13518610</v>
          </cell>
          <cell r="I382">
            <v>10</v>
          </cell>
          <cell r="J382">
            <v>773200</v>
          </cell>
          <cell r="K382">
            <v>1680000</v>
          </cell>
          <cell r="U382">
            <v>587</v>
          </cell>
          <cell r="AJ382">
            <v>124</v>
          </cell>
          <cell r="AK382">
            <v>9966400</v>
          </cell>
          <cell r="AN382">
            <v>98616000</v>
          </cell>
          <cell r="AO382">
            <v>20832000</v>
          </cell>
        </row>
        <row r="383">
          <cell r="A383" t="str">
            <v>X</v>
          </cell>
          <cell r="B383" t="str">
            <v>P</v>
          </cell>
          <cell r="C383" t="str">
            <v>의류</v>
          </cell>
          <cell r="E383" t="str">
            <v>2</v>
          </cell>
          <cell r="F383" t="str">
            <v>1</v>
          </cell>
          <cell r="G383">
            <v>0</v>
          </cell>
          <cell r="H383">
            <v>14808290</v>
          </cell>
          <cell r="I383">
            <v>9</v>
          </cell>
          <cell r="J383">
            <v>700800</v>
          </cell>
          <cell r="K383">
            <v>1512000</v>
          </cell>
          <cell r="U383">
            <v>643</v>
          </cell>
          <cell r="AJ383">
            <v>249</v>
          </cell>
          <cell r="AK383">
            <v>19430200</v>
          </cell>
          <cell r="AN383">
            <v>108024000</v>
          </cell>
          <cell r="AO383">
            <v>41832000</v>
          </cell>
        </row>
        <row r="384">
          <cell r="A384" t="str">
            <v>X</v>
          </cell>
          <cell r="B384" t="str">
            <v>P</v>
          </cell>
          <cell r="C384" t="str">
            <v>의류</v>
          </cell>
          <cell r="E384" t="str">
            <v>2</v>
          </cell>
          <cell r="F384" t="str">
            <v>1</v>
          </cell>
          <cell r="G384">
            <v>1</v>
          </cell>
          <cell r="H384">
            <v>5896150</v>
          </cell>
          <cell r="I384">
            <v>12</v>
          </cell>
          <cell r="J384">
            <v>821000</v>
          </cell>
          <cell r="K384">
            <v>1776000</v>
          </cell>
          <cell r="U384">
            <v>386</v>
          </cell>
          <cell r="AJ384">
            <v>194</v>
          </cell>
          <cell r="AK384">
            <v>13614800</v>
          </cell>
          <cell r="AN384">
            <v>57128000</v>
          </cell>
          <cell r="AO384">
            <v>28712000</v>
          </cell>
        </row>
        <row r="385">
          <cell r="A385" t="str">
            <v>X</v>
          </cell>
          <cell r="B385" t="str">
            <v>P</v>
          </cell>
          <cell r="C385" t="str">
            <v>의류</v>
          </cell>
          <cell r="E385" t="str">
            <v>2</v>
          </cell>
          <cell r="F385" t="str">
            <v>1</v>
          </cell>
          <cell r="G385">
            <v>1</v>
          </cell>
          <cell r="H385">
            <v>5941848</v>
          </cell>
          <cell r="I385">
            <v>6</v>
          </cell>
          <cell r="J385">
            <v>519250</v>
          </cell>
          <cell r="K385">
            <v>1188000</v>
          </cell>
          <cell r="U385">
            <v>284</v>
          </cell>
          <cell r="AJ385">
            <v>50</v>
          </cell>
          <cell r="AK385">
            <v>4516250</v>
          </cell>
          <cell r="AN385">
            <v>56232000</v>
          </cell>
          <cell r="AO385">
            <v>9900000</v>
          </cell>
        </row>
        <row r="386">
          <cell r="A386" t="str">
            <v>X</v>
          </cell>
          <cell r="B386" t="str">
            <v>P</v>
          </cell>
          <cell r="C386" t="str">
            <v>의류</v>
          </cell>
          <cell r="E386" t="str">
            <v>2</v>
          </cell>
          <cell r="F386" t="str">
            <v>1</v>
          </cell>
          <cell r="G386">
            <v>1</v>
          </cell>
          <cell r="H386">
            <v>10310508</v>
          </cell>
          <cell r="I386">
            <v>4</v>
          </cell>
          <cell r="J386">
            <v>326400</v>
          </cell>
          <cell r="K386">
            <v>792000</v>
          </cell>
          <cell r="U386">
            <v>468</v>
          </cell>
          <cell r="AJ386">
            <v>67</v>
          </cell>
          <cell r="AK386">
            <v>6075700</v>
          </cell>
          <cell r="AN386">
            <v>92664000</v>
          </cell>
          <cell r="AO386">
            <v>13266000</v>
          </cell>
        </row>
        <row r="387">
          <cell r="A387" t="str">
            <v>X</v>
          </cell>
          <cell r="B387" t="str">
            <v>P</v>
          </cell>
          <cell r="C387" t="str">
            <v>의류</v>
          </cell>
          <cell r="E387" t="str">
            <v>2</v>
          </cell>
          <cell r="F387" t="str">
            <v>1</v>
          </cell>
          <cell r="G387">
            <v>0</v>
          </cell>
          <cell r="H387">
            <v>10486756</v>
          </cell>
          <cell r="I387">
            <v>3</v>
          </cell>
          <cell r="J387">
            <v>247200</v>
          </cell>
          <cell r="K387">
            <v>594000</v>
          </cell>
          <cell r="U387">
            <v>476</v>
          </cell>
          <cell r="AJ387">
            <v>39</v>
          </cell>
          <cell r="AK387">
            <v>3413000</v>
          </cell>
          <cell r="AN387">
            <v>94248000</v>
          </cell>
          <cell r="AO387">
            <v>7722000</v>
          </cell>
        </row>
        <row r="388">
          <cell r="A388" t="str">
            <v>X</v>
          </cell>
          <cell r="B388" t="str">
            <v>P</v>
          </cell>
          <cell r="C388" t="str">
            <v>의류</v>
          </cell>
          <cell r="E388" t="str">
            <v>2</v>
          </cell>
          <cell r="F388" t="str">
            <v>1</v>
          </cell>
          <cell r="G388">
            <v>1</v>
          </cell>
          <cell r="H388">
            <v>16698485</v>
          </cell>
          <cell r="I388">
            <v>25</v>
          </cell>
          <cell r="J388">
            <v>2195700</v>
          </cell>
          <cell r="K388">
            <v>4950000</v>
          </cell>
          <cell r="U388">
            <v>751</v>
          </cell>
          <cell r="AJ388">
            <v>116</v>
          </cell>
          <cell r="AK388">
            <v>10497700</v>
          </cell>
          <cell r="AN388">
            <v>148698000</v>
          </cell>
          <cell r="AO388">
            <v>22968000</v>
          </cell>
        </row>
        <row r="389">
          <cell r="A389" t="str">
            <v>X</v>
          </cell>
          <cell r="B389" t="str">
            <v>P</v>
          </cell>
          <cell r="C389" t="str">
            <v>의류</v>
          </cell>
          <cell r="E389" t="str">
            <v>2</v>
          </cell>
          <cell r="F389" t="str">
            <v>1</v>
          </cell>
          <cell r="G389">
            <v>1</v>
          </cell>
          <cell r="H389">
            <v>6105720</v>
          </cell>
          <cell r="I389">
            <v>5</v>
          </cell>
          <cell r="J389">
            <v>319200</v>
          </cell>
          <cell r="K389">
            <v>790000</v>
          </cell>
          <cell r="U389">
            <v>408</v>
          </cell>
          <cell r="AJ389">
            <v>59</v>
          </cell>
          <cell r="AK389">
            <v>4326700</v>
          </cell>
          <cell r="AN389">
            <v>64464000</v>
          </cell>
          <cell r="AO389">
            <v>9322000</v>
          </cell>
        </row>
        <row r="390">
          <cell r="A390" t="str">
            <v>X</v>
          </cell>
          <cell r="B390" t="str">
            <v>P</v>
          </cell>
          <cell r="C390" t="str">
            <v>의류</v>
          </cell>
          <cell r="E390" t="str">
            <v>2</v>
          </cell>
          <cell r="F390" t="str">
            <v>1</v>
          </cell>
          <cell r="G390">
            <v>0</v>
          </cell>
          <cell r="H390">
            <v>6075790</v>
          </cell>
          <cell r="I390">
            <v>6</v>
          </cell>
          <cell r="J390">
            <v>450300</v>
          </cell>
          <cell r="K390">
            <v>948000</v>
          </cell>
          <cell r="U390">
            <v>406</v>
          </cell>
          <cell r="AJ390">
            <v>98</v>
          </cell>
          <cell r="AK390">
            <v>7174250</v>
          </cell>
          <cell r="AN390">
            <v>64148000</v>
          </cell>
          <cell r="AO390">
            <v>15484000</v>
          </cell>
        </row>
        <row r="391">
          <cell r="A391" t="str">
            <v>X</v>
          </cell>
          <cell r="B391" t="str">
            <v>P</v>
          </cell>
          <cell r="C391" t="str">
            <v>의류</v>
          </cell>
          <cell r="E391" t="str">
            <v>2</v>
          </cell>
          <cell r="F391" t="str">
            <v>1</v>
          </cell>
          <cell r="G391">
            <v>1</v>
          </cell>
          <cell r="H391">
            <v>9413026</v>
          </cell>
          <cell r="I391">
            <v>3</v>
          </cell>
          <cell r="J391">
            <v>147000</v>
          </cell>
          <cell r="K391">
            <v>414000</v>
          </cell>
          <cell r="U391">
            <v>529</v>
          </cell>
          <cell r="AJ391">
            <v>79</v>
          </cell>
          <cell r="AK391">
            <v>4574750</v>
          </cell>
          <cell r="AN391">
            <v>73002000</v>
          </cell>
          <cell r="AO391">
            <v>10902000</v>
          </cell>
        </row>
        <row r="392">
          <cell r="A392" t="str">
            <v>X</v>
          </cell>
          <cell r="B392" t="str">
            <v>P</v>
          </cell>
          <cell r="C392" t="str">
            <v>의류</v>
          </cell>
          <cell r="E392" t="str">
            <v>2</v>
          </cell>
          <cell r="F392" t="str">
            <v>1</v>
          </cell>
          <cell r="G392">
            <v>0</v>
          </cell>
          <cell r="H392">
            <v>10284932</v>
          </cell>
          <cell r="I392">
            <v>9</v>
          </cell>
          <cell r="J392">
            <v>441000</v>
          </cell>
          <cell r="K392">
            <v>1242000</v>
          </cell>
          <cell r="U392">
            <v>578</v>
          </cell>
          <cell r="AJ392">
            <v>90</v>
          </cell>
          <cell r="AK392">
            <v>5331000</v>
          </cell>
          <cell r="AN392">
            <v>79764000</v>
          </cell>
          <cell r="AO392">
            <v>12420000</v>
          </cell>
        </row>
        <row r="393">
          <cell r="A393" t="str">
            <v>X</v>
          </cell>
          <cell r="B393" t="str">
            <v>P</v>
          </cell>
          <cell r="C393" t="str">
            <v>의류</v>
          </cell>
          <cell r="E393" t="str">
            <v>2</v>
          </cell>
          <cell r="F393" t="str">
            <v>1</v>
          </cell>
          <cell r="G393">
            <v>1</v>
          </cell>
          <cell r="H393">
            <v>6619040</v>
          </cell>
          <cell r="I393">
            <v>4</v>
          </cell>
          <cell r="J393">
            <v>196000</v>
          </cell>
          <cell r="K393">
            <v>552000</v>
          </cell>
          <cell r="U393">
            <v>410</v>
          </cell>
          <cell r="AJ393">
            <v>47</v>
          </cell>
          <cell r="AK393">
            <v>2904700</v>
          </cell>
          <cell r="AN393">
            <v>56580000</v>
          </cell>
          <cell r="AO393">
            <v>6486000</v>
          </cell>
        </row>
        <row r="394">
          <cell r="A394" t="str">
            <v>X</v>
          </cell>
          <cell r="B394" t="str">
            <v>P</v>
          </cell>
          <cell r="C394" t="str">
            <v>의류</v>
          </cell>
          <cell r="E394" t="str">
            <v>2</v>
          </cell>
          <cell r="F394" t="str">
            <v>1</v>
          </cell>
          <cell r="G394">
            <v>0</v>
          </cell>
          <cell r="H394">
            <v>5359808</v>
          </cell>
          <cell r="I394">
            <v>2</v>
          </cell>
          <cell r="J394">
            <v>98000</v>
          </cell>
          <cell r="K394">
            <v>276000</v>
          </cell>
          <cell r="U394">
            <v>332</v>
          </cell>
          <cell r="AJ394">
            <v>26</v>
          </cell>
          <cell r="AK394">
            <v>1621900</v>
          </cell>
          <cell r="AN394">
            <v>45816000</v>
          </cell>
          <cell r="AO394">
            <v>3588000</v>
          </cell>
        </row>
        <row r="395">
          <cell r="A395" t="str">
            <v>X</v>
          </cell>
          <cell r="B395" t="str">
            <v>P</v>
          </cell>
          <cell r="C395" t="str">
            <v>의류</v>
          </cell>
          <cell r="E395" t="str">
            <v>2</v>
          </cell>
          <cell r="F395" t="str">
            <v>1</v>
          </cell>
          <cell r="G395">
            <v>0</v>
          </cell>
          <cell r="H395">
            <v>6602896</v>
          </cell>
          <cell r="I395">
            <v>1</v>
          </cell>
          <cell r="J395">
            <v>49000</v>
          </cell>
          <cell r="K395">
            <v>138000</v>
          </cell>
          <cell r="U395">
            <v>409</v>
          </cell>
          <cell r="AJ395">
            <v>19</v>
          </cell>
          <cell r="AK395">
            <v>1202700</v>
          </cell>
          <cell r="AN395">
            <v>56442000</v>
          </cell>
          <cell r="AO395">
            <v>2622000</v>
          </cell>
        </row>
        <row r="396">
          <cell r="A396" t="str">
            <v>X</v>
          </cell>
          <cell r="B396" t="str">
            <v>P</v>
          </cell>
          <cell r="C396" t="str">
            <v>의류</v>
          </cell>
          <cell r="E396" t="str">
            <v>2</v>
          </cell>
          <cell r="F396" t="str">
            <v>1</v>
          </cell>
          <cell r="G396">
            <v>1</v>
          </cell>
          <cell r="H396">
            <v>7839528</v>
          </cell>
          <cell r="I396">
            <v>4</v>
          </cell>
          <cell r="J396">
            <v>316000</v>
          </cell>
          <cell r="K396">
            <v>632000</v>
          </cell>
          <cell r="U396">
            <v>492</v>
          </cell>
          <cell r="AJ396">
            <v>53</v>
          </cell>
          <cell r="AK396">
            <v>3978000</v>
          </cell>
          <cell r="AN396">
            <v>77736000</v>
          </cell>
          <cell r="AO396">
            <v>8374000</v>
          </cell>
        </row>
        <row r="397">
          <cell r="A397" t="str">
            <v>X</v>
          </cell>
          <cell r="B397" t="str">
            <v>P</v>
          </cell>
          <cell r="C397" t="str">
            <v>의류</v>
          </cell>
          <cell r="E397" t="str">
            <v>2</v>
          </cell>
          <cell r="F397" t="str">
            <v>1</v>
          </cell>
          <cell r="G397">
            <v>0</v>
          </cell>
          <cell r="H397">
            <v>5879646</v>
          </cell>
          <cell r="I397">
            <v>4</v>
          </cell>
          <cell r="J397">
            <v>288100</v>
          </cell>
          <cell r="K397">
            <v>632000</v>
          </cell>
          <cell r="U397">
            <v>369</v>
          </cell>
          <cell r="AJ397">
            <v>80</v>
          </cell>
          <cell r="AK397">
            <v>5956800</v>
          </cell>
          <cell r="AN397">
            <v>58302000</v>
          </cell>
          <cell r="AO397">
            <v>12640000</v>
          </cell>
        </row>
        <row r="398">
          <cell r="A398" t="str">
            <v>X</v>
          </cell>
          <cell r="B398" t="str">
            <v>P</v>
          </cell>
          <cell r="C398" t="str">
            <v>의류</v>
          </cell>
          <cell r="E398" t="str">
            <v>2</v>
          </cell>
          <cell r="F398" t="str">
            <v>1</v>
          </cell>
          <cell r="G398">
            <v>1</v>
          </cell>
          <cell r="H398">
            <v>5860080</v>
          </cell>
          <cell r="I398">
            <v>3</v>
          </cell>
          <cell r="J398">
            <v>187000</v>
          </cell>
          <cell r="K398">
            <v>474000</v>
          </cell>
          <cell r="U398">
            <v>360</v>
          </cell>
          <cell r="AJ398">
            <v>111</v>
          </cell>
          <cell r="AK398">
            <v>8115700</v>
          </cell>
          <cell r="AN398">
            <v>56880000</v>
          </cell>
          <cell r="AO398">
            <v>17538000</v>
          </cell>
        </row>
        <row r="399">
          <cell r="A399" t="str">
            <v>X</v>
          </cell>
          <cell r="B399" t="str">
            <v>P</v>
          </cell>
          <cell r="C399" t="str">
            <v>의류</v>
          </cell>
          <cell r="E399" t="str">
            <v>2</v>
          </cell>
          <cell r="F399" t="str">
            <v>1</v>
          </cell>
          <cell r="G399">
            <v>0</v>
          </cell>
          <cell r="H399">
            <v>11117874</v>
          </cell>
          <cell r="I399">
            <v>12</v>
          </cell>
          <cell r="J399">
            <v>826400</v>
          </cell>
          <cell r="K399">
            <v>1896000</v>
          </cell>
          <cell r="U399">
            <v>683</v>
          </cell>
          <cell r="AJ399">
            <v>77</v>
          </cell>
          <cell r="AK399">
            <v>5538600</v>
          </cell>
          <cell r="AN399">
            <v>107914000</v>
          </cell>
          <cell r="AO399">
            <v>12166000</v>
          </cell>
        </row>
        <row r="400">
          <cell r="A400" t="str">
            <v>X</v>
          </cell>
          <cell r="B400" t="str">
            <v>P</v>
          </cell>
          <cell r="C400" t="str">
            <v>의류</v>
          </cell>
          <cell r="E400" t="str">
            <v>2</v>
          </cell>
          <cell r="F400" t="str">
            <v>1</v>
          </cell>
          <cell r="G400">
            <v>1</v>
          </cell>
          <cell r="H400">
            <v>6232740</v>
          </cell>
          <cell r="I400">
            <v>5</v>
          </cell>
          <cell r="J400">
            <v>295000</v>
          </cell>
          <cell r="K400">
            <v>790000</v>
          </cell>
          <cell r="U400">
            <v>438</v>
          </cell>
          <cell r="AJ400">
            <v>63</v>
          </cell>
          <cell r="AK400">
            <v>4479350</v>
          </cell>
          <cell r="AN400">
            <v>69204000</v>
          </cell>
          <cell r="AO400">
            <v>9954000</v>
          </cell>
        </row>
        <row r="401">
          <cell r="A401" t="str">
            <v>X</v>
          </cell>
          <cell r="B401" t="str">
            <v>P</v>
          </cell>
          <cell r="C401" t="str">
            <v>의류</v>
          </cell>
          <cell r="E401" t="str">
            <v>2</v>
          </cell>
          <cell r="F401" t="str">
            <v>1</v>
          </cell>
          <cell r="G401">
            <v>1</v>
          </cell>
          <cell r="H401">
            <v>15227250</v>
          </cell>
          <cell r="I401">
            <v>15</v>
          </cell>
          <cell r="J401">
            <v>1395600</v>
          </cell>
          <cell r="K401">
            <v>2970000</v>
          </cell>
          <cell r="U401">
            <v>771</v>
          </cell>
          <cell r="AJ401">
            <v>119</v>
          </cell>
          <cell r="AK401">
            <v>10843700</v>
          </cell>
          <cell r="AN401">
            <v>152658000</v>
          </cell>
          <cell r="AO401">
            <v>23562000</v>
          </cell>
        </row>
        <row r="402">
          <cell r="A402" t="str">
            <v>X</v>
          </cell>
          <cell r="B402" t="str">
            <v>P</v>
          </cell>
          <cell r="C402" t="str">
            <v>의류</v>
          </cell>
          <cell r="E402" t="str">
            <v>2</v>
          </cell>
          <cell r="F402" t="str">
            <v>1</v>
          </cell>
          <cell r="G402">
            <v>1</v>
          </cell>
          <cell r="H402">
            <v>6134272</v>
          </cell>
          <cell r="I402">
            <v>14</v>
          </cell>
          <cell r="J402">
            <v>878400</v>
          </cell>
          <cell r="K402">
            <v>1932000</v>
          </cell>
          <cell r="U402">
            <v>512</v>
          </cell>
          <cell r="AJ402">
            <v>105</v>
          </cell>
          <cell r="AK402">
            <v>6305200</v>
          </cell>
          <cell r="AN402">
            <v>70656000</v>
          </cell>
          <cell r="AO402">
            <v>14490000</v>
          </cell>
        </row>
        <row r="403">
          <cell r="A403" t="str">
            <v>X</v>
          </cell>
          <cell r="B403" t="str">
            <v>P</v>
          </cell>
          <cell r="C403" t="str">
            <v>의류</v>
          </cell>
          <cell r="E403" t="str">
            <v>2</v>
          </cell>
          <cell r="F403" t="str">
            <v>1</v>
          </cell>
          <cell r="G403">
            <v>1</v>
          </cell>
          <cell r="H403">
            <v>4723160</v>
          </cell>
          <cell r="I403">
            <v>11</v>
          </cell>
          <cell r="J403">
            <v>829500</v>
          </cell>
          <cell r="K403">
            <v>1738000</v>
          </cell>
          <cell r="U403">
            <v>293</v>
          </cell>
          <cell r="AJ403">
            <v>66</v>
          </cell>
          <cell r="AK403">
            <v>4692300</v>
          </cell>
          <cell r="AN403">
            <v>46294000</v>
          </cell>
          <cell r="AO403">
            <v>10428000</v>
          </cell>
        </row>
        <row r="404">
          <cell r="A404" t="str">
            <v>X</v>
          </cell>
          <cell r="B404" t="str">
            <v>P</v>
          </cell>
          <cell r="C404" t="str">
            <v>의류</v>
          </cell>
          <cell r="E404" t="str">
            <v>2</v>
          </cell>
          <cell r="F404" t="str">
            <v>1</v>
          </cell>
          <cell r="G404">
            <v>0</v>
          </cell>
          <cell r="H404">
            <v>7270120</v>
          </cell>
          <cell r="I404">
            <v>19</v>
          </cell>
          <cell r="J404">
            <v>1282000</v>
          </cell>
          <cell r="K404">
            <v>3002000</v>
          </cell>
          <cell r="U404">
            <v>451</v>
          </cell>
          <cell r="AJ404">
            <v>109</v>
          </cell>
          <cell r="AK404">
            <v>7607600</v>
          </cell>
          <cell r="AN404">
            <v>71258000</v>
          </cell>
          <cell r="AO404">
            <v>17222000</v>
          </cell>
        </row>
        <row r="405">
          <cell r="A405" t="str">
            <v>X</v>
          </cell>
          <cell r="B405" t="str">
            <v>P</v>
          </cell>
          <cell r="C405" t="str">
            <v>의류</v>
          </cell>
          <cell r="E405" t="str">
            <v>2</v>
          </cell>
          <cell r="F405" t="str">
            <v>1</v>
          </cell>
          <cell r="G405">
            <v>1</v>
          </cell>
          <cell r="H405">
            <v>7502785</v>
          </cell>
          <cell r="I405">
            <v>13</v>
          </cell>
          <cell r="J405">
            <v>712500</v>
          </cell>
          <cell r="K405">
            <v>1794000</v>
          </cell>
          <cell r="U405">
            <v>505</v>
          </cell>
          <cell r="AJ405">
            <v>73</v>
          </cell>
          <cell r="AK405">
            <v>4343800</v>
          </cell>
          <cell r="AN405">
            <v>69690000</v>
          </cell>
          <cell r="AO405">
            <v>10074000</v>
          </cell>
        </row>
        <row r="406">
          <cell r="A406" t="str">
            <v>X</v>
          </cell>
          <cell r="B406" t="str">
            <v>P</v>
          </cell>
          <cell r="C406" t="str">
            <v>의류</v>
          </cell>
          <cell r="E406" t="str">
            <v>2</v>
          </cell>
          <cell r="F406" t="str">
            <v>1</v>
          </cell>
          <cell r="G406">
            <v>0</v>
          </cell>
          <cell r="H406">
            <v>7473071</v>
          </cell>
          <cell r="I406">
            <v>11</v>
          </cell>
          <cell r="J406">
            <v>654850</v>
          </cell>
          <cell r="K406">
            <v>1518000</v>
          </cell>
          <cell r="U406">
            <v>503</v>
          </cell>
          <cell r="AJ406">
            <v>34</v>
          </cell>
          <cell r="AK406">
            <v>2105950</v>
          </cell>
          <cell r="AN406">
            <v>69414000</v>
          </cell>
          <cell r="AO406">
            <v>4692000</v>
          </cell>
        </row>
        <row r="407">
          <cell r="A407" t="str">
            <v>X</v>
          </cell>
          <cell r="B407" t="str">
            <v>P</v>
          </cell>
          <cell r="C407" t="str">
            <v>의류</v>
          </cell>
          <cell r="E407" t="str">
            <v>2</v>
          </cell>
          <cell r="F407" t="str">
            <v>1</v>
          </cell>
          <cell r="G407">
            <v>1</v>
          </cell>
          <cell r="H407">
            <v>4186665</v>
          </cell>
          <cell r="I407">
            <v>10</v>
          </cell>
          <cell r="J407">
            <v>595500</v>
          </cell>
          <cell r="K407">
            <v>1380000</v>
          </cell>
          <cell r="U407">
            <v>315</v>
          </cell>
          <cell r="AJ407">
            <v>39</v>
          </cell>
          <cell r="AK407">
            <v>2478900</v>
          </cell>
          <cell r="AN407">
            <v>43470000</v>
          </cell>
          <cell r="AO407">
            <v>5382000</v>
          </cell>
        </row>
        <row r="408">
          <cell r="A408" t="str">
            <v>X</v>
          </cell>
          <cell r="B408" t="str">
            <v>P</v>
          </cell>
          <cell r="C408" t="str">
            <v>의류</v>
          </cell>
          <cell r="E408" t="str">
            <v>2</v>
          </cell>
          <cell r="F408" t="str">
            <v>1</v>
          </cell>
          <cell r="G408">
            <v>0</v>
          </cell>
          <cell r="H408">
            <v>4266411</v>
          </cell>
          <cell r="I408">
            <v>9</v>
          </cell>
          <cell r="J408">
            <v>580300</v>
          </cell>
          <cell r="K408">
            <v>1242000</v>
          </cell>
          <cell r="U408">
            <v>321</v>
          </cell>
          <cell r="AJ408">
            <v>45</v>
          </cell>
          <cell r="AK408">
            <v>2927000</v>
          </cell>
          <cell r="AN408">
            <v>44298000</v>
          </cell>
          <cell r="AO408">
            <v>6210000</v>
          </cell>
        </row>
        <row r="409">
          <cell r="A409" t="str">
            <v>X</v>
          </cell>
          <cell r="B409" t="str">
            <v>P</v>
          </cell>
          <cell r="C409" t="str">
            <v>의류</v>
          </cell>
          <cell r="E409" t="str">
            <v>2</v>
          </cell>
          <cell r="F409" t="str">
            <v>1</v>
          </cell>
          <cell r="G409">
            <v>1</v>
          </cell>
          <cell r="H409">
            <v>7743685</v>
          </cell>
          <cell r="I409">
            <v>3</v>
          </cell>
          <cell r="J409">
            <v>159300</v>
          </cell>
          <cell r="K409">
            <v>354000</v>
          </cell>
          <cell r="U409">
            <v>503</v>
          </cell>
          <cell r="AJ409">
            <v>144</v>
          </cell>
          <cell r="AK409">
            <v>7915000</v>
          </cell>
          <cell r="AN409">
            <v>59354000</v>
          </cell>
          <cell r="AO409">
            <v>16992000</v>
          </cell>
        </row>
        <row r="410">
          <cell r="A410" t="str">
            <v>X</v>
          </cell>
          <cell r="B410" t="str">
            <v>P</v>
          </cell>
          <cell r="C410" t="str">
            <v>의류</v>
          </cell>
          <cell r="E410" t="str">
            <v>2</v>
          </cell>
          <cell r="F410" t="str">
            <v>1</v>
          </cell>
          <cell r="G410">
            <v>0</v>
          </cell>
          <cell r="H410">
            <v>7682105</v>
          </cell>
          <cell r="I410">
            <v>1</v>
          </cell>
          <cell r="J410">
            <v>47200</v>
          </cell>
          <cell r="K410">
            <v>118000</v>
          </cell>
          <cell r="U410">
            <v>499</v>
          </cell>
          <cell r="AJ410">
            <v>66</v>
          </cell>
          <cell r="AK410">
            <v>3662900</v>
          </cell>
          <cell r="AN410">
            <v>58882000</v>
          </cell>
          <cell r="AO410">
            <v>7788000</v>
          </cell>
        </row>
        <row r="411">
          <cell r="A411" t="str">
            <v>X</v>
          </cell>
          <cell r="B411" t="str">
            <v>P</v>
          </cell>
          <cell r="C411" t="str">
            <v>의류</v>
          </cell>
          <cell r="E411" t="str">
            <v>2</v>
          </cell>
          <cell r="F411" t="str">
            <v>1</v>
          </cell>
          <cell r="G411">
            <v>1</v>
          </cell>
          <cell r="H411">
            <v>4407741</v>
          </cell>
          <cell r="I411">
            <v>1</v>
          </cell>
          <cell r="J411">
            <v>49000</v>
          </cell>
          <cell r="K411">
            <v>138000</v>
          </cell>
          <cell r="U411">
            <v>303</v>
          </cell>
          <cell r="AJ411">
            <v>23</v>
          </cell>
          <cell r="AK411">
            <v>1386300</v>
          </cell>
          <cell r="AN411">
            <v>41814000</v>
          </cell>
          <cell r="AO411">
            <v>3174000</v>
          </cell>
        </row>
        <row r="412">
          <cell r="A412" t="str">
            <v>X</v>
          </cell>
          <cell r="B412" t="str">
            <v>P</v>
          </cell>
          <cell r="C412" t="str">
            <v>의류</v>
          </cell>
          <cell r="E412" t="str">
            <v>2</v>
          </cell>
          <cell r="F412" t="str">
            <v>1</v>
          </cell>
          <cell r="G412">
            <v>0</v>
          </cell>
          <cell r="H412">
            <v>6037005</v>
          </cell>
          <cell r="I412">
            <v>3</v>
          </cell>
          <cell r="J412">
            <v>147000</v>
          </cell>
          <cell r="K412">
            <v>414000</v>
          </cell>
          <cell r="U412">
            <v>415</v>
          </cell>
          <cell r="AJ412">
            <v>20</v>
          </cell>
          <cell r="AK412">
            <v>1139300</v>
          </cell>
          <cell r="AN412">
            <v>57270000</v>
          </cell>
          <cell r="AO412">
            <v>2760000</v>
          </cell>
        </row>
        <row r="413">
          <cell r="A413" t="str">
            <v>X</v>
          </cell>
          <cell r="B413" t="str">
            <v>P</v>
          </cell>
          <cell r="C413" t="str">
            <v>의류</v>
          </cell>
          <cell r="E413" t="str">
            <v>2</v>
          </cell>
          <cell r="F413" t="str">
            <v>1</v>
          </cell>
          <cell r="G413">
            <v>0</v>
          </cell>
          <cell r="H413">
            <v>7622628</v>
          </cell>
          <cell r="I413">
            <v>8</v>
          </cell>
          <cell r="J413">
            <v>392000</v>
          </cell>
          <cell r="K413">
            <v>1104000</v>
          </cell>
          <cell r="U413">
            <v>524</v>
          </cell>
          <cell r="AJ413">
            <v>85</v>
          </cell>
          <cell r="AK413">
            <v>5148200</v>
          </cell>
          <cell r="AN413">
            <v>72312000</v>
          </cell>
          <cell r="AO413">
            <v>11730000</v>
          </cell>
        </row>
        <row r="414">
          <cell r="A414" t="str">
            <v>X</v>
          </cell>
          <cell r="B414" t="str">
            <v>P</v>
          </cell>
          <cell r="C414" t="str">
            <v>의류</v>
          </cell>
          <cell r="E414" t="str">
            <v>2</v>
          </cell>
          <cell r="F414" t="str">
            <v>1</v>
          </cell>
          <cell r="G414">
            <v>1</v>
          </cell>
          <cell r="H414">
            <v>7659210</v>
          </cell>
          <cell r="I414">
            <v>10</v>
          </cell>
          <cell r="J414">
            <v>590000</v>
          </cell>
          <cell r="K414">
            <v>1580000</v>
          </cell>
          <cell r="U414">
            <v>410</v>
          </cell>
          <cell r="AJ414">
            <v>99</v>
          </cell>
          <cell r="AK414">
            <v>7169700</v>
          </cell>
          <cell r="AN414">
            <v>64780000</v>
          </cell>
          <cell r="AO414">
            <v>15642000</v>
          </cell>
        </row>
        <row r="415">
          <cell r="A415" t="str">
            <v>X</v>
          </cell>
          <cell r="B415" t="str">
            <v>P</v>
          </cell>
          <cell r="C415" t="str">
            <v>의류</v>
          </cell>
          <cell r="E415" t="str">
            <v>2</v>
          </cell>
          <cell r="F415" t="str">
            <v>1</v>
          </cell>
          <cell r="G415">
            <v>0</v>
          </cell>
          <cell r="H415">
            <v>9527310</v>
          </cell>
          <cell r="I415">
            <v>6</v>
          </cell>
          <cell r="J415">
            <v>354000</v>
          </cell>
          <cell r="K415">
            <v>948000</v>
          </cell>
          <cell r="U415">
            <v>510</v>
          </cell>
          <cell r="AJ415">
            <v>155</v>
          </cell>
          <cell r="AK415">
            <v>11555600</v>
          </cell>
          <cell r="AN415">
            <v>80580000</v>
          </cell>
          <cell r="AO415">
            <v>24490000</v>
          </cell>
        </row>
        <row r="416">
          <cell r="A416" t="str">
            <v>X</v>
          </cell>
          <cell r="B416" t="str">
            <v>P</v>
          </cell>
          <cell r="C416" t="str">
            <v>의류</v>
          </cell>
          <cell r="E416" t="str">
            <v>1</v>
          </cell>
          <cell r="F416" t="str">
            <v>6</v>
          </cell>
          <cell r="G416">
            <v>1</v>
          </cell>
          <cell r="H416">
            <v>10516085</v>
          </cell>
          <cell r="I416">
            <v>12</v>
          </cell>
          <cell r="J416">
            <v>828000</v>
          </cell>
          <cell r="K416">
            <v>2376000</v>
          </cell>
          <cell r="U416">
            <v>395</v>
          </cell>
          <cell r="AJ416">
            <v>186</v>
          </cell>
          <cell r="AK416">
            <v>14504000</v>
          </cell>
          <cell r="AN416">
            <v>78210000</v>
          </cell>
          <cell r="AO416">
            <v>36828000</v>
          </cell>
        </row>
        <row r="417">
          <cell r="A417" t="str">
            <v>X</v>
          </cell>
          <cell r="B417" t="str">
            <v>P</v>
          </cell>
          <cell r="C417" t="str">
            <v>의류</v>
          </cell>
          <cell r="E417" t="str">
            <v>1</v>
          </cell>
          <cell r="F417" t="str">
            <v>6</v>
          </cell>
          <cell r="G417">
            <v>0</v>
          </cell>
          <cell r="H417">
            <v>13444615</v>
          </cell>
          <cell r="I417">
            <v>1</v>
          </cell>
          <cell r="J417">
            <v>69000</v>
          </cell>
          <cell r="K417">
            <v>198000</v>
          </cell>
          <cell r="U417">
            <v>505</v>
          </cell>
          <cell r="AJ417">
            <v>153</v>
          </cell>
          <cell r="AK417">
            <v>11699400</v>
          </cell>
          <cell r="AN417">
            <v>99990000</v>
          </cell>
          <cell r="AO417">
            <v>30294000</v>
          </cell>
        </row>
        <row r="418">
          <cell r="A418" t="str">
            <v>X</v>
          </cell>
          <cell r="B418" t="str">
            <v>P</v>
          </cell>
          <cell r="C418" t="str">
            <v>의류</v>
          </cell>
          <cell r="E418" t="str">
            <v>1</v>
          </cell>
          <cell r="F418" t="str">
            <v>6</v>
          </cell>
          <cell r="G418">
            <v>0</v>
          </cell>
          <cell r="H418">
            <v>10595954</v>
          </cell>
          <cell r="I418">
            <v>5</v>
          </cell>
          <cell r="J418">
            <v>345000</v>
          </cell>
          <cell r="K418">
            <v>990000</v>
          </cell>
          <cell r="U418">
            <v>398</v>
          </cell>
          <cell r="AJ418">
            <v>149</v>
          </cell>
          <cell r="AK418">
            <v>11371900</v>
          </cell>
          <cell r="AN418">
            <v>78804000</v>
          </cell>
          <cell r="AO418">
            <v>29502000</v>
          </cell>
        </row>
        <row r="419">
          <cell r="A419" t="str">
            <v>X</v>
          </cell>
          <cell r="B419" t="str">
            <v>P</v>
          </cell>
          <cell r="C419" t="str">
            <v>의류</v>
          </cell>
          <cell r="E419" t="str">
            <v>1</v>
          </cell>
          <cell r="F419" t="str">
            <v>6</v>
          </cell>
          <cell r="G419">
            <v>1</v>
          </cell>
          <cell r="H419">
            <v>13831456</v>
          </cell>
          <cell r="I419">
            <v>1</v>
          </cell>
          <cell r="J419">
            <v>139000</v>
          </cell>
          <cell r="K419">
            <v>278000</v>
          </cell>
          <cell r="U419">
            <v>382</v>
          </cell>
          <cell r="AJ419">
            <v>146</v>
          </cell>
          <cell r="AK419">
            <v>19094900</v>
          </cell>
          <cell r="AN419">
            <v>106196000</v>
          </cell>
          <cell r="AO419">
            <v>40588000</v>
          </cell>
        </row>
        <row r="420">
          <cell r="A420" t="str">
            <v>X</v>
          </cell>
          <cell r="B420" t="str">
            <v>P</v>
          </cell>
          <cell r="C420" t="str">
            <v>의류</v>
          </cell>
          <cell r="E420" t="str">
            <v>1</v>
          </cell>
          <cell r="F420" t="str">
            <v>6</v>
          </cell>
          <cell r="G420">
            <v>0</v>
          </cell>
          <cell r="H420">
            <v>15931520</v>
          </cell>
          <cell r="I420">
            <v>-1</v>
          </cell>
          <cell r="J420">
            <v>-152900</v>
          </cell>
          <cell r="K420">
            <v>-278000</v>
          </cell>
          <cell r="U420">
            <v>440</v>
          </cell>
          <cell r="AJ420">
            <v>374</v>
          </cell>
          <cell r="AK420">
            <v>49912600</v>
          </cell>
          <cell r="AN420">
            <v>122320000</v>
          </cell>
          <cell r="AO420">
            <v>103972000</v>
          </cell>
        </row>
        <row r="421">
          <cell r="A421" t="str">
            <v>X</v>
          </cell>
          <cell r="B421" t="str">
            <v>P</v>
          </cell>
          <cell r="C421" t="str">
            <v>의류</v>
          </cell>
          <cell r="E421" t="str">
            <v>2</v>
          </cell>
          <cell r="F421" t="str">
            <v>6</v>
          </cell>
          <cell r="G421">
            <v>1</v>
          </cell>
          <cell r="H421">
            <v>20156280</v>
          </cell>
          <cell r="I421">
            <v>6</v>
          </cell>
          <cell r="J421">
            <v>572200</v>
          </cell>
          <cell r="K421">
            <v>1308000</v>
          </cell>
          <cell r="U421">
            <v>654</v>
          </cell>
          <cell r="AJ421">
            <v>248</v>
          </cell>
          <cell r="AK421">
            <v>25178100</v>
          </cell>
          <cell r="AN421">
            <v>142572000</v>
          </cell>
          <cell r="AO421">
            <v>54064000</v>
          </cell>
        </row>
        <row r="422">
          <cell r="A422" t="str">
            <v>X</v>
          </cell>
          <cell r="B422" t="str">
            <v>P</v>
          </cell>
          <cell r="C422" t="str">
            <v>의류</v>
          </cell>
          <cell r="E422" t="str">
            <v>2</v>
          </cell>
          <cell r="F422" t="str">
            <v>6</v>
          </cell>
          <cell r="G422">
            <v>0</v>
          </cell>
          <cell r="H422">
            <v>14516220</v>
          </cell>
          <cell r="I422">
            <v>6</v>
          </cell>
          <cell r="J422">
            <v>533100</v>
          </cell>
          <cell r="K422">
            <v>1308000</v>
          </cell>
          <cell r="U422">
            <v>471</v>
          </cell>
          <cell r="AJ422">
            <v>208</v>
          </cell>
          <cell r="AK422">
            <v>21411750</v>
          </cell>
          <cell r="AN422">
            <v>102678000</v>
          </cell>
          <cell r="AO422">
            <v>45344000</v>
          </cell>
        </row>
        <row r="423">
          <cell r="A423" t="str">
            <v>X</v>
          </cell>
          <cell r="B423" t="str">
            <v>P</v>
          </cell>
          <cell r="C423" t="str">
            <v>의류</v>
          </cell>
          <cell r="E423" t="str">
            <v>2</v>
          </cell>
          <cell r="F423" t="str">
            <v>6</v>
          </cell>
          <cell r="G423">
            <v>0</v>
          </cell>
          <cell r="H423">
            <v>20495300</v>
          </cell>
          <cell r="I423">
            <v>14</v>
          </cell>
          <cell r="J423">
            <v>1391500</v>
          </cell>
          <cell r="K423">
            <v>3052000</v>
          </cell>
          <cell r="U423">
            <v>665</v>
          </cell>
          <cell r="AJ423">
            <v>353</v>
          </cell>
          <cell r="AK423">
            <v>35656350</v>
          </cell>
          <cell r="AN423">
            <v>144970000</v>
          </cell>
          <cell r="AO423">
            <v>76954000</v>
          </cell>
        </row>
        <row r="424">
          <cell r="A424" t="str">
            <v>X</v>
          </cell>
          <cell r="B424" t="str">
            <v>P</v>
          </cell>
          <cell r="C424" t="str">
            <v>의류</v>
          </cell>
          <cell r="E424" t="str">
            <v>2</v>
          </cell>
          <cell r="F424" t="str">
            <v>6</v>
          </cell>
          <cell r="G424">
            <v>1</v>
          </cell>
          <cell r="H424">
            <v>14995564</v>
          </cell>
          <cell r="I424">
            <v>6</v>
          </cell>
          <cell r="J424">
            <v>804400</v>
          </cell>
          <cell r="K424">
            <v>1788000</v>
          </cell>
          <cell r="U424">
            <v>412</v>
          </cell>
          <cell r="AJ424">
            <v>131</v>
          </cell>
          <cell r="AK424">
            <v>18612800</v>
          </cell>
          <cell r="AN424">
            <v>122776000</v>
          </cell>
          <cell r="AO424">
            <v>39038000</v>
          </cell>
        </row>
        <row r="425">
          <cell r="A425" t="str">
            <v>X</v>
          </cell>
          <cell r="B425" t="str">
            <v>P</v>
          </cell>
          <cell r="C425" t="str">
            <v>의류</v>
          </cell>
          <cell r="E425" t="str">
            <v>2</v>
          </cell>
          <cell r="F425" t="str">
            <v>6</v>
          </cell>
          <cell r="G425">
            <v>0</v>
          </cell>
          <cell r="H425">
            <v>19654380</v>
          </cell>
          <cell r="I425">
            <v>14</v>
          </cell>
          <cell r="J425">
            <v>1862100</v>
          </cell>
          <cell r="K425">
            <v>4172000</v>
          </cell>
          <cell r="U425">
            <v>540</v>
          </cell>
          <cell r="AJ425">
            <v>455</v>
          </cell>
          <cell r="AK425">
            <v>65088000</v>
          </cell>
          <cell r="AN425">
            <v>160920000</v>
          </cell>
          <cell r="AO425">
            <v>135590000</v>
          </cell>
        </row>
        <row r="426">
          <cell r="A426" t="str">
            <v>X</v>
          </cell>
          <cell r="B426" t="str">
            <v>P</v>
          </cell>
          <cell r="C426" t="str">
            <v>의류</v>
          </cell>
          <cell r="E426" t="str">
            <v>2</v>
          </cell>
          <cell r="F426" t="str">
            <v>6</v>
          </cell>
          <cell r="G426">
            <v>1</v>
          </cell>
          <cell r="H426">
            <v>15293556</v>
          </cell>
          <cell r="I426">
            <v>12</v>
          </cell>
          <cell r="J426">
            <v>1430600</v>
          </cell>
          <cell r="K426">
            <v>3216000</v>
          </cell>
          <cell r="U426">
            <v>522</v>
          </cell>
          <cell r="AJ426">
            <v>181</v>
          </cell>
          <cell r="AK426">
            <v>22525170</v>
          </cell>
          <cell r="AN426">
            <v>139896000</v>
          </cell>
          <cell r="AO426">
            <v>48508000</v>
          </cell>
        </row>
        <row r="427">
          <cell r="A427" t="str">
            <v>X</v>
          </cell>
          <cell r="B427" t="str">
            <v>P</v>
          </cell>
          <cell r="C427" t="str">
            <v>의류</v>
          </cell>
          <cell r="E427" t="str">
            <v>2</v>
          </cell>
          <cell r="F427" t="str">
            <v>6</v>
          </cell>
          <cell r="G427">
            <v>0</v>
          </cell>
          <cell r="H427">
            <v>9404658</v>
          </cell>
          <cell r="I427">
            <v>1</v>
          </cell>
          <cell r="J427">
            <v>100600</v>
          </cell>
          <cell r="K427">
            <v>268000</v>
          </cell>
          <cell r="U427">
            <v>321</v>
          </cell>
          <cell r="AJ427">
            <v>109</v>
          </cell>
          <cell r="AK427">
            <v>13655400</v>
          </cell>
          <cell r="AN427">
            <v>86028000</v>
          </cell>
          <cell r="AO427">
            <v>29212000</v>
          </cell>
        </row>
        <row r="428">
          <cell r="A428" t="str">
            <v>X</v>
          </cell>
          <cell r="B428" t="str">
            <v>P</v>
          </cell>
          <cell r="C428" t="str">
            <v>의류</v>
          </cell>
          <cell r="E428" t="str">
            <v>2</v>
          </cell>
          <cell r="F428" t="str">
            <v>6</v>
          </cell>
          <cell r="G428">
            <v>1</v>
          </cell>
          <cell r="H428">
            <v>15090040</v>
          </cell>
          <cell r="I428">
            <v>3</v>
          </cell>
          <cell r="J428">
            <v>387400</v>
          </cell>
          <cell r="K428">
            <v>894000</v>
          </cell>
          <cell r="U428">
            <v>392</v>
          </cell>
          <cell r="AJ428">
            <v>115</v>
          </cell>
          <cell r="AK428">
            <v>16101000</v>
          </cell>
          <cell r="AN428">
            <v>116816000</v>
          </cell>
          <cell r="AO428">
            <v>34270000</v>
          </cell>
        </row>
        <row r="429">
          <cell r="A429" t="str">
            <v>X</v>
          </cell>
          <cell r="B429" t="str">
            <v>P</v>
          </cell>
          <cell r="C429" t="str">
            <v>의류</v>
          </cell>
          <cell r="E429" t="str">
            <v>1</v>
          </cell>
          <cell r="F429" t="str">
            <v>7</v>
          </cell>
          <cell r="G429">
            <v>1</v>
          </cell>
          <cell r="H429">
            <v>7290333</v>
          </cell>
          <cell r="I429">
            <v>-2</v>
          </cell>
          <cell r="J429">
            <v>-178000</v>
          </cell>
          <cell r="K429">
            <v>-356000</v>
          </cell>
          <cell r="U429">
            <v>369</v>
          </cell>
          <cell r="AJ429">
            <v>79</v>
          </cell>
          <cell r="AK429">
            <v>6624200</v>
          </cell>
          <cell r="AN429">
            <v>65682000</v>
          </cell>
          <cell r="AO429">
            <v>14062000</v>
          </cell>
        </row>
        <row r="430">
          <cell r="A430" t="str">
            <v>X</v>
          </cell>
          <cell r="B430" t="str">
            <v>P</v>
          </cell>
          <cell r="C430" t="str">
            <v>의류</v>
          </cell>
          <cell r="E430" t="str">
            <v>1</v>
          </cell>
          <cell r="F430" t="str">
            <v>7</v>
          </cell>
          <cell r="G430">
            <v>0</v>
          </cell>
          <cell r="H430">
            <v>7092763</v>
          </cell>
          <cell r="I430">
            <v>0</v>
          </cell>
          <cell r="J430">
            <v>0</v>
          </cell>
          <cell r="K430">
            <v>0</v>
          </cell>
          <cell r="U430">
            <v>359</v>
          </cell>
          <cell r="AJ430">
            <v>157</v>
          </cell>
          <cell r="AK430">
            <v>13210600</v>
          </cell>
          <cell r="AN430">
            <v>63902000</v>
          </cell>
          <cell r="AO430">
            <v>27946000</v>
          </cell>
        </row>
        <row r="431">
          <cell r="A431" t="str">
            <v>X</v>
          </cell>
          <cell r="B431" t="str">
            <v>P</v>
          </cell>
          <cell r="C431" t="str">
            <v>의류</v>
          </cell>
          <cell r="E431" t="str">
            <v>1</v>
          </cell>
          <cell r="F431" t="str">
            <v>7</v>
          </cell>
          <cell r="G431">
            <v>1</v>
          </cell>
          <cell r="H431">
            <v>11665260</v>
          </cell>
          <cell r="I431">
            <v>16</v>
          </cell>
          <cell r="J431">
            <v>880000</v>
          </cell>
          <cell r="K431">
            <v>2528000</v>
          </cell>
          <cell r="U431">
            <v>687</v>
          </cell>
          <cell r="AJ431">
            <v>242</v>
          </cell>
          <cell r="AK431">
            <v>14625000</v>
          </cell>
          <cell r="AN431">
            <v>108546000</v>
          </cell>
          <cell r="AO431">
            <v>38236000</v>
          </cell>
        </row>
        <row r="432">
          <cell r="A432" t="str">
            <v>X</v>
          </cell>
          <cell r="B432" t="str">
            <v>P</v>
          </cell>
          <cell r="C432" t="str">
            <v>의류</v>
          </cell>
          <cell r="E432" t="str">
            <v>1</v>
          </cell>
          <cell r="F432" t="str">
            <v>7</v>
          </cell>
          <cell r="G432">
            <v>0</v>
          </cell>
          <cell r="H432">
            <v>8557920</v>
          </cell>
          <cell r="I432">
            <v>3</v>
          </cell>
          <cell r="J432">
            <v>165000</v>
          </cell>
          <cell r="K432">
            <v>474000</v>
          </cell>
          <cell r="U432">
            <v>504</v>
          </cell>
          <cell r="AJ432">
            <v>122</v>
          </cell>
          <cell r="AK432">
            <v>7650400</v>
          </cell>
          <cell r="AN432">
            <v>79632000</v>
          </cell>
          <cell r="AO432">
            <v>19276000</v>
          </cell>
        </row>
        <row r="433">
          <cell r="A433" t="str">
            <v>X</v>
          </cell>
          <cell r="B433" t="str">
            <v>P</v>
          </cell>
          <cell r="C433" t="str">
            <v>의류</v>
          </cell>
          <cell r="E433" t="str">
            <v>1</v>
          </cell>
          <cell r="F433" t="str">
            <v>7</v>
          </cell>
          <cell r="G433">
            <v>0</v>
          </cell>
          <cell r="H433">
            <v>5127960</v>
          </cell>
          <cell r="I433">
            <v>3</v>
          </cell>
          <cell r="J433">
            <v>162250</v>
          </cell>
          <cell r="K433">
            <v>474000</v>
          </cell>
          <cell r="U433">
            <v>302</v>
          </cell>
          <cell r="AJ433">
            <v>79</v>
          </cell>
          <cell r="AK433">
            <v>4906300</v>
          </cell>
          <cell r="AN433">
            <v>47716000</v>
          </cell>
          <cell r="AO433">
            <v>12482000</v>
          </cell>
        </row>
        <row r="434">
          <cell r="A434" t="str">
            <v>X</v>
          </cell>
          <cell r="B434" t="str">
            <v>P</v>
          </cell>
          <cell r="C434" t="str">
            <v>의류</v>
          </cell>
          <cell r="E434" t="str">
            <v>1</v>
          </cell>
          <cell r="F434" t="str">
            <v>7</v>
          </cell>
          <cell r="G434">
            <v>1</v>
          </cell>
          <cell r="H434">
            <v>9255715</v>
          </cell>
          <cell r="I434">
            <v>11</v>
          </cell>
          <cell r="J434">
            <v>755550</v>
          </cell>
          <cell r="K434">
            <v>1958000</v>
          </cell>
          <cell r="U434">
            <v>469</v>
          </cell>
          <cell r="AJ434">
            <v>144</v>
          </cell>
          <cell r="AK434">
            <v>10516950</v>
          </cell>
          <cell r="AN434">
            <v>83482000</v>
          </cell>
          <cell r="AO434">
            <v>25632000</v>
          </cell>
        </row>
        <row r="435">
          <cell r="A435" t="str">
            <v>X</v>
          </cell>
          <cell r="B435" t="str">
            <v>P</v>
          </cell>
          <cell r="C435" t="str">
            <v>의류</v>
          </cell>
          <cell r="E435" t="str">
            <v>1</v>
          </cell>
          <cell r="F435" t="str">
            <v>7</v>
          </cell>
          <cell r="G435">
            <v>0</v>
          </cell>
          <cell r="H435">
            <v>11268685</v>
          </cell>
          <cell r="I435">
            <v>22</v>
          </cell>
          <cell r="J435">
            <v>1518000</v>
          </cell>
          <cell r="K435">
            <v>3916000</v>
          </cell>
          <cell r="U435">
            <v>571</v>
          </cell>
          <cell r="AJ435">
            <v>264</v>
          </cell>
          <cell r="AK435">
            <v>19720400</v>
          </cell>
          <cell r="AN435">
            <v>101638000</v>
          </cell>
          <cell r="AO435">
            <v>46992000</v>
          </cell>
        </row>
        <row r="436">
          <cell r="A436" t="str">
            <v>X</v>
          </cell>
          <cell r="B436" t="str">
            <v>P</v>
          </cell>
          <cell r="C436" t="str">
            <v>의류</v>
          </cell>
          <cell r="E436" t="str">
            <v>1</v>
          </cell>
          <cell r="F436" t="str">
            <v>7</v>
          </cell>
          <cell r="G436">
            <v>1</v>
          </cell>
          <cell r="H436">
            <v>4411076</v>
          </cell>
          <cell r="I436">
            <v>2</v>
          </cell>
          <cell r="J436">
            <v>150100</v>
          </cell>
          <cell r="K436">
            <v>316000</v>
          </cell>
          <cell r="U436">
            <v>236</v>
          </cell>
          <cell r="AJ436">
            <v>136</v>
          </cell>
          <cell r="AK436">
            <v>10023550</v>
          </cell>
          <cell r="AN436">
            <v>37288000</v>
          </cell>
          <cell r="AO436">
            <v>21488000</v>
          </cell>
        </row>
        <row r="437">
          <cell r="A437" t="str">
            <v>X</v>
          </cell>
          <cell r="B437" t="str">
            <v>P</v>
          </cell>
          <cell r="C437" t="str">
            <v>의류</v>
          </cell>
          <cell r="E437" t="str">
            <v>1</v>
          </cell>
          <cell r="F437" t="str">
            <v>7</v>
          </cell>
          <cell r="G437">
            <v>0</v>
          </cell>
          <cell r="H437">
            <v>10934235</v>
          </cell>
          <cell r="I437">
            <v>4</v>
          </cell>
          <cell r="J437">
            <v>256000</v>
          </cell>
          <cell r="K437">
            <v>632000</v>
          </cell>
          <cell r="U437">
            <v>585</v>
          </cell>
          <cell r="AJ437">
            <v>326</v>
          </cell>
          <cell r="AK437">
            <v>24487800</v>
          </cell>
          <cell r="AN437">
            <v>92430000</v>
          </cell>
          <cell r="AO437">
            <v>51508000</v>
          </cell>
        </row>
        <row r="438">
          <cell r="A438" t="str">
            <v>X</v>
          </cell>
          <cell r="B438" t="str">
            <v>P</v>
          </cell>
          <cell r="C438" t="str">
            <v>의류</v>
          </cell>
          <cell r="E438" t="str">
            <v>2</v>
          </cell>
          <cell r="F438" t="str">
            <v>7</v>
          </cell>
          <cell r="G438">
            <v>1</v>
          </cell>
          <cell r="H438">
            <v>8979795</v>
          </cell>
          <cell r="I438">
            <v>8</v>
          </cell>
          <cell r="J438">
            <v>472000</v>
          </cell>
          <cell r="K438">
            <v>1264000</v>
          </cell>
          <cell r="U438">
            <v>495</v>
          </cell>
          <cell r="AJ438">
            <v>70</v>
          </cell>
          <cell r="AK438">
            <v>4884350</v>
          </cell>
          <cell r="AN438">
            <v>78210000</v>
          </cell>
          <cell r="AO438">
            <v>11060000</v>
          </cell>
        </row>
        <row r="439">
          <cell r="A439" t="str">
            <v>X</v>
          </cell>
          <cell r="B439" t="str">
            <v>P</v>
          </cell>
          <cell r="C439" t="str">
            <v>의류</v>
          </cell>
          <cell r="E439" t="str">
            <v>2</v>
          </cell>
          <cell r="F439" t="str">
            <v>7</v>
          </cell>
          <cell r="G439">
            <v>0</v>
          </cell>
          <cell r="H439">
            <v>7201977</v>
          </cell>
          <cell r="I439">
            <v>7</v>
          </cell>
          <cell r="J439">
            <v>413000</v>
          </cell>
          <cell r="K439">
            <v>1106000</v>
          </cell>
          <cell r="U439">
            <v>397</v>
          </cell>
          <cell r="AJ439">
            <v>87</v>
          </cell>
          <cell r="AK439">
            <v>6055500</v>
          </cell>
          <cell r="AN439">
            <v>62726000</v>
          </cell>
          <cell r="AO439">
            <v>13746000</v>
          </cell>
        </row>
        <row r="440">
          <cell r="A440" t="str">
            <v>X</v>
          </cell>
          <cell r="B440" t="str">
            <v>P</v>
          </cell>
          <cell r="C440" t="str">
            <v>의류</v>
          </cell>
          <cell r="E440" t="str">
            <v>2</v>
          </cell>
          <cell r="F440" t="str">
            <v>7</v>
          </cell>
          <cell r="G440">
            <v>0</v>
          </cell>
          <cell r="H440">
            <v>16018503</v>
          </cell>
          <cell r="I440">
            <v>28</v>
          </cell>
          <cell r="J440">
            <v>1632000</v>
          </cell>
          <cell r="K440">
            <v>4424000</v>
          </cell>
          <cell r="U440">
            <v>883</v>
          </cell>
          <cell r="AJ440">
            <v>287</v>
          </cell>
          <cell r="AK440">
            <v>19918300</v>
          </cell>
          <cell r="AN440">
            <v>139514000</v>
          </cell>
          <cell r="AO440">
            <v>45346000</v>
          </cell>
        </row>
        <row r="441">
          <cell r="A441" t="str">
            <v>X</v>
          </cell>
          <cell r="B441" t="str">
            <v>P</v>
          </cell>
          <cell r="C441" t="str">
            <v>의류</v>
          </cell>
          <cell r="E441" t="str">
            <v>2</v>
          </cell>
          <cell r="F441" t="str">
            <v>7</v>
          </cell>
          <cell r="G441">
            <v>1</v>
          </cell>
          <cell r="H441">
            <v>14173694</v>
          </cell>
          <cell r="I441">
            <v>33</v>
          </cell>
          <cell r="J441">
            <v>1947000</v>
          </cell>
          <cell r="K441">
            <v>4884000</v>
          </cell>
          <cell r="U441">
            <v>794</v>
          </cell>
          <cell r="AJ441">
            <v>196</v>
          </cell>
          <cell r="AK441">
            <v>11883800</v>
          </cell>
          <cell r="AN441">
            <v>117512000</v>
          </cell>
          <cell r="AO441">
            <v>29008000</v>
          </cell>
        </row>
        <row r="442">
          <cell r="A442" t="str">
            <v>X</v>
          </cell>
          <cell r="B442" t="str">
            <v>P</v>
          </cell>
          <cell r="C442" t="str">
            <v>의류</v>
          </cell>
          <cell r="E442" t="str">
            <v>2</v>
          </cell>
          <cell r="F442" t="str">
            <v>7</v>
          </cell>
          <cell r="G442">
            <v>0</v>
          </cell>
          <cell r="H442">
            <v>11156875</v>
          </cell>
          <cell r="I442">
            <v>15</v>
          </cell>
          <cell r="J442">
            <v>896800</v>
          </cell>
          <cell r="K442">
            <v>2220000</v>
          </cell>
          <cell r="U442">
            <v>625</v>
          </cell>
          <cell r="AJ442">
            <v>103</v>
          </cell>
          <cell r="AK442">
            <v>6275200</v>
          </cell>
          <cell r="AN442">
            <v>92500000</v>
          </cell>
          <cell r="AO442">
            <v>15244000</v>
          </cell>
        </row>
        <row r="443">
          <cell r="A443" t="str">
            <v>X</v>
          </cell>
          <cell r="B443" t="str">
            <v>P</v>
          </cell>
          <cell r="C443" t="str">
            <v>의류</v>
          </cell>
          <cell r="E443" t="str">
            <v>2</v>
          </cell>
          <cell r="F443" t="str">
            <v>7</v>
          </cell>
          <cell r="G443">
            <v>1</v>
          </cell>
          <cell r="H443">
            <v>18606738</v>
          </cell>
          <cell r="I443">
            <v>19</v>
          </cell>
          <cell r="J443">
            <v>1497600</v>
          </cell>
          <cell r="K443">
            <v>3382000</v>
          </cell>
          <cell r="U443">
            <v>969</v>
          </cell>
          <cell r="AJ443">
            <v>251</v>
          </cell>
          <cell r="AK443">
            <v>20107600</v>
          </cell>
          <cell r="AN443">
            <v>172482000</v>
          </cell>
          <cell r="AO443">
            <v>44678000</v>
          </cell>
        </row>
        <row r="444">
          <cell r="A444" t="str">
            <v>X</v>
          </cell>
          <cell r="B444" t="str">
            <v>P</v>
          </cell>
          <cell r="C444" t="str">
            <v>의류</v>
          </cell>
          <cell r="E444" t="str">
            <v>2</v>
          </cell>
          <cell r="F444" t="str">
            <v>7</v>
          </cell>
          <cell r="G444">
            <v>0</v>
          </cell>
          <cell r="H444">
            <v>6010226</v>
          </cell>
          <cell r="I444">
            <v>2</v>
          </cell>
          <cell r="J444">
            <v>118000</v>
          </cell>
          <cell r="K444">
            <v>356000</v>
          </cell>
          <cell r="U444">
            <v>313</v>
          </cell>
          <cell r="AJ444">
            <v>48</v>
          </cell>
          <cell r="AK444">
            <v>3927795</v>
          </cell>
          <cell r="AN444">
            <v>55714000</v>
          </cell>
          <cell r="AO444">
            <v>8544000</v>
          </cell>
        </row>
        <row r="445">
          <cell r="A445" t="str">
            <v>X</v>
          </cell>
          <cell r="B445" t="str">
            <v>P</v>
          </cell>
          <cell r="C445" t="str">
            <v>의류</v>
          </cell>
          <cell r="E445" t="str">
            <v>2</v>
          </cell>
          <cell r="F445" t="str">
            <v>7</v>
          </cell>
          <cell r="G445">
            <v>0</v>
          </cell>
          <cell r="H445">
            <v>6893518</v>
          </cell>
          <cell r="I445">
            <v>10</v>
          </cell>
          <cell r="J445">
            <v>813300</v>
          </cell>
          <cell r="K445">
            <v>1780000</v>
          </cell>
          <cell r="U445">
            <v>359</v>
          </cell>
          <cell r="AJ445">
            <v>62</v>
          </cell>
          <cell r="AK445">
            <v>5046600</v>
          </cell>
          <cell r="AN445">
            <v>63902000</v>
          </cell>
          <cell r="AO445">
            <v>11036000</v>
          </cell>
        </row>
        <row r="446">
          <cell r="A446" t="str">
            <v>X</v>
          </cell>
          <cell r="B446" t="str">
            <v>P</v>
          </cell>
          <cell r="C446" t="str">
            <v>의류</v>
          </cell>
          <cell r="E446" t="str">
            <v>2</v>
          </cell>
          <cell r="F446" t="str">
            <v>7</v>
          </cell>
          <cell r="G446">
            <v>1</v>
          </cell>
          <cell r="H446">
            <v>12036798</v>
          </cell>
          <cell r="I446">
            <v>15</v>
          </cell>
          <cell r="J446">
            <v>1641700</v>
          </cell>
          <cell r="K446">
            <v>3570000</v>
          </cell>
          <cell r="U446">
            <v>522</v>
          </cell>
          <cell r="AJ446">
            <v>126</v>
          </cell>
          <cell r="AK446">
            <v>14038000</v>
          </cell>
          <cell r="AN446">
            <v>124236000</v>
          </cell>
          <cell r="AO446">
            <v>29988000</v>
          </cell>
        </row>
        <row r="447">
          <cell r="A447" t="str">
            <v>X</v>
          </cell>
          <cell r="B447" t="str">
            <v>P</v>
          </cell>
          <cell r="C447" t="str">
            <v>의류</v>
          </cell>
          <cell r="E447" t="str">
            <v>2</v>
          </cell>
          <cell r="F447" t="str">
            <v>7</v>
          </cell>
          <cell r="G447">
            <v>0</v>
          </cell>
          <cell r="H447">
            <v>17893784</v>
          </cell>
          <cell r="I447">
            <v>18</v>
          </cell>
          <cell r="J447">
            <v>1948700</v>
          </cell>
          <cell r="K447">
            <v>4284000</v>
          </cell>
          <cell r="U447">
            <v>776</v>
          </cell>
          <cell r="AJ447">
            <v>245</v>
          </cell>
          <cell r="AK447">
            <v>27256200</v>
          </cell>
          <cell r="AN447">
            <v>184688000</v>
          </cell>
          <cell r="AO447">
            <v>58310000</v>
          </cell>
        </row>
        <row r="448">
          <cell r="A448" t="str">
            <v>X</v>
          </cell>
          <cell r="B448" t="str">
            <v>P</v>
          </cell>
          <cell r="C448" t="str">
            <v>의류</v>
          </cell>
          <cell r="E448" t="str">
            <v>2</v>
          </cell>
          <cell r="F448" t="str">
            <v>7</v>
          </cell>
          <cell r="G448">
            <v>1</v>
          </cell>
          <cell r="H448">
            <v>14097600</v>
          </cell>
          <cell r="I448">
            <v>32</v>
          </cell>
          <cell r="J448">
            <v>2668200</v>
          </cell>
          <cell r="K448">
            <v>6016000</v>
          </cell>
          <cell r="U448">
            <v>800</v>
          </cell>
          <cell r="AJ448">
            <v>253</v>
          </cell>
          <cell r="AK448">
            <v>21680800</v>
          </cell>
          <cell r="AN448">
            <v>150400000</v>
          </cell>
          <cell r="AO448">
            <v>47564000</v>
          </cell>
        </row>
        <row r="449">
          <cell r="A449" t="str">
            <v>X</v>
          </cell>
          <cell r="B449" t="str">
            <v>P</v>
          </cell>
          <cell r="C449" t="str">
            <v>의류</v>
          </cell>
          <cell r="E449" t="str">
            <v>2</v>
          </cell>
          <cell r="F449" t="str">
            <v>7</v>
          </cell>
          <cell r="G449">
            <v>0</v>
          </cell>
          <cell r="H449">
            <v>10537956</v>
          </cell>
          <cell r="I449">
            <v>30</v>
          </cell>
          <cell r="J449">
            <v>2375400</v>
          </cell>
          <cell r="K449">
            <v>5640000</v>
          </cell>
          <cell r="U449">
            <v>598</v>
          </cell>
          <cell r="AJ449">
            <v>247</v>
          </cell>
          <cell r="AK449">
            <v>21187600</v>
          </cell>
          <cell r="AN449">
            <v>112424000</v>
          </cell>
          <cell r="AO449">
            <v>46436000</v>
          </cell>
        </row>
        <row r="450">
          <cell r="A450" t="str">
            <v>X</v>
          </cell>
          <cell r="B450" t="str">
            <v>P</v>
          </cell>
          <cell r="C450" t="str">
            <v>의류</v>
          </cell>
          <cell r="E450" t="str">
            <v>2</v>
          </cell>
          <cell r="F450" t="str">
            <v>7</v>
          </cell>
          <cell r="G450">
            <v>1</v>
          </cell>
          <cell r="H450">
            <v>9245565</v>
          </cell>
          <cell r="I450">
            <v>26</v>
          </cell>
          <cell r="J450">
            <v>2141700</v>
          </cell>
          <cell r="K450">
            <v>4628000</v>
          </cell>
          <cell r="U450">
            <v>599</v>
          </cell>
          <cell r="AJ450">
            <v>109</v>
          </cell>
          <cell r="AK450">
            <v>8827300</v>
          </cell>
          <cell r="AN450">
            <v>106622000</v>
          </cell>
          <cell r="AO450">
            <v>19402000</v>
          </cell>
        </row>
        <row r="451">
          <cell r="A451" t="str">
            <v>X</v>
          </cell>
          <cell r="B451" t="str">
            <v>P</v>
          </cell>
          <cell r="C451" t="str">
            <v>의류</v>
          </cell>
          <cell r="E451" t="str">
            <v>2</v>
          </cell>
          <cell r="F451" t="str">
            <v>7</v>
          </cell>
          <cell r="G451">
            <v>0</v>
          </cell>
          <cell r="H451">
            <v>10804500</v>
          </cell>
          <cell r="I451">
            <v>38</v>
          </cell>
          <cell r="J451">
            <v>3055200</v>
          </cell>
          <cell r="K451">
            <v>6764000</v>
          </cell>
          <cell r="U451">
            <v>700</v>
          </cell>
          <cell r="AJ451">
            <v>243</v>
          </cell>
          <cell r="AK451">
            <v>19835200</v>
          </cell>
          <cell r="AN451">
            <v>124600000</v>
          </cell>
          <cell r="AO451">
            <v>43254000</v>
          </cell>
        </row>
        <row r="452">
          <cell r="A452" t="str">
            <v>X</v>
          </cell>
          <cell r="B452" t="str">
            <v>P</v>
          </cell>
          <cell r="C452" t="str">
            <v>의류</v>
          </cell>
          <cell r="E452" t="str">
            <v>2</v>
          </cell>
          <cell r="F452" t="str">
            <v>7</v>
          </cell>
          <cell r="G452">
            <v>1</v>
          </cell>
          <cell r="H452">
            <v>11544270</v>
          </cell>
          <cell r="I452">
            <v>25</v>
          </cell>
          <cell r="J452">
            <v>1475000</v>
          </cell>
          <cell r="K452">
            <v>3950000</v>
          </cell>
          <cell r="U452">
            <v>790</v>
          </cell>
          <cell r="AJ452">
            <v>161</v>
          </cell>
          <cell r="AK452">
            <v>11088300</v>
          </cell>
          <cell r="AN452">
            <v>124820000</v>
          </cell>
          <cell r="AO452">
            <v>25438000</v>
          </cell>
        </row>
        <row r="453">
          <cell r="A453" t="str">
            <v>X</v>
          </cell>
          <cell r="B453" t="str">
            <v>P</v>
          </cell>
          <cell r="C453" t="str">
            <v>의류</v>
          </cell>
          <cell r="E453" t="str">
            <v>2</v>
          </cell>
          <cell r="F453" t="str">
            <v>7</v>
          </cell>
          <cell r="G453">
            <v>0</v>
          </cell>
          <cell r="H453">
            <v>5801361</v>
          </cell>
          <cell r="I453">
            <v>7</v>
          </cell>
          <cell r="J453">
            <v>413000</v>
          </cell>
          <cell r="K453">
            <v>1106000</v>
          </cell>
          <cell r="U453">
            <v>397</v>
          </cell>
          <cell r="AJ453">
            <v>41</v>
          </cell>
          <cell r="AK453">
            <v>2839500</v>
          </cell>
          <cell r="AN453">
            <v>62726000</v>
          </cell>
          <cell r="AO453">
            <v>6478000</v>
          </cell>
        </row>
        <row r="454">
          <cell r="A454" t="str">
            <v>X</v>
          </cell>
          <cell r="B454" t="str">
            <v>P</v>
          </cell>
          <cell r="C454" t="str">
            <v>의류</v>
          </cell>
          <cell r="E454" t="str">
            <v>2</v>
          </cell>
          <cell r="F454" t="str">
            <v>7</v>
          </cell>
          <cell r="G454">
            <v>1</v>
          </cell>
          <cell r="H454">
            <v>8161020</v>
          </cell>
          <cell r="I454">
            <v>3</v>
          </cell>
          <cell r="J454">
            <v>202000</v>
          </cell>
          <cell r="K454">
            <v>444000</v>
          </cell>
          <cell r="U454">
            <v>612</v>
          </cell>
          <cell r="AJ454">
            <v>29</v>
          </cell>
          <cell r="AK454">
            <v>2001600</v>
          </cell>
          <cell r="AN454">
            <v>90576000</v>
          </cell>
          <cell r="AO454">
            <v>4292000</v>
          </cell>
        </row>
        <row r="455">
          <cell r="A455" t="str">
            <v>X</v>
          </cell>
          <cell r="B455" t="str">
            <v>P</v>
          </cell>
          <cell r="C455" t="str">
            <v>의류</v>
          </cell>
          <cell r="E455" t="str">
            <v>2</v>
          </cell>
          <cell r="F455" t="str">
            <v>7</v>
          </cell>
          <cell r="G455">
            <v>0</v>
          </cell>
          <cell r="H455">
            <v>6507480</v>
          </cell>
          <cell r="I455">
            <v>7</v>
          </cell>
          <cell r="J455">
            <v>451000</v>
          </cell>
          <cell r="K455">
            <v>1036000</v>
          </cell>
          <cell r="U455">
            <v>488</v>
          </cell>
          <cell r="AJ455">
            <v>27</v>
          </cell>
          <cell r="AK455">
            <v>1754600</v>
          </cell>
          <cell r="AN455">
            <v>72224000</v>
          </cell>
          <cell r="AO455">
            <v>3996000</v>
          </cell>
        </row>
        <row r="456">
          <cell r="A456" t="str">
            <v>X</v>
          </cell>
          <cell r="B456" t="str">
            <v>P</v>
          </cell>
          <cell r="C456" t="str">
            <v>의류</v>
          </cell>
          <cell r="E456" t="str">
            <v>2</v>
          </cell>
          <cell r="F456" t="str">
            <v>7</v>
          </cell>
          <cell r="G456">
            <v>1</v>
          </cell>
          <cell r="H456">
            <v>5396604</v>
          </cell>
          <cell r="I456">
            <v>2</v>
          </cell>
          <cell r="J456">
            <v>115200</v>
          </cell>
          <cell r="K456">
            <v>256000</v>
          </cell>
          <cell r="U456">
            <v>356</v>
          </cell>
          <cell r="AJ456">
            <v>8</v>
          </cell>
          <cell r="AK456">
            <v>479200</v>
          </cell>
          <cell r="AN456">
            <v>45568000</v>
          </cell>
          <cell r="AO456">
            <v>1024000</v>
          </cell>
        </row>
        <row r="457">
          <cell r="A457" t="str">
            <v>X</v>
          </cell>
          <cell r="B457" t="str">
            <v>P</v>
          </cell>
          <cell r="C457" t="str">
            <v>의류</v>
          </cell>
          <cell r="E457" t="str">
            <v>2</v>
          </cell>
          <cell r="F457" t="str">
            <v>7</v>
          </cell>
          <cell r="G457">
            <v>0</v>
          </cell>
          <cell r="H457">
            <v>6942822</v>
          </cell>
          <cell r="I457">
            <v>3</v>
          </cell>
          <cell r="J457">
            <v>179200</v>
          </cell>
          <cell r="K457">
            <v>384000</v>
          </cell>
          <cell r="U457">
            <v>458</v>
          </cell>
          <cell r="AJ457">
            <v>24</v>
          </cell>
          <cell r="AK457">
            <v>1474000</v>
          </cell>
          <cell r="AN457">
            <v>58624000</v>
          </cell>
          <cell r="AO457">
            <v>3072000</v>
          </cell>
        </row>
        <row r="458">
          <cell r="A458" t="str">
            <v>X</v>
          </cell>
          <cell r="B458" t="str">
            <v>P</v>
          </cell>
          <cell r="C458" t="str">
            <v>의류</v>
          </cell>
          <cell r="E458" t="str">
            <v>1</v>
          </cell>
          <cell r="F458" t="str">
            <v>C</v>
          </cell>
          <cell r="G458">
            <v>1</v>
          </cell>
          <cell r="H458">
            <v>24393000</v>
          </cell>
          <cell r="I458">
            <v>2</v>
          </cell>
          <cell r="J458">
            <v>410200</v>
          </cell>
          <cell r="K458">
            <v>956000</v>
          </cell>
          <cell r="U458">
            <v>376</v>
          </cell>
          <cell r="AJ458">
            <v>241</v>
          </cell>
          <cell r="AK458">
            <v>53754100</v>
          </cell>
          <cell r="AN458">
            <v>179728000</v>
          </cell>
          <cell r="AO458">
            <v>115198000</v>
          </cell>
        </row>
        <row r="459">
          <cell r="A459" t="str">
            <v>X</v>
          </cell>
          <cell r="B459" t="str">
            <v>P</v>
          </cell>
          <cell r="C459" t="str">
            <v>의류</v>
          </cell>
          <cell r="E459" t="str">
            <v>1</v>
          </cell>
          <cell r="F459" t="str">
            <v>C</v>
          </cell>
          <cell r="G459">
            <v>0</v>
          </cell>
          <cell r="H459">
            <v>27247500</v>
          </cell>
          <cell r="I459">
            <v>3</v>
          </cell>
          <cell r="J459">
            <v>441900</v>
          </cell>
          <cell r="K459">
            <v>1434000</v>
          </cell>
          <cell r="U459">
            <v>420</v>
          </cell>
          <cell r="AJ459">
            <v>335</v>
          </cell>
          <cell r="AK459">
            <v>75844100</v>
          </cell>
          <cell r="AN459">
            <v>200760000</v>
          </cell>
          <cell r="AO459">
            <v>160130000</v>
          </cell>
        </row>
        <row r="460">
          <cell r="A460" t="str">
            <v>X</v>
          </cell>
          <cell r="B460" t="str">
            <v>P</v>
          </cell>
          <cell r="C460" t="str">
            <v>의류</v>
          </cell>
          <cell r="E460" t="str">
            <v>2</v>
          </cell>
          <cell r="F460" t="str">
            <v>Q</v>
          </cell>
          <cell r="G460">
            <v>1</v>
          </cell>
          <cell r="H460">
            <v>8262926</v>
          </cell>
          <cell r="I460">
            <v>3</v>
          </cell>
          <cell r="J460">
            <v>242600</v>
          </cell>
          <cell r="K460">
            <v>564000</v>
          </cell>
          <cell r="U460">
            <v>434</v>
          </cell>
          <cell r="AJ460">
            <v>42</v>
          </cell>
          <cell r="AK460">
            <v>3556000</v>
          </cell>
          <cell r="AN460">
            <v>81592000</v>
          </cell>
          <cell r="AO460">
            <v>7896000</v>
          </cell>
        </row>
        <row r="461">
          <cell r="A461" t="str">
            <v>X</v>
          </cell>
          <cell r="B461" t="str">
            <v>P</v>
          </cell>
          <cell r="C461" t="str">
            <v>의류</v>
          </cell>
          <cell r="E461" t="str">
            <v>2</v>
          </cell>
          <cell r="F461" t="str">
            <v>Q</v>
          </cell>
          <cell r="G461">
            <v>0</v>
          </cell>
          <cell r="H461">
            <v>3788761</v>
          </cell>
          <cell r="I461">
            <v>4</v>
          </cell>
          <cell r="J461">
            <v>313100</v>
          </cell>
          <cell r="K461">
            <v>752000</v>
          </cell>
          <cell r="U461">
            <v>199</v>
          </cell>
          <cell r="AJ461">
            <v>17</v>
          </cell>
          <cell r="AK461">
            <v>1398700</v>
          </cell>
          <cell r="AN461">
            <v>37412000</v>
          </cell>
          <cell r="AO461">
            <v>3196000</v>
          </cell>
        </row>
        <row r="462">
          <cell r="A462" t="str">
            <v>X</v>
          </cell>
          <cell r="B462" t="str">
            <v>P</v>
          </cell>
          <cell r="C462" t="str">
            <v>의류</v>
          </cell>
          <cell r="E462" t="str">
            <v>2</v>
          </cell>
          <cell r="F462" t="str">
            <v>Q</v>
          </cell>
          <cell r="G462">
            <v>1</v>
          </cell>
          <cell r="H462">
            <v>5072067</v>
          </cell>
          <cell r="I462">
            <v>5</v>
          </cell>
          <cell r="J462">
            <v>396050</v>
          </cell>
          <cell r="K462">
            <v>890000</v>
          </cell>
          <cell r="U462">
            <v>273</v>
          </cell>
          <cell r="AJ462">
            <v>30</v>
          </cell>
          <cell r="AK462">
            <v>2394350</v>
          </cell>
          <cell r="AN462">
            <v>48594000</v>
          </cell>
          <cell r="AO462">
            <v>5340000</v>
          </cell>
        </row>
        <row r="463">
          <cell r="A463" t="str">
            <v>X</v>
          </cell>
          <cell r="B463" t="str">
            <v>P</v>
          </cell>
          <cell r="C463" t="str">
            <v>의류</v>
          </cell>
          <cell r="E463" t="str">
            <v>2</v>
          </cell>
          <cell r="F463" t="str">
            <v>Q</v>
          </cell>
          <cell r="G463">
            <v>1</v>
          </cell>
          <cell r="H463">
            <v>4693568</v>
          </cell>
          <cell r="I463">
            <v>3</v>
          </cell>
          <cell r="J463">
            <v>247200</v>
          </cell>
          <cell r="K463">
            <v>594000</v>
          </cell>
          <cell r="U463">
            <v>226</v>
          </cell>
          <cell r="AJ463">
            <v>31</v>
          </cell>
          <cell r="AK463">
            <v>2859800</v>
          </cell>
          <cell r="AN463">
            <v>44748000</v>
          </cell>
          <cell r="AO463">
            <v>6138000</v>
          </cell>
        </row>
        <row r="464">
          <cell r="A464" t="str">
            <v>X</v>
          </cell>
          <cell r="B464" t="str">
            <v>P</v>
          </cell>
          <cell r="C464" t="str">
            <v>의류</v>
          </cell>
          <cell r="E464" t="str">
            <v>2</v>
          </cell>
          <cell r="F464" t="str">
            <v>Q</v>
          </cell>
          <cell r="G464">
            <v>0</v>
          </cell>
          <cell r="H464">
            <v>6936512</v>
          </cell>
          <cell r="I464">
            <v>11</v>
          </cell>
          <cell r="J464">
            <v>949500</v>
          </cell>
          <cell r="K464">
            <v>2178000</v>
          </cell>
          <cell r="U464">
            <v>334</v>
          </cell>
          <cell r="AJ464">
            <v>106</v>
          </cell>
          <cell r="AK464">
            <v>9674445</v>
          </cell>
          <cell r="AN464">
            <v>66132000</v>
          </cell>
          <cell r="AO464">
            <v>20988000</v>
          </cell>
        </row>
        <row r="465">
          <cell r="A465" t="str">
            <v>X</v>
          </cell>
          <cell r="B465" t="str">
            <v>P</v>
          </cell>
          <cell r="C465" t="str">
            <v>의류</v>
          </cell>
          <cell r="E465" t="str">
            <v>1</v>
          </cell>
          <cell r="F465" t="str">
            <v>T</v>
          </cell>
          <cell r="G465">
            <v>1</v>
          </cell>
          <cell r="H465">
            <v>19368440</v>
          </cell>
          <cell r="I465">
            <v>-1</v>
          </cell>
          <cell r="J465">
            <v>-179000</v>
          </cell>
          <cell r="K465">
            <v>-358000</v>
          </cell>
          <cell r="U465">
            <v>455</v>
          </cell>
          <cell r="AJ465">
            <v>359</v>
          </cell>
          <cell r="AK465">
            <v>61302200</v>
          </cell>
          <cell r="AN465">
            <v>162890000</v>
          </cell>
          <cell r="AO465">
            <v>128522000</v>
          </cell>
        </row>
        <row r="466">
          <cell r="A466" t="str">
            <v>X</v>
          </cell>
          <cell r="B466" t="str">
            <v>P</v>
          </cell>
          <cell r="C466" t="str">
            <v>의류</v>
          </cell>
          <cell r="E466" t="str">
            <v>1</v>
          </cell>
          <cell r="F466" t="str">
            <v>T</v>
          </cell>
          <cell r="G466">
            <v>0</v>
          </cell>
          <cell r="H466">
            <v>15494752</v>
          </cell>
          <cell r="I466">
            <v>-2</v>
          </cell>
          <cell r="J466">
            <v>-388000</v>
          </cell>
          <cell r="K466">
            <v>-716000</v>
          </cell>
          <cell r="U466">
            <v>364</v>
          </cell>
          <cell r="AJ466">
            <v>280</v>
          </cell>
          <cell r="AK466">
            <v>47850300</v>
          </cell>
          <cell r="AN466">
            <v>130312000</v>
          </cell>
          <cell r="AO466">
            <v>100240000</v>
          </cell>
        </row>
        <row r="467">
          <cell r="A467" t="str">
            <v>X</v>
          </cell>
          <cell r="B467" t="str">
            <v>P</v>
          </cell>
          <cell r="C467" t="str">
            <v>의류</v>
          </cell>
          <cell r="E467" t="str">
            <v>1</v>
          </cell>
          <cell r="F467" t="str">
            <v>T</v>
          </cell>
          <cell r="G467">
            <v>1</v>
          </cell>
          <cell r="H467">
            <v>15705080</v>
          </cell>
          <cell r="I467">
            <v>1</v>
          </cell>
          <cell r="J467">
            <v>119000</v>
          </cell>
          <cell r="K467">
            <v>318000</v>
          </cell>
          <cell r="U467">
            <v>398</v>
          </cell>
          <cell r="AJ467">
            <v>141</v>
          </cell>
          <cell r="AK467">
            <v>19589000</v>
          </cell>
          <cell r="AN467">
            <v>126564000</v>
          </cell>
          <cell r="AO467">
            <v>44838000</v>
          </cell>
        </row>
        <row r="468">
          <cell r="A468" t="str">
            <v>X</v>
          </cell>
          <cell r="B468" t="str">
            <v>P</v>
          </cell>
          <cell r="C468" t="str">
            <v>의류</v>
          </cell>
          <cell r="E468" t="str">
            <v>1</v>
          </cell>
          <cell r="F468" t="str">
            <v>T</v>
          </cell>
          <cell r="G468">
            <v>0</v>
          </cell>
          <cell r="H468">
            <v>19769460</v>
          </cell>
          <cell r="I468">
            <v>3</v>
          </cell>
          <cell r="J468">
            <v>357000</v>
          </cell>
          <cell r="K468">
            <v>954000</v>
          </cell>
          <cell r="U468">
            <v>501</v>
          </cell>
          <cell r="AJ468">
            <v>284</v>
          </cell>
          <cell r="AK468">
            <v>39762900</v>
          </cell>
          <cell r="AN468">
            <v>159318000</v>
          </cell>
          <cell r="AO468">
            <v>90312000</v>
          </cell>
        </row>
        <row r="469">
          <cell r="A469" t="str">
            <v>X</v>
          </cell>
          <cell r="B469" t="str">
            <v>P</v>
          </cell>
          <cell r="C469" t="str">
            <v>의류</v>
          </cell>
          <cell r="E469" t="str">
            <v>2</v>
          </cell>
          <cell r="F469" t="str">
            <v>T</v>
          </cell>
          <cell r="G469">
            <v>1</v>
          </cell>
          <cell r="H469">
            <v>14764032</v>
          </cell>
          <cell r="I469">
            <v>9</v>
          </cell>
          <cell r="J469">
            <v>1337400</v>
          </cell>
          <cell r="K469">
            <v>2862000</v>
          </cell>
          <cell r="U469">
            <v>384</v>
          </cell>
          <cell r="AJ469">
            <v>87</v>
          </cell>
          <cell r="AK469">
            <v>13024200</v>
          </cell>
          <cell r="AN469">
            <v>122112000</v>
          </cell>
          <cell r="AO469">
            <v>27666000</v>
          </cell>
        </row>
        <row r="470">
          <cell r="A470" t="str">
            <v>X</v>
          </cell>
          <cell r="B470" t="str">
            <v>P</v>
          </cell>
          <cell r="C470" t="str">
            <v>의류</v>
          </cell>
          <cell r="E470" t="str">
            <v>1</v>
          </cell>
          <cell r="F470" t="str">
            <v>V</v>
          </cell>
          <cell r="G470">
            <v>1</v>
          </cell>
          <cell r="H470">
            <v>12430808</v>
          </cell>
          <cell r="I470">
            <v>0</v>
          </cell>
          <cell r="J470">
            <v>0</v>
          </cell>
          <cell r="K470">
            <v>0</v>
          </cell>
          <cell r="U470">
            <v>356</v>
          </cell>
          <cell r="AJ470">
            <v>156</v>
          </cell>
          <cell r="AK470">
            <v>22143900</v>
          </cell>
          <cell r="AN470">
            <v>106088000</v>
          </cell>
          <cell r="AO470">
            <v>46488000</v>
          </cell>
        </row>
        <row r="471">
          <cell r="A471" t="str">
            <v>X</v>
          </cell>
          <cell r="B471" t="str">
            <v>P</v>
          </cell>
          <cell r="C471" t="str">
            <v>의류</v>
          </cell>
          <cell r="E471" t="str">
            <v>1</v>
          </cell>
          <cell r="F471" t="str">
            <v>V</v>
          </cell>
          <cell r="G471">
            <v>0</v>
          </cell>
          <cell r="H471">
            <v>12221300</v>
          </cell>
          <cell r="I471">
            <v>3</v>
          </cell>
          <cell r="J471">
            <v>387400</v>
          </cell>
          <cell r="K471">
            <v>894000</v>
          </cell>
          <cell r="U471">
            <v>350</v>
          </cell>
          <cell r="AJ471">
            <v>238</v>
          </cell>
          <cell r="AK471">
            <v>33993500</v>
          </cell>
          <cell r="AN471">
            <v>104300000</v>
          </cell>
          <cell r="AO471">
            <v>70924000</v>
          </cell>
        </row>
        <row r="472">
          <cell r="A472" t="str">
            <v>X</v>
          </cell>
          <cell r="B472" t="str">
            <v>P</v>
          </cell>
          <cell r="C472" t="str">
            <v>의류</v>
          </cell>
          <cell r="E472" t="str">
            <v>2</v>
          </cell>
          <cell r="F472" t="str">
            <v>V</v>
          </cell>
          <cell r="G472">
            <v>1</v>
          </cell>
          <cell r="H472">
            <v>7097784</v>
          </cell>
          <cell r="I472">
            <v>4</v>
          </cell>
          <cell r="J472">
            <v>439800</v>
          </cell>
          <cell r="K472">
            <v>952000</v>
          </cell>
          <cell r="U472">
            <v>296</v>
          </cell>
          <cell r="AJ472">
            <v>75</v>
          </cell>
          <cell r="AK472">
            <v>8202700</v>
          </cell>
          <cell r="AN472">
            <v>70448000</v>
          </cell>
          <cell r="AO472">
            <v>17850000</v>
          </cell>
        </row>
        <row r="473">
          <cell r="A473" t="str">
            <v>X</v>
          </cell>
          <cell r="B473" t="str">
            <v>P</v>
          </cell>
          <cell r="C473" t="str">
            <v>의류</v>
          </cell>
          <cell r="E473" t="str">
            <v>2</v>
          </cell>
          <cell r="F473" t="str">
            <v>V</v>
          </cell>
          <cell r="G473">
            <v>0</v>
          </cell>
          <cell r="H473">
            <v>12253269</v>
          </cell>
          <cell r="I473">
            <v>18</v>
          </cell>
          <cell r="J473">
            <v>1950600</v>
          </cell>
          <cell r="K473">
            <v>4284000</v>
          </cell>
          <cell r="U473">
            <v>511</v>
          </cell>
          <cell r="AJ473">
            <v>211</v>
          </cell>
          <cell r="AK473">
            <v>23507400</v>
          </cell>
          <cell r="AN473">
            <v>121618000</v>
          </cell>
          <cell r="AO473">
            <v>50218000</v>
          </cell>
        </row>
        <row r="474">
          <cell r="A474" t="str">
            <v>X</v>
          </cell>
          <cell r="B474" t="str">
            <v>P</v>
          </cell>
          <cell r="C474" t="str">
            <v>의류</v>
          </cell>
          <cell r="E474" t="str">
            <v>2</v>
          </cell>
          <cell r="F474" t="str">
            <v>V</v>
          </cell>
          <cell r="G474">
            <v>1</v>
          </cell>
          <cell r="H474">
            <v>14053376</v>
          </cell>
          <cell r="I474">
            <v>27</v>
          </cell>
          <cell r="J474">
            <v>2928300</v>
          </cell>
          <cell r="K474">
            <v>6426000</v>
          </cell>
          <cell r="U474">
            <v>512</v>
          </cell>
          <cell r="AJ474">
            <v>218</v>
          </cell>
          <cell r="AK474">
            <v>24093700</v>
          </cell>
          <cell r="AN474">
            <v>121856000</v>
          </cell>
          <cell r="AO474">
            <v>51884000</v>
          </cell>
        </row>
        <row r="475">
          <cell r="A475" t="str">
            <v>X</v>
          </cell>
          <cell r="B475" t="str">
            <v>P</v>
          </cell>
          <cell r="C475" t="str">
            <v>의류</v>
          </cell>
          <cell r="E475" t="str">
            <v>2</v>
          </cell>
          <cell r="F475" t="str">
            <v>V</v>
          </cell>
          <cell r="G475">
            <v>0</v>
          </cell>
          <cell r="H475">
            <v>19597872</v>
          </cell>
          <cell r="I475">
            <v>43</v>
          </cell>
          <cell r="J475">
            <v>4532800</v>
          </cell>
          <cell r="K475">
            <v>10234000</v>
          </cell>
          <cell r="U475">
            <v>714</v>
          </cell>
          <cell r="AJ475">
            <v>429</v>
          </cell>
          <cell r="AK475">
            <v>47540945</v>
          </cell>
          <cell r="AN475">
            <v>169932000</v>
          </cell>
          <cell r="AO475">
            <v>102102000</v>
          </cell>
        </row>
        <row r="476">
          <cell r="A476" t="str">
            <v>X</v>
          </cell>
          <cell r="B476" t="str">
            <v>P</v>
          </cell>
          <cell r="C476" t="str">
            <v>의류</v>
          </cell>
          <cell r="E476" t="str">
            <v>2</v>
          </cell>
          <cell r="F476" t="str">
            <v>V</v>
          </cell>
          <cell r="G476">
            <v>1</v>
          </cell>
          <cell r="H476">
            <v>8004800</v>
          </cell>
          <cell r="I476">
            <v>5</v>
          </cell>
          <cell r="J476">
            <v>435100</v>
          </cell>
          <cell r="K476">
            <v>990000</v>
          </cell>
          <cell r="U476">
            <v>320</v>
          </cell>
          <cell r="AJ476">
            <v>78</v>
          </cell>
          <cell r="AK476">
            <v>7368550</v>
          </cell>
          <cell r="AN476">
            <v>63360000</v>
          </cell>
          <cell r="AO476">
            <v>15444000</v>
          </cell>
        </row>
        <row r="477">
          <cell r="A477" t="str">
            <v>X</v>
          </cell>
          <cell r="B477" t="str">
            <v>P</v>
          </cell>
          <cell r="C477" t="str">
            <v>의류</v>
          </cell>
          <cell r="E477" t="str">
            <v>2</v>
          </cell>
          <cell r="F477" t="str">
            <v>V</v>
          </cell>
          <cell r="G477">
            <v>0</v>
          </cell>
          <cell r="H477">
            <v>9880925</v>
          </cell>
          <cell r="I477">
            <v>3</v>
          </cell>
          <cell r="J477">
            <v>227100</v>
          </cell>
          <cell r="K477">
            <v>594000</v>
          </cell>
          <cell r="U477">
            <v>395</v>
          </cell>
          <cell r="AJ477">
            <v>59</v>
          </cell>
          <cell r="AK477">
            <v>5521500</v>
          </cell>
          <cell r="AN477">
            <v>78210000</v>
          </cell>
          <cell r="AO477">
            <v>11682000</v>
          </cell>
        </row>
        <row r="478">
          <cell r="A478" t="str">
            <v>X</v>
          </cell>
          <cell r="B478" t="str">
            <v>P</v>
          </cell>
          <cell r="C478" t="str">
            <v>ACC</v>
          </cell>
          <cell r="E478" t="str">
            <v>1</v>
          </cell>
          <cell r="F478" t="str">
            <v>T</v>
          </cell>
          <cell r="G478">
            <v>1</v>
          </cell>
          <cell r="H478">
            <v>1822740</v>
          </cell>
          <cell r="I478">
            <v>3</v>
          </cell>
          <cell r="J478">
            <v>91200</v>
          </cell>
          <cell r="K478">
            <v>114000</v>
          </cell>
          <cell r="U478">
            <v>204</v>
          </cell>
          <cell r="AJ478">
            <v>48</v>
          </cell>
          <cell r="AK478">
            <v>1359200</v>
          </cell>
          <cell r="AN478">
            <v>7752000</v>
          </cell>
          <cell r="AO478">
            <v>1824000</v>
          </cell>
        </row>
        <row r="479">
          <cell r="A479" t="str">
            <v>X</v>
          </cell>
          <cell r="B479" t="str">
            <v>P</v>
          </cell>
          <cell r="C479" t="str">
            <v>ACC</v>
          </cell>
          <cell r="E479" t="str">
            <v>2</v>
          </cell>
          <cell r="F479" t="str">
            <v>T</v>
          </cell>
          <cell r="G479">
            <v>1</v>
          </cell>
          <cell r="H479">
            <v>2477088</v>
          </cell>
          <cell r="I479">
            <v>8</v>
          </cell>
          <cell r="J479">
            <v>121600</v>
          </cell>
          <cell r="K479">
            <v>152000</v>
          </cell>
          <cell r="U479">
            <v>564</v>
          </cell>
          <cell r="AJ479">
            <v>67</v>
          </cell>
          <cell r="AK479">
            <v>1018400</v>
          </cell>
          <cell r="AN479">
            <v>10716000</v>
          </cell>
          <cell r="AO479">
            <v>1273000</v>
          </cell>
        </row>
        <row r="480">
          <cell r="A480" t="str">
            <v>X</v>
          </cell>
          <cell r="B480" t="str">
            <v>P</v>
          </cell>
          <cell r="C480" t="str">
            <v>ACC</v>
          </cell>
          <cell r="E480" t="str">
            <v>2</v>
          </cell>
          <cell r="F480" t="str">
            <v>T</v>
          </cell>
          <cell r="G480">
            <v>0</v>
          </cell>
          <cell r="H480">
            <v>1475712</v>
          </cell>
          <cell r="I480">
            <v>5</v>
          </cell>
          <cell r="J480">
            <v>76000</v>
          </cell>
          <cell r="K480">
            <v>95000</v>
          </cell>
          <cell r="U480">
            <v>336</v>
          </cell>
          <cell r="AJ480">
            <v>21</v>
          </cell>
          <cell r="AK480">
            <v>319200</v>
          </cell>
          <cell r="AN480">
            <v>6384000</v>
          </cell>
          <cell r="AO480">
            <v>399000</v>
          </cell>
        </row>
        <row r="481">
          <cell r="A481" t="str">
            <v>X</v>
          </cell>
          <cell r="B481" t="str">
            <v>P</v>
          </cell>
          <cell r="C481" t="str">
            <v>ACC</v>
          </cell>
          <cell r="E481" t="str">
            <v>1</v>
          </cell>
          <cell r="F481" t="str">
            <v>V</v>
          </cell>
          <cell r="G481">
            <v>1</v>
          </cell>
          <cell r="H481">
            <v>2329000</v>
          </cell>
          <cell r="I481">
            <v>1</v>
          </cell>
          <cell r="J481">
            <v>43200</v>
          </cell>
          <cell r="K481">
            <v>54000</v>
          </cell>
          <cell r="U481">
            <v>200</v>
          </cell>
          <cell r="AJ481">
            <v>46</v>
          </cell>
          <cell r="AK481">
            <v>1918800</v>
          </cell>
          <cell r="AN481">
            <v>10800000</v>
          </cell>
          <cell r="AO481">
            <v>2484000</v>
          </cell>
        </row>
        <row r="482">
          <cell r="A482" t="str">
            <v>X</v>
          </cell>
          <cell r="B482" t="str">
            <v>P</v>
          </cell>
          <cell r="C482" t="str">
            <v>ACC</v>
          </cell>
          <cell r="E482" t="str">
            <v>1</v>
          </cell>
          <cell r="F482" t="str">
            <v>W</v>
          </cell>
          <cell r="G482">
            <v>1</v>
          </cell>
          <cell r="H482">
            <v>1103355</v>
          </cell>
          <cell r="I482">
            <v>0</v>
          </cell>
          <cell r="J482">
            <v>0</v>
          </cell>
          <cell r="K482">
            <v>0</v>
          </cell>
          <cell r="U482">
            <v>99</v>
          </cell>
          <cell r="AJ482">
            <v>43</v>
          </cell>
          <cell r="AK482">
            <v>1980000</v>
          </cell>
          <cell r="AN482">
            <v>5742000</v>
          </cell>
          <cell r="AO482">
            <v>2494000</v>
          </cell>
        </row>
        <row r="483">
          <cell r="A483" t="str">
            <v>X</v>
          </cell>
          <cell r="B483" t="str">
            <v>P</v>
          </cell>
          <cell r="C483" t="str">
            <v>ACC</v>
          </cell>
          <cell r="E483" t="str">
            <v>1</v>
          </cell>
          <cell r="F483" t="str">
            <v>W</v>
          </cell>
          <cell r="G483">
            <v>0</v>
          </cell>
          <cell r="H483">
            <v>1660605</v>
          </cell>
          <cell r="I483">
            <v>0</v>
          </cell>
          <cell r="J483">
            <v>0</v>
          </cell>
          <cell r="K483">
            <v>0</v>
          </cell>
          <cell r="U483">
            <v>149</v>
          </cell>
          <cell r="AJ483">
            <v>85</v>
          </cell>
          <cell r="AK483">
            <v>3904000</v>
          </cell>
          <cell r="AN483">
            <v>8642000</v>
          </cell>
          <cell r="AO483">
            <v>4930000</v>
          </cell>
        </row>
        <row r="484">
          <cell r="A484" t="str">
            <v>X</v>
          </cell>
          <cell r="B484" t="str">
            <v>P</v>
          </cell>
          <cell r="C484" t="str">
            <v>ACC</v>
          </cell>
          <cell r="E484" t="str">
            <v>1</v>
          </cell>
          <cell r="F484" t="str">
            <v>W</v>
          </cell>
          <cell r="G484">
            <v>1</v>
          </cell>
          <cell r="H484">
            <v>2019460</v>
          </cell>
          <cell r="I484">
            <v>2</v>
          </cell>
          <cell r="J484">
            <v>108800</v>
          </cell>
          <cell r="K484">
            <v>136000</v>
          </cell>
          <cell r="U484">
            <v>148</v>
          </cell>
          <cell r="AJ484">
            <v>97</v>
          </cell>
          <cell r="AK484">
            <v>5070400</v>
          </cell>
          <cell r="AN484">
            <v>10064000</v>
          </cell>
          <cell r="AO484">
            <v>6596000</v>
          </cell>
        </row>
        <row r="485">
          <cell r="A485" t="str">
            <v>X</v>
          </cell>
          <cell r="B485" t="str">
            <v>P</v>
          </cell>
          <cell r="C485" t="str">
            <v>ACC</v>
          </cell>
          <cell r="E485" t="str">
            <v>1</v>
          </cell>
          <cell r="F485" t="str">
            <v>W</v>
          </cell>
          <cell r="G485">
            <v>0</v>
          </cell>
          <cell r="H485">
            <v>2033105</v>
          </cell>
          <cell r="I485">
            <v>0</v>
          </cell>
          <cell r="J485">
            <v>0</v>
          </cell>
          <cell r="K485">
            <v>0</v>
          </cell>
          <cell r="U485">
            <v>149</v>
          </cell>
          <cell r="AJ485">
            <v>110</v>
          </cell>
          <cell r="AK485">
            <v>5678800</v>
          </cell>
          <cell r="AN485">
            <v>10132000</v>
          </cell>
          <cell r="AO485">
            <v>7480000</v>
          </cell>
        </row>
        <row r="486">
          <cell r="A486" t="str">
            <v>X</v>
          </cell>
          <cell r="B486" t="str">
            <v>P</v>
          </cell>
          <cell r="C486" t="str">
            <v>ACC</v>
          </cell>
          <cell r="E486" t="str">
            <v>1</v>
          </cell>
          <cell r="F486" t="str">
            <v>W</v>
          </cell>
          <cell r="G486">
            <v>1</v>
          </cell>
          <cell r="H486">
            <v>2033105</v>
          </cell>
          <cell r="I486">
            <v>2</v>
          </cell>
          <cell r="J486">
            <v>99200</v>
          </cell>
          <cell r="K486">
            <v>124000</v>
          </cell>
          <cell r="U486">
            <v>149</v>
          </cell>
          <cell r="AJ486">
            <v>36</v>
          </cell>
          <cell r="AK486">
            <v>1798000</v>
          </cell>
          <cell r="AN486">
            <v>9238000</v>
          </cell>
          <cell r="AO486">
            <v>2232000</v>
          </cell>
        </row>
        <row r="487">
          <cell r="A487" t="str">
            <v>X</v>
          </cell>
          <cell r="B487" t="str">
            <v>P</v>
          </cell>
          <cell r="C487" t="str">
            <v>ACC</v>
          </cell>
          <cell r="E487" t="str">
            <v>1</v>
          </cell>
          <cell r="F487" t="str">
            <v>W</v>
          </cell>
          <cell r="G487">
            <v>1</v>
          </cell>
          <cell r="H487">
            <v>1671750</v>
          </cell>
          <cell r="I487">
            <v>0</v>
          </cell>
          <cell r="J487">
            <v>0</v>
          </cell>
          <cell r="K487">
            <v>0</v>
          </cell>
          <cell r="U487">
            <v>150</v>
          </cell>
          <cell r="AJ487">
            <v>13</v>
          </cell>
          <cell r="AK487">
            <v>439200</v>
          </cell>
          <cell r="AN487">
            <v>7200000</v>
          </cell>
          <cell r="AO487">
            <v>624000</v>
          </cell>
        </row>
        <row r="488">
          <cell r="A488" t="str">
            <v>X</v>
          </cell>
          <cell r="B488" t="str">
            <v>P</v>
          </cell>
          <cell r="C488" t="str">
            <v>ACC</v>
          </cell>
          <cell r="E488" t="str">
            <v>1</v>
          </cell>
          <cell r="F488" t="str">
            <v>W</v>
          </cell>
          <cell r="G488">
            <v>1</v>
          </cell>
          <cell r="H488">
            <v>2060395</v>
          </cell>
          <cell r="I488">
            <v>1</v>
          </cell>
          <cell r="J488">
            <v>54400</v>
          </cell>
          <cell r="K488">
            <v>68000</v>
          </cell>
          <cell r="U488">
            <v>151</v>
          </cell>
          <cell r="AJ488">
            <v>49</v>
          </cell>
          <cell r="AK488">
            <v>2662800</v>
          </cell>
          <cell r="AN488">
            <v>10268000</v>
          </cell>
          <cell r="AO488">
            <v>3332000</v>
          </cell>
        </row>
        <row r="489">
          <cell r="A489" t="str">
            <v>X</v>
          </cell>
          <cell r="B489" t="str">
            <v>P</v>
          </cell>
          <cell r="C489" t="str">
            <v>ACC</v>
          </cell>
          <cell r="E489" t="str">
            <v>1</v>
          </cell>
          <cell r="F489" t="str">
            <v>W</v>
          </cell>
          <cell r="G489">
            <v>0</v>
          </cell>
          <cell r="H489">
            <v>2742645</v>
          </cell>
          <cell r="I489">
            <v>1</v>
          </cell>
          <cell r="J489">
            <v>54400</v>
          </cell>
          <cell r="K489">
            <v>68000</v>
          </cell>
          <cell r="U489">
            <v>201</v>
          </cell>
          <cell r="AJ489">
            <v>97</v>
          </cell>
          <cell r="AK489">
            <v>5171200</v>
          </cell>
          <cell r="AN489">
            <v>13668000</v>
          </cell>
          <cell r="AO489">
            <v>6596000</v>
          </cell>
        </row>
        <row r="490">
          <cell r="A490" t="str">
            <v>X</v>
          </cell>
          <cell r="B490" t="str">
            <v>P</v>
          </cell>
          <cell r="C490" t="str">
            <v>ACC</v>
          </cell>
          <cell r="E490" t="str">
            <v>1</v>
          </cell>
          <cell r="F490" t="str">
            <v>W</v>
          </cell>
          <cell r="G490">
            <v>1</v>
          </cell>
          <cell r="H490">
            <v>2060395</v>
          </cell>
          <cell r="I490">
            <v>1</v>
          </cell>
          <cell r="J490">
            <v>54400</v>
          </cell>
          <cell r="K490">
            <v>68000</v>
          </cell>
          <cell r="U490">
            <v>151</v>
          </cell>
          <cell r="AJ490">
            <v>51</v>
          </cell>
          <cell r="AK490">
            <v>2701680</v>
          </cell>
          <cell r="AN490">
            <v>10268000</v>
          </cell>
          <cell r="AO490">
            <v>3468000</v>
          </cell>
        </row>
        <row r="491">
          <cell r="A491" t="str">
            <v>X</v>
          </cell>
          <cell r="B491" t="str">
            <v>P</v>
          </cell>
          <cell r="C491" t="str">
            <v>ACC</v>
          </cell>
          <cell r="E491" t="str">
            <v>2</v>
          </cell>
          <cell r="F491" t="str">
            <v>W</v>
          </cell>
          <cell r="G491">
            <v>1</v>
          </cell>
          <cell r="H491">
            <v>1748880</v>
          </cell>
          <cell r="I491">
            <v>2</v>
          </cell>
          <cell r="J491">
            <v>99200</v>
          </cell>
          <cell r="K491">
            <v>124000</v>
          </cell>
          <cell r="U491">
            <v>144</v>
          </cell>
          <cell r="AJ491">
            <v>56</v>
          </cell>
          <cell r="AK491">
            <v>2747600</v>
          </cell>
          <cell r="AN491">
            <v>8928000</v>
          </cell>
          <cell r="AO491">
            <v>3472000</v>
          </cell>
        </row>
        <row r="492">
          <cell r="A492" t="str">
            <v>X</v>
          </cell>
          <cell r="B492" t="str">
            <v>P</v>
          </cell>
          <cell r="C492" t="str">
            <v>ACC</v>
          </cell>
          <cell r="E492" t="str">
            <v>2</v>
          </cell>
          <cell r="F492" t="str">
            <v>W</v>
          </cell>
          <cell r="G492">
            <v>0</v>
          </cell>
          <cell r="H492">
            <v>1202355</v>
          </cell>
          <cell r="I492">
            <v>3</v>
          </cell>
          <cell r="J492">
            <v>128800</v>
          </cell>
          <cell r="K492">
            <v>186000</v>
          </cell>
          <cell r="U492">
            <v>99</v>
          </cell>
          <cell r="AJ492">
            <v>41</v>
          </cell>
          <cell r="AK492">
            <v>1953600</v>
          </cell>
          <cell r="AN492">
            <v>6138000</v>
          </cell>
          <cell r="AO492">
            <v>2542000</v>
          </cell>
        </row>
        <row r="493">
          <cell r="A493" t="str">
            <v>X</v>
          </cell>
          <cell r="B493" t="str">
            <v>P</v>
          </cell>
          <cell r="C493" t="str">
            <v>ACC</v>
          </cell>
          <cell r="E493" t="str">
            <v>2</v>
          </cell>
          <cell r="F493" t="str">
            <v>W</v>
          </cell>
          <cell r="G493">
            <v>1</v>
          </cell>
          <cell r="H493">
            <v>2129000</v>
          </cell>
          <cell r="I493">
            <v>8</v>
          </cell>
          <cell r="J493">
            <v>371200</v>
          </cell>
          <cell r="K493">
            <v>464000</v>
          </cell>
          <cell r="U493">
            <v>200</v>
          </cell>
          <cell r="AJ493">
            <v>82</v>
          </cell>
          <cell r="AK493">
            <v>3576400</v>
          </cell>
          <cell r="AN493">
            <v>11600000</v>
          </cell>
          <cell r="AO493">
            <v>4756000</v>
          </cell>
        </row>
        <row r="494">
          <cell r="A494" t="str">
            <v>X</v>
          </cell>
          <cell r="B494" t="str">
            <v>P</v>
          </cell>
          <cell r="C494" t="str">
            <v>ACC</v>
          </cell>
          <cell r="E494" t="str">
            <v>2</v>
          </cell>
          <cell r="F494" t="str">
            <v>W</v>
          </cell>
          <cell r="G494">
            <v>0</v>
          </cell>
          <cell r="H494">
            <v>2107710</v>
          </cell>
          <cell r="I494">
            <v>5</v>
          </cell>
          <cell r="J494">
            <v>202000</v>
          </cell>
          <cell r="K494">
            <v>290000</v>
          </cell>
          <cell r="U494">
            <v>198</v>
          </cell>
          <cell r="AJ494">
            <v>50</v>
          </cell>
          <cell r="AK494">
            <v>2263200</v>
          </cell>
          <cell r="AN494">
            <v>11484000</v>
          </cell>
          <cell r="AO494">
            <v>2900000</v>
          </cell>
        </row>
        <row r="495">
          <cell r="A495" t="str">
            <v>X</v>
          </cell>
          <cell r="B495" t="str">
            <v>P</v>
          </cell>
          <cell r="C495" t="str">
            <v>ACC</v>
          </cell>
          <cell r="E495" t="str">
            <v>2</v>
          </cell>
          <cell r="F495" t="str">
            <v>W</v>
          </cell>
          <cell r="G495">
            <v>1</v>
          </cell>
          <cell r="H495">
            <v>3013855</v>
          </cell>
          <cell r="I495">
            <v>7</v>
          </cell>
          <cell r="J495">
            <v>380800</v>
          </cell>
          <cell r="K495">
            <v>476000</v>
          </cell>
          <cell r="U495">
            <v>199</v>
          </cell>
          <cell r="AJ495">
            <v>66</v>
          </cell>
          <cell r="AK495">
            <v>3166000</v>
          </cell>
          <cell r="AN495">
            <v>13532000</v>
          </cell>
          <cell r="AO495">
            <v>4488000</v>
          </cell>
        </row>
        <row r="496">
          <cell r="A496" t="str">
            <v>X</v>
          </cell>
          <cell r="B496" t="str">
            <v>P</v>
          </cell>
          <cell r="C496" t="str">
            <v>ACC</v>
          </cell>
          <cell r="E496" t="str">
            <v>2</v>
          </cell>
          <cell r="F496" t="str">
            <v>W</v>
          </cell>
          <cell r="G496">
            <v>1</v>
          </cell>
          <cell r="H496">
            <v>2715355</v>
          </cell>
          <cell r="I496">
            <v>7</v>
          </cell>
          <cell r="J496">
            <v>317200</v>
          </cell>
          <cell r="K496">
            <v>434000</v>
          </cell>
          <cell r="U496">
            <v>199</v>
          </cell>
          <cell r="AJ496">
            <v>94</v>
          </cell>
          <cell r="AK496">
            <v>4637200</v>
          </cell>
          <cell r="AN496">
            <v>12338000</v>
          </cell>
          <cell r="AO496">
            <v>5828000</v>
          </cell>
        </row>
        <row r="497">
          <cell r="A497" t="str">
            <v>X</v>
          </cell>
          <cell r="B497" t="str">
            <v>P</v>
          </cell>
          <cell r="C497" t="str">
            <v>ACC</v>
          </cell>
          <cell r="E497" t="str">
            <v>2</v>
          </cell>
          <cell r="F497" t="str">
            <v>W</v>
          </cell>
          <cell r="G497">
            <v>0</v>
          </cell>
          <cell r="H497">
            <v>2033105</v>
          </cell>
          <cell r="I497">
            <v>3</v>
          </cell>
          <cell r="J497">
            <v>148800</v>
          </cell>
          <cell r="K497">
            <v>186000</v>
          </cell>
          <cell r="U497">
            <v>149</v>
          </cell>
          <cell r="AJ497">
            <v>99</v>
          </cell>
          <cell r="AK497">
            <v>4796600</v>
          </cell>
          <cell r="AN497">
            <v>9238000</v>
          </cell>
          <cell r="AO497">
            <v>6138000</v>
          </cell>
        </row>
        <row r="498">
          <cell r="A498" t="str">
            <v>X</v>
          </cell>
          <cell r="B498" t="str">
            <v>P</v>
          </cell>
          <cell r="C498" t="str">
            <v>ACC</v>
          </cell>
          <cell r="E498" t="str">
            <v>2</v>
          </cell>
          <cell r="F498" t="str">
            <v>W</v>
          </cell>
          <cell r="G498">
            <v>1</v>
          </cell>
          <cell r="H498">
            <v>2602710</v>
          </cell>
          <cell r="I498">
            <v>7</v>
          </cell>
          <cell r="J498">
            <v>297200</v>
          </cell>
          <cell r="K498">
            <v>434000</v>
          </cell>
          <cell r="U498">
            <v>198</v>
          </cell>
          <cell r="AJ498">
            <v>140</v>
          </cell>
          <cell r="AK498">
            <v>6660400</v>
          </cell>
          <cell r="AN498">
            <v>12276000</v>
          </cell>
          <cell r="AO498">
            <v>8680000</v>
          </cell>
        </row>
        <row r="499">
          <cell r="A499" t="str">
            <v>X</v>
          </cell>
          <cell r="B499" t="str">
            <v>P</v>
          </cell>
          <cell r="C499" t="str">
            <v>ACC</v>
          </cell>
          <cell r="E499" t="str">
            <v>2</v>
          </cell>
          <cell r="F499" t="str">
            <v>W</v>
          </cell>
          <cell r="G499">
            <v>1</v>
          </cell>
          <cell r="H499">
            <v>1971750</v>
          </cell>
          <cell r="I499">
            <v>8</v>
          </cell>
          <cell r="J499">
            <v>341200</v>
          </cell>
          <cell r="K499">
            <v>464000</v>
          </cell>
          <cell r="U499">
            <v>150</v>
          </cell>
          <cell r="AJ499">
            <v>76</v>
          </cell>
          <cell r="AK499">
            <v>3426400</v>
          </cell>
          <cell r="AN499">
            <v>8700000</v>
          </cell>
          <cell r="AO499">
            <v>4408000</v>
          </cell>
        </row>
        <row r="500">
          <cell r="A500" t="str">
            <v>X</v>
          </cell>
          <cell r="B500" t="str">
            <v>P</v>
          </cell>
          <cell r="C500" t="str">
            <v>ACC</v>
          </cell>
          <cell r="E500" t="str">
            <v>2</v>
          </cell>
          <cell r="F500" t="str">
            <v>W</v>
          </cell>
          <cell r="G500">
            <v>1</v>
          </cell>
          <cell r="H500">
            <v>1660605</v>
          </cell>
          <cell r="I500">
            <v>7</v>
          </cell>
          <cell r="J500">
            <v>302400</v>
          </cell>
          <cell r="K500">
            <v>378000</v>
          </cell>
          <cell r="U500">
            <v>149</v>
          </cell>
          <cell r="AJ500">
            <v>100</v>
          </cell>
          <cell r="AK500">
            <v>4308800</v>
          </cell>
          <cell r="AN500">
            <v>8046000</v>
          </cell>
          <cell r="AO500">
            <v>5400000</v>
          </cell>
        </row>
        <row r="501">
          <cell r="A501" t="str">
            <v>X</v>
          </cell>
          <cell r="B501" t="str">
            <v>P</v>
          </cell>
          <cell r="C501" t="str">
            <v>ACC</v>
          </cell>
          <cell r="E501" t="str">
            <v>2</v>
          </cell>
          <cell r="F501" t="str">
            <v>W</v>
          </cell>
          <cell r="G501">
            <v>0</v>
          </cell>
          <cell r="H501">
            <v>1660605</v>
          </cell>
          <cell r="I501">
            <v>4</v>
          </cell>
          <cell r="J501">
            <v>172800</v>
          </cell>
          <cell r="K501">
            <v>216000</v>
          </cell>
          <cell r="U501">
            <v>149</v>
          </cell>
          <cell r="AJ501">
            <v>90</v>
          </cell>
          <cell r="AK501">
            <v>3892000</v>
          </cell>
          <cell r="AN501">
            <v>8046000</v>
          </cell>
          <cell r="AO501">
            <v>4860000</v>
          </cell>
        </row>
        <row r="502">
          <cell r="A502" t="str">
            <v>X</v>
          </cell>
          <cell r="B502" t="str">
            <v>P</v>
          </cell>
          <cell r="C502" t="str">
            <v>ACC</v>
          </cell>
          <cell r="E502" t="str">
            <v>2</v>
          </cell>
          <cell r="F502" t="str">
            <v>W</v>
          </cell>
          <cell r="G502">
            <v>1</v>
          </cell>
          <cell r="H502">
            <v>4020105</v>
          </cell>
          <cell r="I502">
            <v>4</v>
          </cell>
          <cell r="J502">
            <v>217600</v>
          </cell>
          <cell r="K502">
            <v>272000</v>
          </cell>
          <cell r="U502">
            <v>249</v>
          </cell>
          <cell r="AJ502">
            <v>74</v>
          </cell>
          <cell r="AK502">
            <v>3597600</v>
          </cell>
          <cell r="AN502">
            <v>16932000</v>
          </cell>
          <cell r="AO502">
            <v>5032000</v>
          </cell>
        </row>
        <row r="503">
          <cell r="A503" t="str">
            <v>X</v>
          </cell>
          <cell r="B503" t="str">
            <v>P</v>
          </cell>
          <cell r="C503" t="str">
            <v>ACC</v>
          </cell>
          <cell r="E503" t="str">
            <v>2</v>
          </cell>
          <cell r="F503" t="str">
            <v>W</v>
          </cell>
          <cell r="G503">
            <v>0</v>
          </cell>
          <cell r="H503">
            <v>3212855</v>
          </cell>
          <cell r="I503">
            <v>4</v>
          </cell>
          <cell r="J503">
            <v>211200</v>
          </cell>
          <cell r="K503">
            <v>272000</v>
          </cell>
          <cell r="U503">
            <v>199</v>
          </cell>
          <cell r="AJ503">
            <v>53</v>
          </cell>
          <cell r="AK503">
            <v>2658800</v>
          </cell>
          <cell r="AN503">
            <v>13532000</v>
          </cell>
          <cell r="AO503">
            <v>3604000</v>
          </cell>
        </row>
        <row r="504">
          <cell r="A504" t="str">
            <v>X</v>
          </cell>
          <cell r="B504" t="str">
            <v>P</v>
          </cell>
          <cell r="C504" t="str">
            <v>ACC</v>
          </cell>
          <cell r="E504" t="str">
            <v>2</v>
          </cell>
          <cell r="F504" t="str">
            <v>W</v>
          </cell>
          <cell r="G504">
            <v>1</v>
          </cell>
          <cell r="H504">
            <v>1586105</v>
          </cell>
          <cell r="I504">
            <v>0</v>
          </cell>
          <cell r="J504">
            <v>0</v>
          </cell>
          <cell r="K504">
            <v>0</v>
          </cell>
          <cell r="U504">
            <v>149</v>
          </cell>
          <cell r="AJ504">
            <v>30</v>
          </cell>
          <cell r="AK504">
            <v>1198800</v>
          </cell>
          <cell r="AN504">
            <v>7152000</v>
          </cell>
          <cell r="AO504">
            <v>1440000</v>
          </cell>
        </row>
        <row r="505">
          <cell r="A505" t="str">
            <v>X</v>
          </cell>
          <cell r="B505" t="str">
            <v>P</v>
          </cell>
          <cell r="C505" t="str">
            <v>ACC</v>
          </cell>
          <cell r="E505" t="str">
            <v>2</v>
          </cell>
          <cell r="F505" t="str">
            <v>W</v>
          </cell>
          <cell r="G505">
            <v>1</v>
          </cell>
          <cell r="H505">
            <v>5004105</v>
          </cell>
          <cell r="I505">
            <v>9</v>
          </cell>
          <cell r="J505">
            <v>429200</v>
          </cell>
          <cell r="K505">
            <v>522000</v>
          </cell>
          <cell r="U505">
            <v>449</v>
          </cell>
          <cell r="AJ505">
            <v>169</v>
          </cell>
          <cell r="AK505">
            <v>7889800</v>
          </cell>
          <cell r="AN505">
            <v>26042000</v>
          </cell>
          <cell r="AO505">
            <v>9802000</v>
          </cell>
        </row>
        <row r="506">
          <cell r="A506" t="str">
            <v>X</v>
          </cell>
          <cell r="B506" t="str">
            <v>P</v>
          </cell>
          <cell r="C506" t="str">
            <v>ACC</v>
          </cell>
          <cell r="E506" t="str">
            <v>2</v>
          </cell>
          <cell r="F506" t="str">
            <v>W</v>
          </cell>
          <cell r="G506">
            <v>0</v>
          </cell>
          <cell r="H506">
            <v>4992960</v>
          </cell>
          <cell r="I506">
            <v>14</v>
          </cell>
          <cell r="J506">
            <v>609600</v>
          </cell>
          <cell r="K506">
            <v>812000</v>
          </cell>
          <cell r="U506">
            <v>448</v>
          </cell>
          <cell r="AJ506">
            <v>187</v>
          </cell>
          <cell r="AK506">
            <v>8426400</v>
          </cell>
          <cell r="AN506">
            <v>25984000</v>
          </cell>
          <cell r="AO506">
            <v>10846000</v>
          </cell>
        </row>
        <row r="507">
          <cell r="A507" t="str">
            <v>X</v>
          </cell>
          <cell r="B507" t="str">
            <v>P</v>
          </cell>
          <cell r="C507" t="str">
            <v>ACC</v>
          </cell>
          <cell r="E507" t="str">
            <v>2</v>
          </cell>
          <cell r="F507" t="str">
            <v>W</v>
          </cell>
          <cell r="G507">
            <v>1</v>
          </cell>
          <cell r="H507">
            <v>1984895</v>
          </cell>
          <cell r="I507">
            <v>7</v>
          </cell>
          <cell r="J507">
            <v>350800</v>
          </cell>
          <cell r="K507">
            <v>476000</v>
          </cell>
          <cell r="U507">
            <v>151</v>
          </cell>
          <cell r="AJ507">
            <v>106</v>
          </cell>
          <cell r="AK507">
            <v>5523600</v>
          </cell>
          <cell r="AN507">
            <v>10268000</v>
          </cell>
          <cell r="AO507">
            <v>7208000</v>
          </cell>
        </row>
        <row r="508">
          <cell r="A508" t="str">
            <v>X</v>
          </cell>
          <cell r="B508" t="str">
            <v>P</v>
          </cell>
          <cell r="C508" t="str">
            <v>ACC</v>
          </cell>
          <cell r="E508" t="str">
            <v>2</v>
          </cell>
          <cell r="F508" t="str">
            <v>W</v>
          </cell>
          <cell r="G508">
            <v>0</v>
          </cell>
          <cell r="H508">
            <v>1301355</v>
          </cell>
          <cell r="I508">
            <v>3</v>
          </cell>
          <cell r="J508">
            <v>163200</v>
          </cell>
          <cell r="K508">
            <v>204000</v>
          </cell>
          <cell r="U508">
            <v>99</v>
          </cell>
          <cell r="AJ508">
            <v>55</v>
          </cell>
          <cell r="AK508">
            <v>2942800</v>
          </cell>
          <cell r="AN508">
            <v>6732000</v>
          </cell>
          <cell r="AO508">
            <v>3740000</v>
          </cell>
        </row>
        <row r="509">
          <cell r="A509" t="str">
            <v>X</v>
          </cell>
          <cell r="B509" t="str">
            <v>P</v>
          </cell>
          <cell r="C509" t="str">
            <v>ACC</v>
          </cell>
          <cell r="E509" t="str">
            <v>2</v>
          </cell>
          <cell r="F509" t="str">
            <v>W</v>
          </cell>
          <cell r="G509">
            <v>1</v>
          </cell>
          <cell r="H509">
            <v>1746750</v>
          </cell>
          <cell r="I509">
            <v>7</v>
          </cell>
          <cell r="J509">
            <v>294800</v>
          </cell>
          <cell r="K509">
            <v>406000</v>
          </cell>
          <cell r="U509">
            <v>150</v>
          </cell>
          <cell r="AJ509">
            <v>102</v>
          </cell>
          <cell r="AK509">
            <v>4585600</v>
          </cell>
          <cell r="AN509">
            <v>8700000</v>
          </cell>
          <cell r="AO509">
            <v>5916000</v>
          </cell>
        </row>
        <row r="510">
          <cell r="A510" t="str">
            <v>X</v>
          </cell>
          <cell r="B510" t="str">
            <v>P</v>
          </cell>
          <cell r="C510" t="str">
            <v>ACC</v>
          </cell>
          <cell r="E510" t="str">
            <v>2</v>
          </cell>
          <cell r="F510" t="str">
            <v>W</v>
          </cell>
          <cell r="G510">
            <v>0</v>
          </cell>
          <cell r="H510">
            <v>4087395</v>
          </cell>
          <cell r="I510">
            <v>9</v>
          </cell>
          <cell r="J510">
            <v>423400</v>
          </cell>
          <cell r="K510">
            <v>522000</v>
          </cell>
          <cell r="U510">
            <v>351</v>
          </cell>
          <cell r="AJ510">
            <v>210</v>
          </cell>
          <cell r="AK510">
            <v>9658600</v>
          </cell>
          <cell r="AN510">
            <v>20358000</v>
          </cell>
          <cell r="AO510">
            <v>12180000</v>
          </cell>
        </row>
        <row r="511">
          <cell r="A511" t="str">
            <v>X</v>
          </cell>
          <cell r="B511" t="str">
            <v>P</v>
          </cell>
          <cell r="C511" t="str">
            <v>ACC</v>
          </cell>
          <cell r="E511" t="str">
            <v>2</v>
          </cell>
          <cell r="F511" t="str">
            <v>W</v>
          </cell>
          <cell r="G511">
            <v>1</v>
          </cell>
          <cell r="H511">
            <v>3470210</v>
          </cell>
          <cell r="I511">
            <v>9</v>
          </cell>
          <cell r="J511">
            <v>389600</v>
          </cell>
          <cell r="K511">
            <v>612000</v>
          </cell>
          <cell r="U511">
            <v>298</v>
          </cell>
          <cell r="AJ511">
            <v>139</v>
          </cell>
          <cell r="AK511">
            <v>6667600</v>
          </cell>
          <cell r="AN511">
            <v>20264000</v>
          </cell>
          <cell r="AO511">
            <v>9452000</v>
          </cell>
        </row>
        <row r="512">
          <cell r="A512" t="str">
            <v>X</v>
          </cell>
          <cell r="B512" t="str">
            <v>P</v>
          </cell>
          <cell r="C512" t="str">
            <v>ACC</v>
          </cell>
          <cell r="E512" t="str">
            <v>1</v>
          </cell>
          <cell r="F512" t="str">
            <v>X</v>
          </cell>
          <cell r="G512">
            <v>1</v>
          </cell>
          <cell r="H512">
            <v>5629000</v>
          </cell>
          <cell r="I512">
            <v>6</v>
          </cell>
          <cell r="J512">
            <v>660000</v>
          </cell>
          <cell r="K512">
            <v>828000</v>
          </cell>
          <cell r="U512">
            <v>200</v>
          </cell>
          <cell r="AJ512">
            <v>73</v>
          </cell>
          <cell r="AK512">
            <v>7539480</v>
          </cell>
          <cell r="AN512">
            <v>27600000</v>
          </cell>
          <cell r="AO512">
            <v>10074000</v>
          </cell>
        </row>
        <row r="513">
          <cell r="A513" t="str">
            <v>X</v>
          </cell>
          <cell r="B513" t="str">
            <v>P</v>
          </cell>
          <cell r="C513" t="str">
            <v>ACC</v>
          </cell>
          <cell r="E513" t="str">
            <v>1</v>
          </cell>
          <cell r="F513" t="str">
            <v>X</v>
          </cell>
          <cell r="G513">
            <v>1</v>
          </cell>
          <cell r="H513">
            <v>3578355</v>
          </cell>
          <cell r="I513">
            <v>1</v>
          </cell>
          <cell r="J513">
            <v>118400</v>
          </cell>
          <cell r="K513">
            <v>148000</v>
          </cell>
          <cell r="U513">
            <v>99</v>
          </cell>
          <cell r="AJ513">
            <v>40</v>
          </cell>
          <cell r="AK513">
            <v>4536000</v>
          </cell>
          <cell r="AN513">
            <v>14652000</v>
          </cell>
          <cell r="AO513">
            <v>5920000</v>
          </cell>
        </row>
        <row r="514">
          <cell r="A514" t="str">
            <v>X</v>
          </cell>
          <cell r="B514" t="str">
            <v>P</v>
          </cell>
          <cell r="C514" t="str">
            <v>ACC</v>
          </cell>
          <cell r="E514" t="str">
            <v>1</v>
          </cell>
          <cell r="F514" t="str">
            <v>Y</v>
          </cell>
          <cell r="G514">
            <v>1</v>
          </cell>
          <cell r="H514">
            <v>400000</v>
          </cell>
          <cell r="I514">
            <v>4</v>
          </cell>
          <cell r="J514">
            <v>38400</v>
          </cell>
          <cell r="K514">
            <v>48000</v>
          </cell>
          <cell r="U514">
            <v>160</v>
          </cell>
          <cell r="AJ514">
            <v>50</v>
          </cell>
          <cell r="AK514">
            <v>484800</v>
          </cell>
          <cell r="AN514">
            <v>1920000</v>
          </cell>
          <cell r="AO514">
            <v>600000</v>
          </cell>
        </row>
        <row r="515">
          <cell r="A515" t="str">
            <v>X</v>
          </cell>
          <cell r="B515" t="str">
            <v>P</v>
          </cell>
          <cell r="C515" t="str">
            <v>ACC</v>
          </cell>
          <cell r="E515" t="str">
            <v>1</v>
          </cell>
          <cell r="F515" t="str">
            <v>Y</v>
          </cell>
          <cell r="G515">
            <v>0</v>
          </cell>
          <cell r="H515">
            <v>400000</v>
          </cell>
          <cell r="I515">
            <v>2</v>
          </cell>
          <cell r="J515">
            <v>19200</v>
          </cell>
          <cell r="K515">
            <v>24000</v>
          </cell>
          <cell r="U515">
            <v>160</v>
          </cell>
          <cell r="AJ515">
            <v>25</v>
          </cell>
          <cell r="AK515">
            <v>244800</v>
          </cell>
          <cell r="AN515">
            <v>1920000</v>
          </cell>
          <cell r="AO515">
            <v>300000</v>
          </cell>
        </row>
        <row r="516">
          <cell r="A516" t="str">
            <v>X</v>
          </cell>
          <cell r="B516" t="str">
            <v>P</v>
          </cell>
          <cell r="C516" t="str">
            <v>ACC</v>
          </cell>
          <cell r="E516" t="str">
            <v>1</v>
          </cell>
          <cell r="F516" t="str">
            <v>Y</v>
          </cell>
          <cell r="G516">
            <v>1</v>
          </cell>
          <cell r="H516">
            <v>400000</v>
          </cell>
          <cell r="I516">
            <v>2</v>
          </cell>
          <cell r="J516">
            <v>19200</v>
          </cell>
          <cell r="K516">
            <v>24000</v>
          </cell>
          <cell r="U516">
            <v>160</v>
          </cell>
          <cell r="AJ516">
            <v>34</v>
          </cell>
          <cell r="AK516">
            <v>343200</v>
          </cell>
          <cell r="AN516">
            <v>1920000</v>
          </cell>
          <cell r="AO516">
            <v>408000</v>
          </cell>
        </row>
        <row r="517">
          <cell r="A517" t="str">
            <v>X</v>
          </cell>
          <cell r="B517" t="str">
            <v>P</v>
          </cell>
          <cell r="C517" t="str">
            <v>T커머스</v>
          </cell>
          <cell r="E517" t="str">
            <v>2</v>
          </cell>
          <cell r="F517" t="str">
            <v>1</v>
          </cell>
          <cell r="G517">
            <v>1</v>
          </cell>
          <cell r="H517">
            <v>18073500</v>
          </cell>
          <cell r="I517">
            <v>32</v>
          </cell>
          <cell r="J517">
            <v>1411200</v>
          </cell>
          <cell r="K517">
            <v>3136000</v>
          </cell>
          <cell r="U517">
            <v>1500</v>
          </cell>
          <cell r="AJ517">
            <v>277</v>
          </cell>
          <cell r="AK517">
            <v>12818540</v>
          </cell>
          <cell r="AN517">
            <v>147000000</v>
          </cell>
          <cell r="AO517">
            <v>27146000</v>
          </cell>
        </row>
        <row r="518">
          <cell r="A518" t="str">
            <v>X</v>
          </cell>
          <cell r="B518" t="str">
            <v>P</v>
          </cell>
          <cell r="C518" t="str">
            <v>T커머스</v>
          </cell>
          <cell r="E518" t="str">
            <v>2</v>
          </cell>
          <cell r="F518" t="str">
            <v>1</v>
          </cell>
          <cell r="G518">
            <v>1</v>
          </cell>
          <cell r="H518">
            <v>18523500</v>
          </cell>
          <cell r="I518">
            <v>35</v>
          </cell>
          <cell r="J518">
            <v>1852600</v>
          </cell>
          <cell r="K518">
            <v>4130000</v>
          </cell>
          <cell r="U518">
            <v>1500</v>
          </cell>
          <cell r="AJ518">
            <v>368</v>
          </cell>
          <cell r="AK518">
            <v>20418950</v>
          </cell>
          <cell r="AN518">
            <v>177000000</v>
          </cell>
          <cell r="AO518">
            <v>43424000</v>
          </cell>
        </row>
        <row r="519">
          <cell r="A519" t="str">
            <v>X</v>
          </cell>
          <cell r="B519" t="str">
            <v>P</v>
          </cell>
          <cell r="C519" t="str">
            <v>T커머스</v>
          </cell>
          <cell r="E519" t="str">
            <v>2</v>
          </cell>
          <cell r="F519" t="str">
            <v>1</v>
          </cell>
          <cell r="G519">
            <v>1</v>
          </cell>
          <cell r="H519">
            <v>18253500</v>
          </cell>
          <cell r="I519">
            <v>7</v>
          </cell>
          <cell r="J519">
            <v>347900</v>
          </cell>
          <cell r="K519">
            <v>826000</v>
          </cell>
          <cell r="U519">
            <v>1500</v>
          </cell>
          <cell r="AJ519">
            <v>44</v>
          </cell>
          <cell r="AK519">
            <v>2315000</v>
          </cell>
          <cell r="AN519">
            <v>177000000</v>
          </cell>
          <cell r="AO519">
            <v>5192000</v>
          </cell>
        </row>
        <row r="520">
          <cell r="A520" t="str">
            <v>X</v>
          </cell>
          <cell r="B520" t="str">
            <v>P</v>
          </cell>
          <cell r="C520" t="str">
            <v>T커머스</v>
          </cell>
          <cell r="E520" t="str">
            <v>2</v>
          </cell>
          <cell r="F520" t="str">
            <v>1</v>
          </cell>
          <cell r="G520">
            <v>1</v>
          </cell>
          <cell r="H520">
            <v>24122560</v>
          </cell>
          <cell r="I520">
            <v>0</v>
          </cell>
          <cell r="J520">
            <v>0</v>
          </cell>
          <cell r="K520">
            <v>0</v>
          </cell>
          <cell r="U520">
            <v>1958</v>
          </cell>
          <cell r="AJ520">
            <v>121</v>
          </cell>
          <cell r="AK520">
            <v>3569607</v>
          </cell>
          <cell r="AN520">
            <v>231044000</v>
          </cell>
          <cell r="AO520">
            <v>14278000</v>
          </cell>
        </row>
        <row r="521">
          <cell r="A521" t="str">
            <v>X</v>
          </cell>
          <cell r="B521" t="str">
            <v>P</v>
          </cell>
          <cell r="C521" t="str">
            <v>T커머스</v>
          </cell>
          <cell r="E521" t="str">
            <v>2</v>
          </cell>
          <cell r="F521" t="str">
            <v>1</v>
          </cell>
          <cell r="G521">
            <v>1</v>
          </cell>
          <cell r="H521">
            <v>22191972</v>
          </cell>
          <cell r="I521">
            <v>0</v>
          </cell>
          <cell r="J521">
            <v>0</v>
          </cell>
          <cell r="K521">
            <v>0</v>
          </cell>
          <cell r="U521">
            <v>1958</v>
          </cell>
          <cell r="AJ521">
            <v>121</v>
          </cell>
          <cell r="AK521">
            <v>3569607</v>
          </cell>
          <cell r="AN521">
            <v>231044000</v>
          </cell>
          <cell r="AO521">
            <v>14278000</v>
          </cell>
        </row>
        <row r="522">
          <cell r="A522" t="str">
            <v>X</v>
          </cell>
          <cell r="B522" t="str">
            <v>P</v>
          </cell>
          <cell r="C522" t="str">
            <v>T커머스</v>
          </cell>
          <cell r="E522" t="str">
            <v>2</v>
          </cell>
          <cell r="F522" t="str">
            <v>1</v>
          </cell>
          <cell r="G522">
            <v>1</v>
          </cell>
          <cell r="H522">
            <v>24709960</v>
          </cell>
          <cell r="I522">
            <v>0</v>
          </cell>
          <cell r="J522">
            <v>0</v>
          </cell>
          <cell r="K522">
            <v>0</v>
          </cell>
          <cell r="U522">
            <v>1958</v>
          </cell>
          <cell r="AJ522">
            <v>122</v>
          </cell>
          <cell r="AK522">
            <v>3628607</v>
          </cell>
          <cell r="AN522">
            <v>231044000</v>
          </cell>
          <cell r="AO522">
            <v>14396000</v>
          </cell>
        </row>
        <row r="523">
          <cell r="A523" t="str">
            <v>X</v>
          </cell>
          <cell r="B523" t="str">
            <v>P</v>
          </cell>
          <cell r="C523" t="str">
            <v>T커머스</v>
          </cell>
          <cell r="E523" t="str">
            <v>2</v>
          </cell>
          <cell r="F523" t="str">
            <v>7</v>
          </cell>
          <cell r="G523">
            <v>1</v>
          </cell>
          <cell r="H523">
            <v>10568425</v>
          </cell>
          <cell r="I523">
            <v>0</v>
          </cell>
          <cell r="J523">
            <v>0</v>
          </cell>
          <cell r="K523">
            <v>0</v>
          </cell>
          <cell r="U523">
            <v>917</v>
          </cell>
          <cell r="AJ523">
            <v>243</v>
          </cell>
          <cell r="AK523">
            <v>7010373</v>
          </cell>
          <cell r="AN523">
            <v>108206000</v>
          </cell>
          <cell r="AO523">
            <v>28674000</v>
          </cell>
        </row>
        <row r="524">
          <cell r="A524" t="str">
            <v>X</v>
          </cell>
          <cell r="B524" t="str">
            <v>P</v>
          </cell>
          <cell r="C524" t="str">
            <v>T커머스</v>
          </cell>
          <cell r="E524" t="str">
            <v>2</v>
          </cell>
          <cell r="F524" t="str">
            <v>7</v>
          </cell>
          <cell r="G524">
            <v>1</v>
          </cell>
          <cell r="H524">
            <v>11501100</v>
          </cell>
          <cell r="I524">
            <v>0</v>
          </cell>
          <cell r="J524">
            <v>0</v>
          </cell>
          <cell r="K524">
            <v>0</v>
          </cell>
          <cell r="U524">
            <v>900</v>
          </cell>
          <cell r="AJ524">
            <v>243</v>
          </cell>
          <cell r="AK524">
            <v>7016273</v>
          </cell>
          <cell r="AN524">
            <v>106200000</v>
          </cell>
          <cell r="AO524">
            <v>28674000</v>
          </cell>
        </row>
        <row r="525">
          <cell r="A525" t="str">
            <v>X</v>
          </cell>
          <cell r="B525" t="str">
            <v>P</v>
          </cell>
          <cell r="C525" t="str">
            <v>T커머스</v>
          </cell>
          <cell r="E525" t="str">
            <v>2</v>
          </cell>
          <cell r="F525" t="str">
            <v>7</v>
          </cell>
          <cell r="G525">
            <v>1</v>
          </cell>
          <cell r="H525">
            <v>9685856</v>
          </cell>
          <cell r="I525">
            <v>8</v>
          </cell>
          <cell r="J525">
            <v>312000</v>
          </cell>
          <cell r="K525">
            <v>784000</v>
          </cell>
          <cell r="U525">
            <v>848</v>
          </cell>
          <cell r="AJ525">
            <v>77</v>
          </cell>
          <cell r="AK525">
            <v>3268900</v>
          </cell>
          <cell r="AN525">
            <v>83104000</v>
          </cell>
          <cell r="AO525">
            <v>7546000</v>
          </cell>
        </row>
        <row r="526">
          <cell r="A526" t="str">
            <v>X</v>
          </cell>
          <cell r="B526" t="str">
            <v>P</v>
          </cell>
          <cell r="C526" t="str">
            <v>의류</v>
          </cell>
          <cell r="E526" t="str">
            <v>1</v>
          </cell>
          <cell r="F526" t="str">
            <v>1</v>
          </cell>
          <cell r="G526">
            <v>1</v>
          </cell>
          <cell r="H526">
            <v>6255969</v>
          </cell>
          <cell r="I526">
            <v>0</v>
          </cell>
          <cell r="J526">
            <v>0</v>
          </cell>
          <cell r="K526">
            <v>0</v>
          </cell>
          <cell r="U526">
            <v>321</v>
          </cell>
          <cell r="AJ526">
            <v>40</v>
          </cell>
          <cell r="AK526">
            <v>2841600</v>
          </cell>
          <cell r="AN526">
            <v>50718000</v>
          </cell>
          <cell r="AO526">
            <v>6320000</v>
          </cell>
        </row>
        <row r="527">
          <cell r="A527" t="str">
            <v>X</v>
          </cell>
          <cell r="B527" t="str">
            <v>P</v>
          </cell>
          <cell r="C527" t="str">
            <v>의류</v>
          </cell>
          <cell r="E527" t="str">
            <v>1</v>
          </cell>
          <cell r="F527" t="str">
            <v>1</v>
          </cell>
          <cell r="G527">
            <v>0</v>
          </cell>
          <cell r="H527">
            <v>5866189</v>
          </cell>
          <cell r="I527">
            <v>1</v>
          </cell>
          <cell r="J527">
            <v>59000</v>
          </cell>
          <cell r="K527">
            <v>158000</v>
          </cell>
          <cell r="U527">
            <v>301</v>
          </cell>
          <cell r="AJ527">
            <v>97</v>
          </cell>
          <cell r="AK527">
            <v>6608800</v>
          </cell>
          <cell r="AN527">
            <v>47558000</v>
          </cell>
          <cell r="AO527">
            <v>15326000</v>
          </cell>
        </row>
        <row r="528">
          <cell r="A528" t="str">
            <v>X</v>
          </cell>
          <cell r="B528" t="str">
            <v>P</v>
          </cell>
          <cell r="C528" t="str">
            <v>의류</v>
          </cell>
          <cell r="E528" t="str">
            <v>1</v>
          </cell>
          <cell r="F528" t="str">
            <v>1</v>
          </cell>
          <cell r="G528">
            <v>1</v>
          </cell>
          <cell r="H528">
            <v>5189842</v>
          </cell>
          <cell r="I528">
            <v>2</v>
          </cell>
          <cell r="J528">
            <v>101100</v>
          </cell>
          <cell r="K528">
            <v>276000</v>
          </cell>
          <cell r="U528">
            <v>301</v>
          </cell>
          <cell r="AJ528">
            <v>200</v>
          </cell>
          <cell r="AK528">
            <v>13062000</v>
          </cell>
          <cell r="AN528">
            <v>41538000</v>
          </cell>
          <cell r="AO528">
            <v>27600000</v>
          </cell>
        </row>
        <row r="529">
          <cell r="A529" t="str">
            <v>X</v>
          </cell>
          <cell r="B529" t="str">
            <v>P</v>
          </cell>
          <cell r="C529" t="str">
            <v>의류</v>
          </cell>
          <cell r="E529" t="str">
            <v>1</v>
          </cell>
          <cell r="F529" t="str">
            <v>1</v>
          </cell>
          <cell r="G529">
            <v>0</v>
          </cell>
          <cell r="H529">
            <v>5172600</v>
          </cell>
          <cell r="I529">
            <v>0</v>
          </cell>
          <cell r="J529">
            <v>0</v>
          </cell>
          <cell r="K529">
            <v>0</v>
          </cell>
          <cell r="U529">
            <v>300</v>
          </cell>
          <cell r="AJ529">
            <v>281</v>
          </cell>
          <cell r="AK529">
            <v>17952000</v>
          </cell>
          <cell r="AN529">
            <v>41400000</v>
          </cell>
          <cell r="AO529">
            <v>38778000</v>
          </cell>
        </row>
        <row r="530">
          <cell r="A530" t="str">
            <v>X</v>
          </cell>
          <cell r="B530" t="str">
            <v>P</v>
          </cell>
          <cell r="C530" t="str">
            <v>의류</v>
          </cell>
          <cell r="E530" t="str">
            <v>1</v>
          </cell>
          <cell r="F530" t="str">
            <v>1</v>
          </cell>
          <cell r="G530">
            <v>1</v>
          </cell>
          <cell r="H530">
            <v>9435242</v>
          </cell>
          <cell r="I530">
            <v>-1</v>
          </cell>
          <cell r="J530">
            <v>-59000</v>
          </cell>
          <cell r="K530">
            <v>-158000</v>
          </cell>
          <cell r="U530">
            <v>478</v>
          </cell>
          <cell r="AJ530">
            <v>209</v>
          </cell>
          <cell r="AK530">
            <v>14928400</v>
          </cell>
          <cell r="AN530">
            <v>75524000</v>
          </cell>
          <cell r="AO530">
            <v>33022000</v>
          </cell>
        </row>
        <row r="531">
          <cell r="A531" t="str">
            <v>X</v>
          </cell>
          <cell r="B531" t="str">
            <v>P</v>
          </cell>
          <cell r="C531" t="str">
            <v>의류</v>
          </cell>
          <cell r="E531" t="str">
            <v>1</v>
          </cell>
          <cell r="F531" t="str">
            <v>1</v>
          </cell>
          <cell r="G531">
            <v>0</v>
          </cell>
          <cell r="H531">
            <v>8270641</v>
          </cell>
          <cell r="I531">
            <v>3</v>
          </cell>
          <cell r="J531">
            <v>177000</v>
          </cell>
          <cell r="K531">
            <v>474000</v>
          </cell>
          <cell r="U531">
            <v>419</v>
          </cell>
          <cell r="AJ531">
            <v>78</v>
          </cell>
          <cell r="AK531">
            <v>5471000</v>
          </cell>
          <cell r="AN531">
            <v>66202000</v>
          </cell>
          <cell r="AO531">
            <v>12324000</v>
          </cell>
        </row>
        <row r="532">
          <cell r="A532" t="str">
            <v>X</v>
          </cell>
          <cell r="B532" t="str">
            <v>P</v>
          </cell>
          <cell r="C532" t="str">
            <v>의류</v>
          </cell>
          <cell r="E532" t="str">
            <v>2</v>
          </cell>
          <cell r="F532" t="str">
            <v>1</v>
          </cell>
          <cell r="G532">
            <v>1</v>
          </cell>
          <cell r="H532">
            <v>3990824</v>
          </cell>
          <cell r="I532">
            <v>23</v>
          </cell>
          <cell r="J532">
            <v>1097600</v>
          </cell>
          <cell r="K532">
            <v>2254000</v>
          </cell>
          <cell r="U532">
            <v>466</v>
          </cell>
          <cell r="AJ532">
            <v>106</v>
          </cell>
          <cell r="AK532">
            <v>4939200</v>
          </cell>
          <cell r="AN532">
            <v>45668000</v>
          </cell>
          <cell r="AO532">
            <v>10388000</v>
          </cell>
        </row>
        <row r="533">
          <cell r="A533" t="str">
            <v>X</v>
          </cell>
          <cell r="B533" t="str">
            <v>P</v>
          </cell>
          <cell r="C533" t="str">
            <v>의류</v>
          </cell>
          <cell r="E533" t="str">
            <v>2</v>
          </cell>
          <cell r="F533" t="str">
            <v>1</v>
          </cell>
          <cell r="G533">
            <v>1</v>
          </cell>
          <cell r="H533">
            <v>4484499</v>
          </cell>
          <cell r="I533">
            <v>3</v>
          </cell>
          <cell r="J533">
            <v>199100</v>
          </cell>
          <cell r="K533">
            <v>474000</v>
          </cell>
          <cell r="U533">
            <v>269</v>
          </cell>
          <cell r="AJ533">
            <v>84</v>
          </cell>
          <cell r="AK533">
            <v>6338600</v>
          </cell>
          <cell r="AN533">
            <v>42502000</v>
          </cell>
          <cell r="AO533">
            <v>13272000</v>
          </cell>
        </row>
        <row r="534">
          <cell r="A534" t="str">
            <v>X</v>
          </cell>
          <cell r="B534" t="str">
            <v>P</v>
          </cell>
          <cell r="C534" t="str">
            <v>의류</v>
          </cell>
          <cell r="E534" t="str">
            <v>2</v>
          </cell>
          <cell r="F534" t="str">
            <v>1</v>
          </cell>
          <cell r="G534">
            <v>0</v>
          </cell>
          <cell r="H534">
            <v>5017971</v>
          </cell>
          <cell r="I534">
            <v>2</v>
          </cell>
          <cell r="J534">
            <v>158000</v>
          </cell>
          <cell r="K534">
            <v>316000</v>
          </cell>
          <cell r="U534">
            <v>301</v>
          </cell>
          <cell r="AJ534">
            <v>114</v>
          </cell>
          <cell r="AK534">
            <v>8766750</v>
          </cell>
          <cell r="AN534">
            <v>47558000</v>
          </cell>
          <cell r="AO534">
            <v>18012000</v>
          </cell>
        </row>
        <row r="535">
          <cell r="A535" t="str">
            <v>X</v>
          </cell>
          <cell r="B535" t="str">
            <v>P</v>
          </cell>
          <cell r="C535" t="str">
            <v>의류</v>
          </cell>
          <cell r="E535" t="str">
            <v>2</v>
          </cell>
          <cell r="F535" t="str">
            <v>1</v>
          </cell>
          <cell r="G535">
            <v>1</v>
          </cell>
          <cell r="H535">
            <v>4617873</v>
          </cell>
          <cell r="I535">
            <v>1</v>
          </cell>
          <cell r="J535">
            <v>69000</v>
          </cell>
          <cell r="K535">
            <v>138000</v>
          </cell>
          <cell r="U535">
            <v>377</v>
          </cell>
          <cell r="AJ535">
            <v>47</v>
          </cell>
          <cell r="AK535">
            <v>3013000</v>
          </cell>
          <cell r="AN535">
            <v>52026000</v>
          </cell>
          <cell r="AO535">
            <v>6486000</v>
          </cell>
        </row>
        <row r="536">
          <cell r="A536" t="str">
            <v>X</v>
          </cell>
          <cell r="B536" t="str">
            <v>P</v>
          </cell>
          <cell r="C536" t="str">
            <v>의류</v>
          </cell>
          <cell r="E536" t="str">
            <v>2</v>
          </cell>
          <cell r="F536" t="str">
            <v>1</v>
          </cell>
          <cell r="G536">
            <v>0</v>
          </cell>
          <cell r="H536">
            <v>3613455</v>
          </cell>
          <cell r="I536">
            <v>2</v>
          </cell>
          <cell r="J536">
            <v>108000</v>
          </cell>
          <cell r="K536">
            <v>276000</v>
          </cell>
          <cell r="U536">
            <v>295</v>
          </cell>
          <cell r="AJ536">
            <v>54</v>
          </cell>
          <cell r="AK536">
            <v>3544600</v>
          </cell>
          <cell r="AN536">
            <v>40710000</v>
          </cell>
          <cell r="AO536">
            <v>7452000</v>
          </cell>
        </row>
        <row r="537">
          <cell r="A537" t="str">
            <v>X</v>
          </cell>
          <cell r="B537" t="str">
            <v>P</v>
          </cell>
          <cell r="C537" t="str">
            <v>의류</v>
          </cell>
          <cell r="E537" t="str">
            <v>2</v>
          </cell>
          <cell r="F537" t="str">
            <v>1</v>
          </cell>
          <cell r="G537">
            <v>1</v>
          </cell>
          <cell r="H537">
            <v>3584793</v>
          </cell>
          <cell r="I537">
            <v>5</v>
          </cell>
          <cell r="J537">
            <v>253200</v>
          </cell>
          <cell r="K537">
            <v>590000</v>
          </cell>
          <cell r="U537">
            <v>303</v>
          </cell>
          <cell r="AJ537">
            <v>40</v>
          </cell>
          <cell r="AK537">
            <v>2172300</v>
          </cell>
          <cell r="AN537">
            <v>35754000</v>
          </cell>
          <cell r="AO537">
            <v>4720000</v>
          </cell>
        </row>
        <row r="538">
          <cell r="A538" t="str">
            <v>X</v>
          </cell>
          <cell r="B538" t="str">
            <v>P</v>
          </cell>
          <cell r="C538" t="str">
            <v>의류</v>
          </cell>
          <cell r="E538" t="str">
            <v>2</v>
          </cell>
          <cell r="F538" t="str">
            <v>1</v>
          </cell>
          <cell r="G538">
            <v>0</v>
          </cell>
          <cell r="H538">
            <v>3691272</v>
          </cell>
          <cell r="I538">
            <v>4</v>
          </cell>
          <cell r="J538">
            <v>218300</v>
          </cell>
          <cell r="K538">
            <v>472000</v>
          </cell>
          <cell r="U538">
            <v>312</v>
          </cell>
          <cell r="AJ538">
            <v>25</v>
          </cell>
          <cell r="AK538">
            <v>1307800</v>
          </cell>
          <cell r="AN538">
            <v>36816000</v>
          </cell>
          <cell r="AO538">
            <v>2950000</v>
          </cell>
        </row>
        <row r="539">
          <cell r="A539" t="str">
            <v>X</v>
          </cell>
          <cell r="B539" t="str">
            <v>P</v>
          </cell>
          <cell r="C539" t="str">
            <v>의류</v>
          </cell>
          <cell r="E539" t="str">
            <v>2</v>
          </cell>
          <cell r="F539" t="str">
            <v>1</v>
          </cell>
          <cell r="G539">
            <v>1</v>
          </cell>
          <cell r="H539">
            <v>4397682</v>
          </cell>
          <cell r="I539">
            <v>2</v>
          </cell>
          <cell r="J539">
            <v>104550</v>
          </cell>
          <cell r="K539">
            <v>276000</v>
          </cell>
          <cell r="U539">
            <v>278</v>
          </cell>
          <cell r="AJ539">
            <v>20</v>
          </cell>
          <cell r="AK539">
            <v>1235850</v>
          </cell>
          <cell r="AN539">
            <v>38364000</v>
          </cell>
          <cell r="AO539">
            <v>2760000</v>
          </cell>
        </row>
        <row r="540">
          <cell r="A540" t="str">
            <v>X</v>
          </cell>
          <cell r="B540" t="str">
            <v>P</v>
          </cell>
          <cell r="C540" t="str">
            <v>의류</v>
          </cell>
          <cell r="E540" t="str">
            <v>2</v>
          </cell>
          <cell r="F540" t="str">
            <v>1</v>
          </cell>
          <cell r="G540">
            <v>0</v>
          </cell>
          <cell r="H540">
            <v>4445139</v>
          </cell>
          <cell r="I540">
            <v>1</v>
          </cell>
          <cell r="J540">
            <v>62100</v>
          </cell>
          <cell r="K540">
            <v>138000</v>
          </cell>
          <cell r="U540">
            <v>281</v>
          </cell>
          <cell r="AJ540">
            <v>22</v>
          </cell>
          <cell r="AK540">
            <v>1454550</v>
          </cell>
          <cell r="AN540">
            <v>38778000</v>
          </cell>
          <cell r="AO540">
            <v>3036000</v>
          </cell>
        </row>
        <row r="541">
          <cell r="A541" t="str">
            <v>X</v>
          </cell>
          <cell r="B541" t="str">
            <v>P</v>
          </cell>
          <cell r="C541" t="str">
            <v>의류</v>
          </cell>
          <cell r="E541" t="str">
            <v>2</v>
          </cell>
          <cell r="F541" t="str">
            <v>1</v>
          </cell>
          <cell r="G541">
            <v>1</v>
          </cell>
          <cell r="H541">
            <v>4868160</v>
          </cell>
          <cell r="I541">
            <v>9</v>
          </cell>
          <cell r="J541">
            <v>519600</v>
          </cell>
          <cell r="K541">
            <v>1242000</v>
          </cell>
          <cell r="U541">
            <v>330</v>
          </cell>
          <cell r="AJ541">
            <v>100</v>
          </cell>
          <cell r="AK541">
            <v>6218200</v>
          </cell>
          <cell r="AN541">
            <v>45540000</v>
          </cell>
          <cell r="AO541">
            <v>13800000</v>
          </cell>
        </row>
        <row r="542">
          <cell r="A542" t="str">
            <v>X</v>
          </cell>
          <cell r="B542" t="str">
            <v>P</v>
          </cell>
          <cell r="C542" t="str">
            <v>의류</v>
          </cell>
          <cell r="E542" t="str">
            <v>2</v>
          </cell>
          <cell r="F542" t="str">
            <v>1</v>
          </cell>
          <cell r="G542">
            <v>0</v>
          </cell>
          <cell r="H542">
            <v>5133696</v>
          </cell>
          <cell r="I542">
            <v>1</v>
          </cell>
          <cell r="J542">
            <v>69000</v>
          </cell>
          <cell r="K542">
            <v>138000</v>
          </cell>
          <cell r="U542">
            <v>348</v>
          </cell>
          <cell r="AJ542">
            <v>85</v>
          </cell>
          <cell r="AK542">
            <v>5521500</v>
          </cell>
          <cell r="AN542">
            <v>48024000</v>
          </cell>
          <cell r="AO542">
            <v>11730000</v>
          </cell>
        </row>
        <row r="543">
          <cell r="A543" t="str">
            <v>X</v>
          </cell>
          <cell r="B543" t="str">
            <v>P</v>
          </cell>
          <cell r="C543" t="str">
            <v>의류</v>
          </cell>
          <cell r="E543" t="str">
            <v>2</v>
          </cell>
          <cell r="F543" t="str">
            <v>1</v>
          </cell>
          <cell r="G543">
            <v>1</v>
          </cell>
          <cell r="H543">
            <v>4180385</v>
          </cell>
          <cell r="I543">
            <v>-1</v>
          </cell>
          <cell r="J543">
            <v>-69000</v>
          </cell>
          <cell r="K543">
            <v>-138000</v>
          </cell>
          <cell r="U543">
            <v>289</v>
          </cell>
          <cell r="AJ543">
            <v>10</v>
          </cell>
          <cell r="AK543">
            <v>596200</v>
          </cell>
          <cell r="AN543">
            <v>39882000</v>
          </cell>
          <cell r="AO543">
            <v>1380000</v>
          </cell>
        </row>
        <row r="544">
          <cell r="A544" t="str">
            <v>X</v>
          </cell>
          <cell r="B544" t="str">
            <v>P</v>
          </cell>
          <cell r="C544" t="str">
            <v>의류</v>
          </cell>
          <cell r="E544" t="str">
            <v>2</v>
          </cell>
          <cell r="F544" t="str">
            <v>1</v>
          </cell>
          <cell r="G544">
            <v>1</v>
          </cell>
          <cell r="H544">
            <v>5145172</v>
          </cell>
          <cell r="I544">
            <v>7</v>
          </cell>
          <cell r="J544">
            <v>483000</v>
          </cell>
          <cell r="K544">
            <v>966000</v>
          </cell>
          <cell r="U544">
            <v>274</v>
          </cell>
          <cell r="AJ544">
            <v>18</v>
          </cell>
          <cell r="AK544">
            <v>1158200</v>
          </cell>
          <cell r="AN544">
            <v>37812000</v>
          </cell>
          <cell r="AO544">
            <v>2484000</v>
          </cell>
        </row>
        <row r="545">
          <cell r="A545" t="str">
            <v>X</v>
          </cell>
          <cell r="B545" t="str">
            <v>P</v>
          </cell>
          <cell r="C545" t="str">
            <v>의류</v>
          </cell>
          <cell r="E545" t="str">
            <v>2</v>
          </cell>
          <cell r="F545" t="str">
            <v>1</v>
          </cell>
          <cell r="G545">
            <v>0</v>
          </cell>
          <cell r="H545">
            <v>6422076</v>
          </cell>
          <cell r="I545">
            <v>9</v>
          </cell>
          <cell r="J545">
            <v>586500</v>
          </cell>
          <cell r="K545">
            <v>1242000</v>
          </cell>
          <cell r="U545">
            <v>342</v>
          </cell>
          <cell r="AJ545">
            <v>41</v>
          </cell>
          <cell r="AK545">
            <v>2554800</v>
          </cell>
          <cell r="AN545">
            <v>47196000</v>
          </cell>
          <cell r="AO545">
            <v>5658000</v>
          </cell>
        </row>
        <row r="546">
          <cell r="A546" t="str">
            <v>X</v>
          </cell>
          <cell r="B546" t="str">
            <v>P</v>
          </cell>
          <cell r="C546" t="str">
            <v>의류</v>
          </cell>
          <cell r="E546" t="str">
            <v>2</v>
          </cell>
          <cell r="F546" t="str">
            <v>1</v>
          </cell>
          <cell r="G546">
            <v>1</v>
          </cell>
          <cell r="H546">
            <v>5859024</v>
          </cell>
          <cell r="I546">
            <v>3</v>
          </cell>
          <cell r="J546">
            <v>277200</v>
          </cell>
          <cell r="K546">
            <v>594000</v>
          </cell>
          <cell r="U546">
            <v>296</v>
          </cell>
          <cell r="AJ546">
            <v>67</v>
          </cell>
          <cell r="AK546">
            <v>6234500</v>
          </cell>
          <cell r="AN546">
            <v>58608000</v>
          </cell>
          <cell r="AO546">
            <v>13266000</v>
          </cell>
        </row>
        <row r="547">
          <cell r="A547" t="str">
            <v>X</v>
          </cell>
          <cell r="B547" t="str">
            <v>P</v>
          </cell>
          <cell r="C547" t="str">
            <v>의류</v>
          </cell>
          <cell r="E547" t="str">
            <v>2</v>
          </cell>
          <cell r="F547" t="str">
            <v>1</v>
          </cell>
          <cell r="G547">
            <v>0</v>
          </cell>
          <cell r="H547">
            <v>5779848</v>
          </cell>
          <cell r="I547">
            <v>1</v>
          </cell>
          <cell r="J547">
            <v>89100</v>
          </cell>
          <cell r="K547">
            <v>198000</v>
          </cell>
          <cell r="U547">
            <v>292</v>
          </cell>
          <cell r="AJ547">
            <v>25</v>
          </cell>
          <cell r="AK547">
            <v>2300650</v>
          </cell>
          <cell r="AN547">
            <v>57816000</v>
          </cell>
          <cell r="AO547">
            <v>4950000</v>
          </cell>
        </row>
        <row r="548">
          <cell r="A548" t="str">
            <v>X</v>
          </cell>
          <cell r="B548" t="str">
            <v>P</v>
          </cell>
          <cell r="C548" t="str">
            <v>의류</v>
          </cell>
          <cell r="E548" t="str">
            <v>2</v>
          </cell>
          <cell r="F548" t="str">
            <v>1</v>
          </cell>
          <cell r="G548">
            <v>1</v>
          </cell>
          <cell r="H548">
            <v>1865224</v>
          </cell>
          <cell r="I548">
            <v>9</v>
          </cell>
          <cell r="J548">
            <v>421400</v>
          </cell>
          <cell r="K548">
            <v>882000</v>
          </cell>
          <cell r="U548">
            <v>214</v>
          </cell>
          <cell r="AJ548">
            <v>32</v>
          </cell>
          <cell r="AK548">
            <v>1494500</v>
          </cell>
          <cell r="AN548">
            <v>20972000</v>
          </cell>
          <cell r="AO548">
            <v>3136000</v>
          </cell>
        </row>
        <row r="549">
          <cell r="A549" t="str">
            <v>X</v>
          </cell>
          <cell r="B549" t="str">
            <v>P</v>
          </cell>
          <cell r="C549" t="str">
            <v>의류</v>
          </cell>
          <cell r="E549" t="str">
            <v>2</v>
          </cell>
          <cell r="F549" t="str">
            <v>1</v>
          </cell>
          <cell r="G549">
            <v>1</v>
          </cell>
          <cell r="H549">
            <v>6220806</v>
          </cell>
          <cell r="I549">
            <v>4</v>
          </cell>
          <cell r="J549">
            <v>219100</v>
          </cell>
          <cell r="K549">
            <v>552000</v>
          </cell>
          <cell r="U549">
            <v>417</v>
          </cell>
          <cell r="AJ549">
            <v>15</v>
          </cell>
          <cell r="AK549">
            <v>964300</v>
          </cell>
          <cell r="AN549">
            <v>57546000</v>
          </cell>
          <cell r="AO549">
            <v>2070000</v>
          </cell>
        </row>
        <row r="550">
          <cell r="A550" t="str">
            <v>X</v>
          </cell>
          <cell r="B550" t="str">
            <v>P</v>
          </cell>
          <cell r="C550" t="str">
            <v>의류</v>
          </cell>
          <cell r="E550" t="str">
            <v>2</v>
          </cell>
          <cell r="F550" t="str">
            <v>1</v>
          </cell>
          <cell r="G550">
            <v>0</v>
          </cell>
          <cell r="H550">
            <v>7757360</v>
          </cell>
          <cell r="I550">
            <v>4</v>
          </cell>
          <cell r="J550">
            <v>249100</v>
          </cell>
          <cell r="K550">
            <v>552000</v>
          </cell>
          <cell r="U550">
            <v>520</v>
          </cell>
          <cell r="AJ550">
            <v>17</v>
          </cell>
          <cell r="AK550">
            <v>1055400</v>
          </cell>
          <cell r="AN550">
            <v>71760000</v>
          </cell>
          <cell r="AO550">
            <v>2346000</v>
          </cell>
        </row>
        <row r="551">
          <cell r="A551" t="str">
            <v>X</v>
          </cell>
          <cell r="B551" t="str">
            <v>P</v>
          </cell>
          <cell r="C551" t="str">
            <v>의류</v>
          </cell>
          <cell r="E551" t="str">
            <v>2</v>
          </cell>
          <cell r="F551" t="str">
            <v>1</v>
          </cell>
          <cell r="G551">
            <v>0</v>
          </cell>
          <cell r="H551">
            <v>6966706</v>
          </cell>
          <cell r="I551">
            <v>2</v>
          </cell>
          <cell r="J551">
            <v>131100</v>
          </cell>
          <cell r="K551">
            <v>276000</v>
          </cell>
          <cell r="U551">
            <v>467</v>
          </cell>
          <cell r="AJ551">
            <v>19</v>
          </cell>
          <cell r="AK551">
            <v>1256500</v>
          </cell>
          <cell r="AN551">
            <v>64446000</v>
          </cell>
          <cell r="AO551">
            <v>2622000</v>
          </cell>
        </row>
        <row r="552">
          <cell r="A552" t="str">
            <v>X</v>
          </cell>
          <cell r="B552" t="str">
            <v>P</v>
          </cell>
          <cell r="C552" t="str">
            <v>의류</v>
          </cell>
          <cell r="E552" t="str">
            <v>1</v>
          </cell>
          <cell r="F552" t="str">
            <v>6</v>
          </cell>
          <cell r="G552">
            <v>1</v>
          </cell>
          <cell r="H552">
            <v>8393992</v>
          </cell>
          <cell r="I552">
            <v>-6</v>
          </cell>
          <cell r="J552">
            <v>-834000</v>
          </cell>
          <cell r="K552">
            <v>-1668000</v>
          </cell>
          <cell r="U552">
            <v>194</v>
          </cell>
          <cell r="AJ552">
            <v>140</v>
          </cell>
          <cell r="AK552">
            <v>18613300</v>
          </cell>
          <cell r="AN552">
            <v>53932000</v>
          </cell>
          <cell r="AO552">
            <v>38920000</v>
          </cell>
        </row>
        <row r="553">
          <cell r="A553" t="str">
            <v>X</v>
          </cell>
          <cell r="B553" t="str">
            <v>P</v>
          </cell>
          <cell r="C553" t="str">
            <v>의류</v>
          </cell>
          <cell r="E553" t="str">
            <v>2</v>
          </cell>
          <cell r="F553" t="str">
            <v>6</v>
          </cell>
          <cell r="G553">
            <v>1</v>
          </cell>
          <cell r="H553">
            <v>9490540</v>
          </cell>
          <cell r="I553">
            <v>7</v>
          </cell>
          <cell r="J553">
            <v>797200</v>
          </cell>
          <cell r="K553">
            <v>1806000</v>
          </cell>
          <cell r="U553">
            <v>290</v>
          </cell>
          <cell r="AJ553">
            <v>208</v>
          </cell>
          <cell r="AK553">
            <v>24754300</v>
          </cell>
          <cell r="AN553">
            <v>74820000</v>
          </cell>
          <cell r="AO553">
            <v>53664000</v>
          </cell>
        </row>
        <row r="554">
          <cell r="A554" t="str">
            <v>X</v>
          </cell>
          <cell r="B554" t="str">
            <v>P</v>
          </cell>
          <cell r="C554" t="str">
            <v>의류</v>
          </cell>
          <cell r="E554" t="str">
            <v>2</v>
          </cell>
          <cell r="F554" t="str">
            <v>6</v>
          </cell>
          <cell r="G554">
            <v>0</v>
          </cell>
          <cell r="H554">
            <v>12959496</v>
          </cell>
          <cell r="I554">
            <v>13</v>
          </cell>
          <cell r="J554">
            <v>1496050</v>
          </cell>
          <cell r="K554">
            <v>3354000</v>
          </cell>
          <cell r="U554">
            <v>396</v>
          </cell>
          <cell r="AJ554">
            <v>305</v>
          </cell>
          <cell r="AK554">
            <v>36944450</v>
          </cell>
          <cell r="AN554">
            <v>102168000</v>
          </cell>
          <cell r="AO554">
            <v>78690000</v>
          </cell>
        </row>
        <row r="555">
          <cell r="A555" t="str">
            <v>X</v>
          </cell>
          <cell r="B555" t="str">
            <v>P</v>
          </cell>
          <cell r="C555" t="str">
            <v>의류</v>
          </cell>
          <cell r="E555" t="str">
            <v>1</v>
          </cell>
          <cell r="F555" t="str">
            <v>7</v>
          </cell>
          <cell r="G555">
            <v>1</v>
          </cell>
          <cell r="H555">
            <v>8390025</v>
          </cell>
          <cell r="I555">
            <v>0</v>
          </cell>
          <cell r="J555">
            <v>0</v>
          </cell>
          <cell r="K555">
            <v>0</v>
          </cell>
          <cell r="U555">
            <v>315</v>
          </cell>
          <cell r="AJ555">
            <v>41</v>
          </cell>
          <cell r="AK555">
            <v>4068300</v>
          </cell>
          <cell r="AN555">
            <v>68670000</v>
          </cell>
          <cell r="AO555">
            <v>8938000</v>
          </cell>
        </row>
        <row r="556">
          <cell r="A556" t="str">
            <v>X</v>
          </cell>
          <cell r="B556" t="str">
            <v>P</v>
          </cell>
          <cell r="C556" t="str">
            <v>의류</v>
          </cell>
          <cell r="E556" t="str">
            <v>1</v>
          </cell>
          <cell r="F556" t="str">
            <v>7</v>
          </cell>
          <cell r="G556">
            <v>1</v>
          </cell>
          <cell r="H556">
            <v>9035400</v>
          </cell>
          <cell r="I556">
            <v>1</v>
          </cell>
          <cell r="J556">
            <v>69000</v>
          </cell>
          <cell r="K556">
            <v>178000</v>
          </cell>
          <cell r="U556">
            <v>440</v>
          </cell>
          <cell r="AJ556">
            <v>89</v>
          </cell>
          <cell r="AK556">
            <v>7261000</v>
          </cell>
          <cell r="AN556">
            <v>78320000</v>
          </cell>
          <cell r="AO556">
            <v>15842000</v>
          </cell>
        </row>
        <row r="557">
          <cell r="A557" t="str">
            <v>X</v>
          </cell>
          <cell r="B557" t="str">
            <v>P</v>
          </cell>
          <cell r="C557" t="str">
            <v>의류</v>
          </cell>
          <cell r="E557" t="str">
            <v>1</v>
          </cell>
          <cell r="F557" t="str">
            <v>7</v>
          </cell>
          <cell r="G557">
            <v>0</v>
          </cell>
          <cell r="H557">
            <v>7330995</v>
          </cell>
          <cell r="I557">
            <v>0</v>
          </cell>
          <cell r="J557">
            <v>0</v>
          </cell>
          <cell r="K557">
            <v>0</v>
          </cell>
          <cell r="U557">
            <v>357</v>
          </cell>
          <cell r="AJ557">
            <v>114</v>
          </cell>
          <cell r="AK557">
            <v>9270400</v>
          </cell>
          <cell r="AN557">
            <v>63546000</v>
          </cell>
          <cell r="AO557">
            <v>20292000</v>
          </cell>
        </row>
        <row r="558">
          <cell r="A558" t="str">
            <v>X</v>
          </cell>
          <cell r="B558" t="str">
            <v>P</v>
          </cell>
          <cell r="C558" t="str">
            <v>의류</v>
          </cell>
          <cell r="E558" t="str">
            <v>2</v>
          </cell>
          <cell r="F558" t="str">
            <v>7</v>
          </cell>
          <cell r="G558">
            <v>1</v>
          </cell>
          <cell r="H558">
            <v>15190809</v>
          </cell>
          <cell r="I558">
            <v>7</v>
          </cell>
          <cell r="J558">
            <v>671600</v>
          </cell>
          <cell r="K558">
            <v>1666000</v>
          </cell>
          <cell r="U558">
            <v>493</v>
          </cell>
          <cell r="AJ558">
            <v>51</v>
          </cell>
          <cell r="AK558">
            <v>5497200</v>
          </cell>
          <cell r="AN558">
            <v>117334000</v>
          </cell>
          <cell r="AO558">
            <v>12138000</v>
          </cell>
        </row>
        <row r="559">
          <cell r="A559" t="str">
            <v>X</v>
          </cell>
          <cell r="B559" t="str">
            <v>P</v>
          </cell>
          <cell r="C559" t="str">
            <v>의류</v>
          </cell>
          <cell r="E559" t="str">
            <v>2</v>
          </cell>
          <cell r="F559" t="str">
            <v>7</v>
          </cell>
          <cell r="G559">
            <v>1</v>
          </cell>
          <cell r="H559">
            <v>8511485</v>
          </cell>
          <cell r="I559">
            <v>17</v>
          </cell>
          <cell r="J559">
            <v>1473700</v>
          </cell>
          <cell r="K559">
            <v>3366000</v>
          </cell>
          <cell r="U559">
            <v>491</v>
          </cell>
          <cell r="AJ559">
            <v>103</v>
          </cell>
          <cell r="AK559">
            <v>9239700</v>
          </cell>
          <cell r="AN559">
            <v>97218000</v>
          </cell>
          <cell r="AO559">
            <v>20394000</v>
          </cell>
        </row>
        <row r="560">
          <cell r="A560" t="str">
            <v>X</v>
          </cell>
          <cell r="B560" t="str">
            <v>P</v>
          </cell>
          <cell r="C560" t="str">
            <v>의류</v>
          </cell>
          <cell r="E560" t="str">
            <v>2</v>
          </cell>
          <cell r="F560" t="str">
            <v>7</v>
          </cell>
          <cell r="G560">
            <v>0</v>
          </cell>
          <cell r="H560">
            <v>10366330</v>
          </cell>
          <cell r="I560">
            <v>22</v>
          </cell>
          <cell r="J560">
            <v>2028100</v>
          </cell>
          <cell r="K560">
            <v>4356000</v>
          </cell>
          <cell r="U560">
            <v>598</v>
          </cell>
          <cell r="AJ560">
            <v>186</v>
          </cell>
          <cell r="AK560">
            <v>16495350</v>
          </cell>
          <cell r="AN560">
            <v>118404000</v>
          </cell>
          <cell r="AO560">
            <v>36828000</v>
          </cell>
        </row>
        <row r="561">
          <cell r="A561" t="str">
            <v>X</v>
          </cell>
          <cell r="B561" t="str">
            <v>P</v>
          </cell>
          <cell r="C561" t="str">
            <v>의류</v>
          </cell>
          <cell r="E561" t="str">
            <v>2</v>
          </cell>
          <cell r="F561" t="str">
            <v>7</v>
          </cell>
          <cell r="G561">
            <v>1</v>
          </cell>
          <cell r="H561">
            <v>5434176</v>
          </cell>
          <cell r="I561">
            <v>16</v>
          </cell>
          <cell r="J561">
            <v>944000</v>
          </cell>
          <cell r="K561">
            <v>2528000</v>
          </cell>
          <cell r="U561">
            <v>341</v>
          </cell>
          <cell r="AJ561">
            <v>66</v>
          </cell>
          <cell r="AK561">
            <v>4497100</v>
          </cell>
          <cell r="AN561">
            <v>53878000</v>
          </cell>
          <cell r="AO561">
            <v>10428000</v>
          </cell>
        </row>
        <row r="562">
          <cell r="A562" t="str">
            <v>X</v>
          </cell>
          <cell r="B562" t="str">
            <v>P</v>
          </cell>
          <cell r="C562" t="str">
            <v>의류</v>
          </cell>
          <cell r="E562" t="str">
            <v>2</v>
          </cell>
          <cell r="F562" t="str">
            <v>7</v>
          </cell>
          <cell r="G562">
            <v>0</v>
          </cell>
          <cell r="H562">
            <v>10485888</v>
          </cell>
          <cell r="I562">
            <v>26</v>
          </cell>
          <cell r="J562">
            <v>1534000</v>
          </cell>
          <cell r="K562">
            <v>4108000</v>
          </cell>
          <cell r="U562">
            <v>658</v>
          </cell>
          <cell r="AJ562">
            <v>130</v>
          </cell>
          <cell r="AK562">
            <v>8704500</v>
          </cell>
          <cell r="AN562">
            <v>103964000</v>
          </cell>
          <cell r="AO562">
            <v>20540000</v>
          </cell>
        </row>
        <row r="563">
          <cell r="A563" t="str">
            <v>X</v>
          </cell>
          <cell r="B563" t="str">
            <v>P</v>
          </cell>
          <cell r="C563" t="str">
            <v>의류</v>
          </cell>
          <cell r="E563" t="str">
            <v>2</v>
          </cell>
          <cell r="F563" t="str">
            <v>7</v>
          </cell>
          <cell r="G563">
            <v>1</v>
          </cell>
          <cell r="H563">
            <v>6249450</v>
          </cell>
          <cell r="I563">
            <v>4</v>
          </cell>
          <cell r="J563">
            <v>236800</v>
          </cell>
          <cell r="K563">
            <v>512000</v>
          </cell>
          <cell r="U563">
            <v>366</v>
          </cell>
          <cell r="AJ563">
            <v>38</v>
          </cell>
          <cell r="AK563">
            <v>2244400</v>
          </cell>
          <cell r="AN563">
            <v>46848000</v>
          </cell>
          <cell r="AO563">
            <v>4864000</v>
          </cell>
        </row>
        <row r="564">
          <cell r="A564" t="str">
            <v>X</v>
          </cell>
          <cell r="B564" t="str">
            <v>P</v>
          </cell>
          <cell r="C564" t="str">
            <v>의류</v>
          </cell>
          <cell r="E564" t="str">
            <v>2</v>
          </cell>
          <cell r="F564" t="str">
            <v>7</v>
          </cell>
          <cell r="G564">
            <v>0</v>
          </cell>
          <cell r="H564">
            <v>4285825</v>
          </cell>
          <cell r="I564">
            <v>3</v>
          </cell>
          <cell r="J564">
            <v>135600</v>
          </cell>
          <cell r="K564">
            <v>384000</v>
          </cell>
          <cell r="U564">
            <v>251</v>
          </cell>
          <cell r="AJ564">
            <v>15</v>
          </cell>
          <cell r="AK564">
            <v>854400</v>
          </cell>
          <cell r="AN564">
            <v>32128000</v>
          </cell>
          <cell r="AO564">
            <v>1920000</v>
          </cell>
        </row>
        <row r="565">
          <cell r="A565" t="str">
            <v>X</v>
          </cell>
          <cell r="B565" t="str">
            <v>P</v>
          </cell>
          <cell r="C565" t="str">
            <v>의류</v>
          </cell>
          <cell r="E565" t="str">
            <v>1</v>
          </cell>
          <cell r="F565" t="str">
            <v>Q</v>
          </cell>
          <cell r="G565">
            <v>1</v>
          </cell>
          <cell r="H565">
            <v>4446456</v>
          </cell>
          <cell r="I565">
            <v>0</v>
          </cell>
          <cell r="J565">
            <v>0</v>
          </cell>
          <cell r="K565">
            <v>0</v>
          </cell>
          <cell r="U565">
            <v>228</v>
          </cell>
          <cell r="AJ565">
            <v>37</v>
          </cell>
          <cell r="AK565">
            <v>3245200</v>
          </cell>
          <cell r="AN565">
            <v>42864000</v>
          </cell>
          <cell r="AO565">
            <v>6956000</v>
          </cell>
        </row>
        <row r="566">
          <cell r="A566" t="str">
            <v>X</v>
          </cell>
          <cell r="B566" t="str">
            <v>P</v>
          </cell>
          <cell r="C566" t="str">
            <v>의류</v>
          </cell>
          <cell r="E566" t="str">
            <v>1</v>
          </cell>
          <cell r="F566" t="str">
            <v>Q</v>
          </cell>
          <cell r="G566">
            <v>0</v>
          </cell>
          <cell r="H566">
            <v>5616576</v>
          </cell>
          <cell r="I566">
            <v>0</v>
          </cell>
          <cell r="J566">
            <v>0</v>
          </cell>
          <cell r="K566">
            <v>0</v>
          </cell>
          <cell r="U566">
            <v>288</v>
          </cell>
          <cell r="AJ566">
            <v>31</v>
          </cell>
          <cell r="AK566">
            <v>2719400</v>
          </cell>
          <cell r="AN566">
            <v>54144000</v>
          </cell>
          <cell r="AO566">
            <v>5828000</v>
          </cell>
        </row>
        <row r="567">
          <cell r="A567" t="str">
            <v>X</v>
          </cell>
          <cell r="B567" t="str">
            <v>P</v>
          </cell>
          <cell r="C567" t="str">
            <v>의류</v>
          </cell>
          <cell r="E567" t="str">
            <v>2</v>
          </cell>
          <cell r="F567" t="str">
            <v>Q</v>
          </cell>
          <cell r="G567">
            <v>1</v>
          </cell>
          <cell r="H567">
            <v>4041324</v>
          </cell>
          <cell r="I567">
            <v>1</v>
          </cell>
          <cell r="J567">
            <v>69000</v>
          </cell>
          <cell r="K567">
            <v>198000</v>
          </cell>
          <cell r="U567">
            <v>203</v>
          </cell>
          <cell r="AJ567">
            <v>20</v>
          </cell>
          <cell r="AK567">
            <v>1830900</v>
          </cell>
          <cell r="AN567">
            <v>40194000</v>
          </cell>
          <cell r="AO567">
            <v>3960000</v>
          </cell>
        </row>
        <row r="568">
          <cell r="A568" t="str">
            <v>X</v>
          </cell>
          <cell r="B568" t="str">
            <v>P</v>
          </cell>
          <cell r="C568" t="str">
            <v>의류</v>
          </cell>
          <cell r="E568" t="str">
            <v>2</v>
          </cell>
          <cell r="F568" t="str">
            <v>Q</v>
          </cell>
          <cell r="G568">
            <v>1</v>
          </cell>
          <cell r="H568">
            <v>5373214</v>
          </cell>
          <cell r="I568">
            <v>1</v>
          </cell>
          <cell r="J568">
            <v>84600</v>
          </cell>
          <cell r="K568">
            <v>188000</v>
          </cell>
          <cell r="U568">
            <v>287</v>
          </cell>
          <cell r="AJ568">
            <v>10</v>
          </cell>
          <cell r="AK568">
            <v>881800</v>
          </cell>
          <cell r="AN568">
            <v>53956000</v>
          </cell>
          <cell r="AO568">
            <v>1880000</v>
          </cell>
        </row>
        <row r="569">
          <cell r="A569" t="str">
            <v>X</v>
          </cell>
          <cell r="B569" t="str">
            <v>P</v>
          </cell>
          <cell r="C569" t="str">
            <v>의류</v>
          </cell>
          <cell r="E569" t="str">
            <v>2</v>
          </cell>
          <cell r="F569" t="str">
            <v>Q</v>
          </cell>
          <cell r="G569">
            <v>0</v>
          </cell>
          <cell r="H569">
            <v>5897430</v>
          </cell>
          <cell r="I569">
            <v>1</v>
          </cell>
          <cell r="J569">
            <v>94000</v>
          </cell>
          <cell r="K569">
            <v>188000</v>
          </cell>
          <cell r="U569">
            <v>315</v>
          </cell>
          <cell r="AJ569">
            <v>22</v>
          </cell>
          <cell r="AK569">
            <v>1874000</v>
          </cell>
          <cell r="AN569">
            <v>59220000</v>
          </cell>
          <cell r="AO569">
            <v>4136000</v>
          </cell>
        </row>
        <row r="570">
          <cell r="A570" t="str">
            <v>X</v>
          </cell>
          <cell r="B570" t="str">
            <v>P</v>
          </cell>
          <cell r="C570" t="str">
            <v>의류</v>
          </cell>
          <cell r="E570" t="str">
            <v>1</v>
          </cell>
          <cell r="F570" t="str">
            <v>V</v>
          </cell>
          <cell r="G570">
            <v>1</v>
          </cell>
          <cell r="H570">
            <v>9377400</v>
          </cell>
          <cell r="I570">
            <v>3</v>
          </cell>
          <cell r="J570">
            <v>387000</v>
          </cell>
          <cell r="K570">
            <v>774000</v>
          </cell>
          <cell r="U570">
            <v>300</v>
          </cell>
          <cell r="AJ570">
            <v>168</v>
          </cell>
          <cell r="AK570">
            <v>20729550</v>
          </cell>
          <cell r="AN570">
            <v>77400000</v>
          </cell>
          <cell r="AO570">
            <v>43344000</v>
          </cell>
        </row>
        <row r="571">
          <cell r="A571" t="str">
            <v>X</v>
          </cell>
          <cell r="B571" t="str">
            <v>P</v>
          </cell>
          <cell r="C571" t="str">
            <v>의류</v>
          </cell>
          <cell r="E571" t="str">
            <v>1</v>
          </cell>
          <cell r="F571" t="str">
            <v>V</v>
          </cell>
          <cell r="G571">
            <v>0</v>
          </cell>
          <cell r="H571">
            <v>11190364</v>
          </cell>
          <cell r="I571">
            <v>-1</v>
          </cell>
          <cell r="J571">
            <v>-129000</v>
          </cell>
          <cell r="K571">
            <v>-258000</v>
          </cell>
          <cell r="U571">
            <v>358</v>
          </cell>
          <cell r="AJ571">
            <v>125</v>
          </cell>
          <cell r="AK571">
            <v>15296750</v>
          </cell>
          <cell r="AN571">
            <v>92364000</v>
          </cell>
          <cell r="AO571">
            <v>32250000</v>
          </cell>
        </row>
        <row r="572">
          <cell r="A572" t="str">
            <v>X</v>
          </cell>
          <cell r="B572" t="str">
            <v>P</v>
          </cell>
          <cell r="C572" t="str">
            <v>의류</v>
          </cell>
          <cell r="E572" t="str">
            <v>2</v>
          </cell>
          <cell r="F572" t="str">
            <v>V</v>
          </cell>
          <cell r="G572">
            <v>1</v>
          </cell>
          <cell r="H572">
            <v>9385280</v>
          </cell>
          <cell r="I572">
            <v>5</v>
          </cell>
          <cell r="J572">
            <v>523200</v>
          </cell>
          <cell r="K572">
            <v>1090000</v>
          </cell>
          <cell r="U572">
            <v>422</v>
          </cell>
          <cell r="AJ572">
            <v>49</v>
          </cell>
          <cell r="AK572">
            <v>5071100</v>
          </cell>
          <cell r="AN572">
            <v>91996000</v>
          </cell>
          <cell r="AO572">
            <v>10682000</v>
          </cell>
        </row>
        <row r="573">
          <cell r="A573" t="str">
            <v>X</v>
          </cell>
          <cell r="B573" t="str">
            <v>P</v>
          </cell>
          <cell r="C573" t="str">
            <v>의류</v>
          </cell>
          <cell r="E573" t="str">
            <v>2</v>
          </cell>
          <cell r="F573" t="str">
            <v>V</v>
          </cell>
          <cell r="G573">
            <v>0</v>
          </cell>
          <cell r="H573">
            <v>9452000</v>
          </cell>
          <cell r="I573">
            <v>12</v>
          </cell>
          <cell r="J573">
            <v>1141700</v>
          </cell>
          <cell r="K573">
            <v>2616000</v>
          </cell>
          <cell r="U573">
            <v>425</v>
          </cell>
          <cell r="AJ573">
            <v>148</v>
          </cell>
          <cell r="AK573">
            <v>15156800</v>
          </cell>
          <cell r="AN573">
            <v>92650000</v>
          </cell>
          <cell r="AO573">
            <v>32264000</v>
          </cell>
        </row>
        <row r="574">
          <cell r="A574" t="str">
            <v>X</v>
          </cell>
          <cell r="B574" t="str">
            <v>P</v>
          </cell>
          <cell r="C574" t="str">
            <v>의류</v>
          </cell>
          <cell r="E574" t="str">
            <v>2</v>
          </cell>
          <cell r="F574" t="str">
            <v>1</v>
          </cell>
          <cell r="G574">
            <v>1</v>
          </cell>
          <cell r="H574">
            <v>1481074</v>
          </cell>
          <cell r="I574">
            <v>3</v>
          </cell>
          <cell r="J574">
            <v>151200</v>
          </cell>
          <cell r="K574">
            <v>324000</v>
          </cell>
          <cell r="U574">
            <v>127</v>
          </cell>
          <cell r="AJ574">
            <v>66</v>
          </cell>
          <cell r="AK574">
            <v>3441600</v>
          </cell>
          <cell r="AN574">
            <v>13716000</v>
          </cell>
          <cell r="AO574">
            <v>7128000</v>
          </cell>
        </row>
        <row r="575">
          <cell r="A575" t="str">
            <v>X</v>
          </cell>
          <cell r="B575" t="str">
            <v>P</v>
          </cell>
          <cell r="C575" t="str">
            <v>의류</v>
          </cell>
          <cell r="E575" t="str">
            <v>2</v>
          </cell>
          <cell r="F575" t="str">
            <v>1</v>
          </cell>
          <cell r="G575">
            <v>1</v>
          </cell>
          <cell r="H575">
            <v>4048044</v>
          </cell>
          <cell r="I575">
            <v>4</v>
          </cell>
          <cell r="J575">
            <v>181300</v>
          </cell>
          <cell r="K575">
            <v>392000</v>
          </cell>
          <cell r="U575">
            <v>364</v>
          </cell>
          <cell r="AJ575">
            <v>140</v>
          </cell>
          <cell r="AK575">
            <v>6736700</v>
          </cell>
          <cell r="AN575">
            <v>35672000</v>
          </cell>
          <cell r="AO575">
            <v>13720000</v>
          </cell>
        </row>
        <row r="576">
          <cell r="A576" t="str">
            <v>X</v>
          </cell>
          <cell r="B576" t="str">
            <v>P</v>
          </cell>
          <cell r="C576" t="str">
            <v>의류</v>
          </cell>
          <cell r="E576" t="str">
            <v>2</v>
          </cell>
          <cell r="F576" t="str">
            <v>1</v>
          </cell>
          <cell r="G576">
            <v>0</v>
          </cell>
          <cell r="H576">
            <v>767349</v>
          </cell>
          <cell r="I576">
            <v>0</v>
          </cell>
          <cell r="J576">
            <v>0</v>
          </cell>
          <cell r="K576">
            <v>0</v>
          </cell>
          <cell r="U576">
            <v>69</v>
          </cell>
          <cell r="AJ576">
            <v>13</v>
          </cell>
          <cell r="AK576">
            <v>632100</v>
          </cell>
          <cell r="AN576">
            <v>6762000</v>
          </cell>
          <cell r="AO576">
            <v>1274000</v>
          </cell>
        </row>
        <row r="577">
          <cell r="A577" t="str">
            <v>X</v>
          </cell>
          <cell r="B577" t="str">
            <v>P</v>
          </cell>
          <cell r="C577" t="str">
            <v>의류</v>
          </cell>
          <cell r="E577" t="str">
            <v>2</v>
          </cell>
          <cell r="F577" t="str">
            <v>1</v>
          </cell>
          <cell r="G577">
            <v>0</v>
          </cell>
          <cell r="H577">
            <v>5071176</v>
          </cell>
          <cell r="I577">
            <v>1</v>
          </cell>
          <cell r="J577">
            <v>36750</v>
          </cell>
          <cell r="K577">
            <v>98000</v>
          </cell>
          <cell r="U577">
            <v>456</v>
          </cell>
          <cell r="AJ577">
            <v>112</v>
          </cell>
          <cell r="AK577">
            <v>5376750</v>
          </cell>
          <cell r="AN577">
            <v>44688000</v>
          </cell>
          <cell r="AO577">
            <v>10976000</v>
          </cell>
        </row>
        <row r="578">
          <cell r="A578" t="str">
            <v>X</v>
          </cell>
          <cell r="B578" t="str">
            <v>P</v>
          </cell>
          <cell r="C578" t="str">
            <v>의류</v>
          </cell>
          <cell r="E578" t="str">
            <v>2</v>
          </cell>
          <cell r="F578" t="str">
            <v>1</v>
          </cell>
          <cell r="G578">
            <v>1</v>
          </cell>
          <cell r="H578">
            <v>6803952</v>
          </cell>
          <cell r="I578">
            <v>18</v>
          </cell>
          <cell r="J578">
            <v>1048200</v>
          </cell>
          <cell r="K578">
            <v>2484000</v>
          </cell>
          <cell r="U578">
            <v>552</v>
          </cell>
          <cell r="AJ578">
            <v>258</v>
          </cell>
          <cell r="AK578">
            <v>16682600</v>
          </cell>
          <cell r="AN578">
            <v>76176000</v>
          </cell>
          <cell r="AO578">
            <v>35604000</v>
          </cell>
        </row>
        <row r="579">
          <cell r="A579" t="str">
            <v>X</v>
          </cell>
          <cell r="B579" t="str">
            <v>P</v>
          </cell>
          <cell r="C579" t="str">
            <v>의류</v>
          </cell>
          <cell r="E579" t="str">
            <v>2</v>
          </cell>
          <cell r="F579" t="str">
            <v>1</v>
          </cell>
          <cell r="G579">
            <v>1</v>
          </cell>
          <cell r="H579">
            <v>2445998</v>
          </cell>
          <cell r="I579">
            <v>4</v>
          </cell>
          <cell r="J579">
            <v>212400</v>
          </cell>
          <cell r="K579">
            <v>472000</v>
          </cell>
          <cell r="U579">
            <v>226</v>
          </cell>
          <cell r="AJ579">
            <v>49</v>
          </cell>
          <cell r="AK579">
            <v>2801500</v>
          </cell>
          <cell r="AN579">
            <v>26668000</v>
          </cell>
          <cell r="AO579">
            <v>5782000</v>
          </cell>
        </row>
        <row r="580">
          <cell r="A580" t="str">
            <v>X</v>
          </cell>
          <cell r="B580" t="str">
            <v>P</v>
          </cell>
          <cell r="C580" t="str">
            <v>의류</v>
          </cell>
          <cell r="E580" t="str">
            <v>2</v>
          </cell>
          <cell r="F580" t="str">
            <v>1</v>
          </cell>
          <cell r="G580">
            <v>1</v>
          </cell>
          <cell r="H580">
            <v>3430656</v>
          </cell>
          <cell r="I580">
            <v>1</v>
          </cell>
          <cell r="J580">
            <v>59000</v>
          </cell>
          <cell r="K580">
            <v>118000</v>
          </cell>
          <cell r="U580">
            <v>288</v>
          </cell>
          <cell r="AJ580">
            <v>-16</v>
          </cell>
          <cell r="AK580">
            <v>-949900</v>
          </cell>
          <cell r="AN580">
            <v>33984000</v>
          </cell>
          <cell r="AO580">
            <v>-1888000</v>
          </cell>
        </row>
        <row r="581">
          <cell r="A581" t="str">
            <v>X</v>
          </cell>
          <cell r="B581" t="str">
            <v>P</v>
          </cell>
          <cell r="C581" t="str">
            <v>의류</v>
          </cell>
          <cell r="E581" t="str">
            <v>2</v>
          </cell>
          <cell r="F581" t="str">
            <v>1</v>
          </cell>
          <cell r="G581">
            <v>0</v>
          </cell>
          <cell r="H581">
            <v>4931568</v>
          </cell>
          <cell r="I581">
            <v>7</v>
          </cell>
          <cell r="J581">
            <v>381200</v>
          </cell>
          <cell r="K581">
            <v>826000</v>
          </cell>
          <cell r="U581">
            <v>414</v>
          </cell>
          <cell r="AJ581">
            <v>81</v>
          </cell>
          <cell r="AK581">
            <v>4542800</v>
          </cell>
          <cell r="AN581">
            <v>48852000</v>
          </cell>
          <cell r="AO581">
            <v>9558000</v>
          </cell>
        </row>
        <row r="582">
          <cell r="A582" t="str">
            <v>X</v>
          </cell>
          <cell r="B582" t="str">
            <v>P</v>
          </cell>
          <cell r="C582" t="str">
            <v>의류</v>
          </cell>
          <cell r="E582" t="str">
            <v>2</v>
          </cell>
          <cell r="F582" t="str">
            <v>1</v>
          </cell>
          <cell r="G582">
            <v>1</v>
          </cell>
          <cell r="H582">
            <v>2839012</v>
          </cell>
          <cell r="I582">
            <v>1</v>
          </cell>
          <cell r="J582">
            <v>59000</v>
          </cell>
          <cell r="K582">
            <v>118000</v>
          </cell>
          <cell r="U582">
            <v>226</v>
          </cell>
          <cell r="AJ582">
            <v>106</v>
          </cell>
          <cell r="AK582">
            <v>6064500</v>
          </cell>
          <cell r="AN582">
            <v>26668000</v>
          </cell>
          <cell r="AO582">
            <v>12508000</v>
          </cell>
        </row>
        <row r="583">
          <cell r="A583" t="str">
            <v>X</v>
          </cell>
          <cell r="B583" t="str">
            <v>P</v>
          </cell>
          <cell r="C583" t="str">
            <v>의류</v>
          </cell>
          <cell r="E583" t="str">
            <v>1</v>
          </cell>
          <cell r="F583" t="str">
            <v>1</v>
          </cell>
          <cell r="G583">
            <v>1</v>
          </cell>
          <cell r="H583">
            <v>4061744</v>
          </cell>
          <cell r="I583">
            <v>-1</v>
          </cell>
          <cell r="J583">
            <v>-39000</v>
          </cell>
          <cell r="K583">
            <v>-108000</v>
          </cell>
          <cell r="U583">
            <v>304</v>
          </cell>
          <cell r="AJ583">
            <v>56</v>
          </cell>
          <cell r="AK583">
            <v>2665600</v>
          </cell>
          <cell r="AN583">
            <v>32832000</v>
          </cell>
          <cell r="AO583">
            <v>6048000</v>
          </cell>
        </row>
        <row r="584">
          <cell r="A584" t="str">
            <v>X</v>
          </cell>
          <cell r="B584" t="str">
            <v>P</v>
          </cell>
          <cell r="C584" t="str">
            <v>의류</v>
          </cell>
          <cell r="E584" t="str">
            <v>1</v>
          </cell>
          <cell r="F584" t="str">
            <v>1</v>
          </cell>
          <cell r="G584">
            <v>0</v>
          </cell>
          <cell r="H584">
            <v>5277595</v>
          </cell>
          <cell r="I584">
            <v>1</v>
          </cell>
          <cell r="J584">
            <v>39000</v>
          </cell>
          <cell r="K584">
            <v>108000</v>
          </cell>
          <cell r="U584">
            <v>395</v>
          </cell>
          <cell r="AJ584">
            <v>117</v>
          </cell>
          <cell r="AK584">
            <v>5318800</v>
          </cell>
          <cell r="AN584">
            <v>42660000</v>
          </cell>
          <cell r="AO584">
            <v>12636000</v>
          </cell>
        </row>
        <row r="585">
          <cell r="A585" t="str">
            <v>X</v>
          </cell>
          <cell r="B585" t="str">
            <v>P</v>
          </cell>
          <cell r="C585" t="str">
            <v>의류</v>
          </cell>
          <cell r="E585" t="str">
            <v>1</v>
          </cell>
          <cell r="F585" t="str">
            <v>1</v>
          </cell>
          <cell r="G585">
            <v>1</v>
          </cell>
          <cell r="H585">
            <v>5758643</v>
          </cell>
          <cell r="I585">
            <v>1</v>
          </cell>
          <cell r="J585">
            <v>59000</v>
          </cell>
          <cell r="K585">
            <v>118000</v>
          </cell>
          <cell r="U585">
            <v>407</v>
          </cell>
          <cell r="AJ585">
            <v>178</v>
          </cell>
          <cell r="AK585">
            <v>9909400</v>
          </cell>
          <cell r="AN585">
            <v>48026000</v>
          </cell>
          <cell r="AO585">
            <v>21004000</v>
          </cell>
        </row>
        <row r="586">
          <cell r="A586" t="str">
            <v>X</v>
          </cell>
          <cell r="B586" t="str">
            <v>P</v>
          </cell>
          <cell r="C586" t="str">
            <v>의류</v>
          </cell>
          <cell r="E586" t="str">
            <v>1</v>
          </cell>
          <cell r="F586" t="str">
            <v>1</v>
          </cell>
          <cell r="G586">
            <v>0</v>
          </cell>
          <cell r="H586">
            <v>3961720</v>
          </cell>
          <cell r="I586">
            <v>0</v>
          </cell>
          <cell r="J586">
            <v>0</v>
          </cell>
          <cell r="K586">
            <v>0</v>
          </cell>
          <cell r="U586">
            <v>280</v>
          </cell>
          <cell r="AJ586">
            <v>84</v>
          </cell>
          <cell r="AK586">
            <v>4748800</v>
          </cell>
          <cell r="AN586">
            <v>33040000</v>
          </cell>
          <cell r="AO586">
            <v>9912000</v>
          </cell>
        </row>
        <row r="587">
          <cell r="A587" t="str">
            <v>X</v>
          </cell>
          <cell r="B587" t="str">
            <v>P</v>
          </cell>
          <cell r="C587" t="str">
            <v>의류</v>
          </cell>
          <cell r="E587" t="str">
            <v>1</v>
          </cell>
          <cell r="F587" t="str">
            <v>1</v>
          </cell>
          <cell r="G587">
            <v>1</v>
          </cell>
          <cell r="H587">
            <v>6102939</v>
          </cell>
          <cell r="I587">
            <v>1</v>
          </cell>
          <cell r="J587">
            <v>62100</v>
          </cell>
          <cell r="K587">
            <v>138000</v>
          </cell>
          <cell r="U587">
            <v>411</v>
          </cell>
          <cell r="AJ587">
            <v>141</v>
          </cell>
          <cell r="AK587">
            <v>9397250</v>
          </cell>
          <cell r="AN587">
            <v>56718000</v>
          </cell>
          <cell r="AO587">
            <v>19458000</v>
          </cell>
        </row>
        <row r="588">
          <cell r="A588" t="str">
            <v>X</v>
          </cell>
          <cell r="B588" t="str">
            <v>P</v>
          </cell>
          <cell r="C588" t="str">
            <v>의류</v>
          </cell>
          <cell r="E588" t="str">
            <v>2</v>
          </cell>
          <cell r="F588" t="str">
            <v>1</v>
          </cell>
          <cell r="G588">
            <v>1</v>
          </cell>
          <cell r="H588">
            <v>4493974</v>
          </cell>
          <cell r="I588">
            <v>6</v>
          </cell>
          <cell r="J588">
            <v>284200</v>
          </cell>
          <cell r="K588">
            <v>588000</v>
          </cell>
          <cell r="U588">
            <v>358</v>
          </cell>
          <cell r="AJ588">
            <v>115</v>
          </cell>
          <cell r="AK588">
            <v>5426000</v>
          </cell>
          <cell r="AN588">
            <v>35084000</v>
          </cell>
          <cell r="AO588">
            <v>11270000</v>
          </cell>
        </row>
        <row r="589">
          <cell r="A589" t="str">
            <v>X</v>
          </cell>
          <cell r="B589" t="str">
            <v>P</v>
          </cell>
          <cell r="C589" t="str">
            <v>의류</v>
          </cell>
          <cell r="E589" t="str">
            <v>2</v>
          </cell>
          <cell r="F589" t="str">
            <v>1</v>
          </cell>
          <cell r="G589">
            <v>0</v>
          </cell>
          <cell r="H589">
            <v>5510767</v>
          </cell>
          <cell r="I589">
            <v>8</v>
          </cell>
          <cell r="J589">
            <v>387100</v>
          </cell>
          <cell r="K589">
            <v>784000</v>
          </cell>
          <cell r="U589">
            <v>439</v>
          </cell>
          <cell r="AJ589">
            <v>166</v>
          </cell>
          <cell r="AK589">
            <v>7915200</v>
          </cell>
          <cell r="AN589">
            <v>43022000</v>
          </cell>
          <cell r="AO589">
            <v>16268000</v>
          </cell>
        </row>
        <row r="590">
          <cell r="A590" t="str">
            <v>X</v>
          </cell>
          <cell r="B590" t="str">
            <v>P</v>
          </cell>
          <cell r="C590" t="str">
            <v>의류</v>
          </cell>
          <cell r="E590" t="str">
            <v>2</v>
          </cell>
          <cell r="F590" t="str">
            <v>1</v>
          </cell>
          <cell r="G590">
            <v>1</v>
          </cell>
          <cell r="H590">
            <v>8380878</v>
          </cell>
          <cell r="I590">
            <v>3</v>
          </cell>
          <cell r="J590">
            <v>141100</v>
          </cell>
          <cell r="K590">
            <v>354000</v>
          </cell>
          <cell r="U590">
            <v>506</v>
          </cell>
          <cell r="AJ590">
            <v>106</v>
          </cell>
          <cell r="AK590">
            <v>5991050</v>
          </cell>
          <cell r="AN590">
            <v>59708000</v>
          </cell>
          <cell r="AO590">
            <v>12508000</v>
          </cell>
        </row>
        <row r="591">
          <cell r="A591" t="str">
            <v>X</v>
          </cell>
          <cell r="B591" t="str">
            <v>P</v>
          </cell>
          <cell r="C591" t="str">
            <v>의류</v>
          </cell>
          <cell r="E591" t="str">
            <v>2</v>
          </cell>
          <cell r="F591" t="str">
            <v>1</v>
          </cell>
          <cell r="G591">
            <v>0</v>
          </cell>
          <cell r="H591">
            <v>6525822</v>
          </cell>
          <cell r="I591">
            <v>1</v>
          </cell>
          <cell r="J591">
            <v>33100</v>
          </cell>
          <cell r="K591">
            <v>118000</v>
          </cell>
          <cell r="U591">
            <v>394</v>
          </cell>
          <cell r="AJ591">
            <v>90</v>
          </cell>
          <cell r="AK591">
            <v>5104900</v>
          </cell>
          <cell r="AN591">
            <v>46492000</v>
          </cell>
          <cell r="AO591">
            <v>10620000</v>
          </cell>
        </row>
        <row r="592">
          <cell r="A592" t="str">
            <v>X</v>
          </cell>
          <cell r="B592" t="str">
            <v>P</v>
          </cell>
          <cell r="C592" t="str">
            <v>의류</v>
          </cell>
          <cell r="E592" t="str">
            <v>2</v>
          </cell>
          <cell r="F592" t="str">
            <v>1</v>
          </cell>
          <cell r="G592">
            <v>1</v>
          </cell>
          <cell r="H592">
            <v>6368551</v>
          </cell>
          <cell r="I592">
            <v>2</v>
          </cell>
          <cell r="J592">
            <v>124200</v>
          </cell>
          <cell r="K592">
            <v>276000</v>
          </cell>
          <cell r="U592">
            <v>367</v>
          </cell>
          <cell r="AJ592">
            <v>81</v>
          </cell>
          <cell r="AK592">
            <v>5265500</v>
          </cell>
          <cell r="AN592">
            <v>50646000</v>
          </cell>
          <cell r="AO592">
            <v>11178000</v>
          </cell>
        </row>
        <row r="593">
          <cell r="A593" t="str">
            <v>X</v>
          </cell>
          <cell r="B593" t="str">
            <v>P</v>
          </cell>
          <cell r="C593" t="str">
            <v>의류</v>
          </cell>
          <cell r="E593" t="str">
            <v>2</v>
          </cell>
          <cell r="F593" t="str">
            <v>1</v>
          </cell>
          <cell r="G593">
            <v>1</v>
          </cell>
          <cell r="H593">
            <v>4173564</v>
          </cell>
          <cell r="I593">
            <v>8</v>
          </cell>
          <cell r="J593">
            <v>372400</v>
          </cell>
          <cell r="K593">
            <v>784000</v>
          </cell>
          <cell r="U593">
            <v>402</v>
          </cell>
          <cell r="AJ593">
            <v>121</v>
          </cell>
          <cell r="AK593">
            <v>5724700</v>
          </cell>
          <cell r="AN593">
            <v>39396000</v>
          </cell>
          <cell r="AO593">
            <v>11858000</v>
          </cell>
        </row>
        <row r="594">
          <cell r="A594" t="str">
            <v>X</v>
          </cell>
          <cell r="B594" t="str">
            <v>P</v>
          </cell>
          <cell r="C594" t="str">
            <v>의류</v>
          </cell>
          <cell r="E594" t="str">
            <v>2</v>
          </cell>
          <cell r="F594" t="str">
            <v>1</v>
          </cell>
          <cell r="G594">
            <v>1</v>
          </cell>
          <cell r="H594">
            <v>5111280</v>
          </cell>
          <cell r="I594">
            <v>8</v>
          </cell>
          <cell r="J594">
            <v>300300</v>
          </cell>
          <cell r="K594">
            <v>624000</v>
          </cell>
          <cell r="U594">
            <v>496</v>
          </cell>
          <cell r="AJ594">
            <v>170</v>
          </cell>
          <cell r="AK594">
            <v>6517600</v>
          </cell>
          <cell r="AN594">
            <v>38688000</v>
          </cell>
          <cell r="AO594">
            <v>13260000</v>
          </cell>
        </row>
        <row r="595">
          <cell r="A595" t="str">
            <v>X</v>
          </cell>
          <cell r="B595" t="str">
            <v>P</v>
          </cell>
          <cell r="C595" t="str">
            <v>의류</v>
          </cell>
          <cell r="E595" t="str">
            <v>2</v>
          </cell>
          <cell r="F595" t="str">
            <v>1</v>
          </cell>
          <cell r="G595">
            <v>0</v>
          </cell>
          <cell r="H595">
            <v>5111280</v>
          </cell>
          <cell r="I595">
            <v>6</v>
          </cell>
          <cell r="J595">
            <v>210100</v>
          </cell>
          <cell r="K595">
            <v>468000</v>
          </cell>
          <cell r="U595">
            <v>496</v>
          </cell>
          <cell r="AJ595">
            <v>109</v>
          </cell>
          <cell r="AK595">
            <v>4075900</v>
          </cell>
          <cell r="AN595">
            <v>38688000</v>
          </cell>
          <cell r="AO595">
            <v>8502000</v>
          </cell>
        </row>
        <row r="596">
          <cell r="A596" t="str">
            <v>X</v>
          </cell>
          <cell r="B596" t="str">
            <v>P</v>
          </cell>
          <cell r="C596" t="str">
            <v>의류</v>
          </cell>
          <cell r="E596" t="str">
            <v>2</v>
          </cell>
          <cell r="F596" t="str">
            <v>1</v>
          </cell>
          <cell r="G596">
            <v>1</v>
          </cell>
          <cell r="H596">
            <v>4488045</v>
          </cell>
          <cell r="I596">
            <v>16</v>
          </cell>
          <cell r="J596">
            <v>568900</v>
          </cell>
          <cell r="K596">
            <v>1248000</v>
          </cell>
          <cell r="U596">
            <v>433</v>
          </cell>
          <cell r="AJ596">
            <v>183</v>
          </cell>
          <cell r="AK596">
            <v>6793695</v>
          </cell>
          <cell r="AN596">
            <v>33774000</v>
          </cell>
          <cell r="AO596">
            <v>14274000</v>
          </cell>
        </row>
        <row r="597">
          <cell r="A597" t="str">
            <v>X</v>
          </cell>
          <cell r="B597" t="str">
            <v>P</v>
          </cell>
          <cell r="C597" t="str">
            <v>의류</v>
          </cell>
          <cell r="E597" t="str">
            <v>2</v>
          </cell>
          <cell r="F597" t="str">
            <v>1</v>
          </cell>
          <cell r="G597">
            <v>0</v>
          </cell>
          <cell r="H597">
            <v>8488935</v>
          </cell>
          <cell r="I597">
            <v>46</v>
          </cell>
          <cell r="J597">
            <v>1731600</v>
          </cell>
          <cell r="K597">
            <v>3588000</v>
          </cell>
          <cell r="U597">
            <v>819</v>
          </cell>
          <cell r="AJ597">
            <v>528</v>
          </cell>
          <cell r="AK597">
            <v>19696835</v>
          </cell>
          <cell r="AN597">
            <v>63882000</v>
          </cell>
          <cell r="AO597">
            <v>41184000</v>
          </cell>
        </row>
        <row r="598">
          <cell r="A598" t="str">
            <v>X</v>
          </cell>
          <cell r="B598" t="str">
            <v>P</v>
          </cell>
          <cell r="C598" t="str">
            <v>의류</v>
          </cell>
          <cell r="E598" t="str">
            <v>2</v>
          </cell>
          <cell r="F598" t="str">
            <v>1</v>
          </cell>
          <cell r="G598">
            <v>0</v>
          </cell>
          <cell r="H598">
            <v>3047310</v>
          </cell>
          <cell r="I598">
            <v>19</v>
          </cell>
          <cell r="J598">
            <v>697600</v>
          </cell>
          <cell r="K598">
            <v>1482000</v>
          </cell>
          <cell r="U598">
            <v>294</v>
          </cell>
          <cell r="AJ598">
            <v>93</v>
          </cell>
          <cell r="AK598">
            <v>3456600</v>
          </cell>
          <cell r="AN598">
            <v>22932000</v>
          </cell>
          <cell r="AO598">
            <v>7254000</v>
          </cell>
        </row>
        <row r="599">
          <cell r="A599" t="str">
            <v>X</v>
          </cell>
          <cell r="B599" t="str">
            <v>P</v>
          </cell>
          <cell r="C599" t="str">
            <v>의류</v>
          </cell>
          <cell r="E599" t="str">
            <v>2</v>
          </cell>
          <cell r="F599" t="str">
            <v>1</v>
          </cell>
          <cell r="G599">
            <v>1</v>
          </cell>
          <cell r="H599">
            <v>5486825</v>
          </cell>
          <cell r="I599">
            <v>5</v>
          </cell>
          <cell r="J599">
            <v>245000</v>
          </cell>
          <cell r="K599">
            <v>490000</v>
          </cell>
          <cell r="U599">
            <v>505</v>
          </cell>
          <cell r="AJ599">
            <v>35</v>
          </cell>
          <cell r="AK599">
            <v>1685600</v>
          </cell>
          <cell r="AN599">
            <v>49490000</v>
          </cell>
          <cell r="AO599">
            <v>3430000</v>
          </cell>
        </row>
        <row r="600">
          <cell r="A600" t="str">
            <v>X</v>
          </cell>
          <cell r="B600" t="str">
            <v>P</v>
          </cell>
          <cell r="C600" t="str">
            <v>의류</v>
          </cell>
          <cell r="E600" t="str">
            <v>2</v>
          </cell>
          <cell r="F600" t="str">
            <v>1</v>
          </cell>
          <cell r="G600">
            <v>0</v>
          </cell>
          <cell r="H600">
            <v>4335135</v>
          </cell>
          <cell r="I600">
            <v>1</v>
          </cell>
          <cell r="J600">
            <v>44100</v>
          </cell>
          <cell r="K600">
            <v>98000</v>
          </cell>
          <cell r="U600">
            <v>399</v>
          </cell>
          <cell r="AJ600">
            <v>18</v>
          </cell>
          <cell r="AK600">
            <v>807500</v>
          </cell>
          <cell r="AN600">
            <v>39102000</v>
          </cell>
          <cell r="AO600">
            <v>1764000</v>
          </cell>
        </row>
        <row r="601">
          <cell r="A601" t="str">
            <v>X</v>
          </cell>
          <cell r="B601" t="str">
            <v>P</v>
          </cell>
          <cell r="C601" t="str">
            <v>의류</v>
          </cell>
          <cell r="E601" t="str">
            <v>2</v>
          </cell>
          <cell r="F601" t="str">
            <v>1</v>
          </cell>
          <cell r="G601">
            <v>1</v>
          </cell>
          <cell r="H601">
            <v>6329337</v>
          </cell>
          <cell r="I601">
            <v>2</v>
          </cell>
          <cell r="J601">
            <v>106200</v>
          </cell>
          <cell r="K601">
            <v>236000</v>
          </cell>
          <cell r="U601">
            <v>399</v>
          </cell>
          <cell r="AJ601">
            <v>49</v>
          </cell>
          <cell r="AK601">
            <v>2532500</v>
          </cell>
          <cell r="AN601">
            <v>47082000</v>
          </cell>
          <cell r="AO601">
            <v>5782000</v>
          </cell>
        </row>
        <row r="602">
          <cell r="A602" t="str">
            <v>X</v>
          </cell>
          <cell r="B602" t="str">
            <v>P</v>
          </cell>
          <cell r="C602" t="str">
            <v>의류</v>
          </cell>
          <cell r="E602" t="str">
            <v>2</v>
          </cell>
          <cell r="F602" t="str">
            <v>1</v>
          </cell>
          <cell r="G602">
            <v>0</v>
          </cell>
          <cell r="H602">
            <v>7693555</v>
          </cell>
          <cell r="I602">
            <v>7</v>
          </cell>
          <cell r="J602">
            <v>365300</v>
          </cell>
          <cell r="K602">
            <v>826000</v>
          </cell>
          <cell r="U602">
            <v>485</v>
          </cell>
          <cell r="AJ602">
            <v>63</v>
          </cell>
          <cell r="AK602">
            <v>3285900</v>
          </cell>
          <cell r="AN602">
            <v>57230000</v>
          </cell>
          <cell r="AO602">
            <v>7434000</v>
          </cell>
        </row>
        <row r="603">
          <cell r="A603" t="str">
            <v>X</v>
          </cell>
          <cell r="B603" t="str">
            <v>P</v>
          </cell>
          <cell r="C603" t="str">
            <v>의류</v>
          </cell>
          <cell r="E603" t="str">
            <v>2</v>
          </cell>
          <cell r="F603" t="str">
            <v>1</v>
          </cell>
          <cell r="G603">
            <v>1</v>
          </cell>
          <cell r="H603">
            <v>4303332</v>
          </cell>
          <cell r="I603">
            <v>5</v>
          </cell>
          <cell r="J603">
            <v>195400</v>
          </cell>
          <cell r="K603">
            <v>490000</v>
          </cell>
          <cell r="U603">
            <v>396</v>
          </cell>
          <cell r="AJ603">
            <v>70</v>
          </cell>
          <cell r="AK603">
            <v>3172400</v>
          </cell>
          <cell r="AN603">
            <v>38808000</v>
          </cell>
          <cell r="AO603">
            <v>6860000</v>
          </cell>
        </row>
        <row r="604">
          <cell r="A604" t="str">
            <v>X</v>
          </cell>
          <cell r="B604" t="str">
            <v>P</v>
          </cell>
          <cell r="C604" t="str">
            <v>의류</v>
          </cell>
          <cell r="E604" t="str">
            <v>2</v>
          </cell>
          <cell r="F604" t="str">
            <v>1</v>
          </cell>
          <cell r="G604">
            <v>0</v>
          </cell>
          <cell r="H604">
            <v>4477204</v>
          </cell>
          <cell r="I604">
            <v>2</v>
          </cell>
          <cell r="J604">
            <v>63100</v>
          </cell>
          <cell r="K604">
            <v>196000</v>
          </cell>
          <cell r="U604">
            <v>412</v>
          </cell>
          <cell r="AJ604">
            <v>40</v>
          </cell>
          <cell r="AK604">
            <v>1826300</v>
          </cell>
          <cell r="AN604">
            <v>40376000</v>
          </cell>
          <cell r="AO604">
            <v>3920000</v>
          </cell>
        </row>
        <row r="605">
          <cell r="A605" t="str">
            <v>X</v>
          </cell>
          <cell r="B605" t="str">
            <v>P</v>
          </cell>
          <cell r="C605" t="str">
            <v>의류</v>
          </cell>
          <cell r="E605" t="str">
            <v>1</v>
          </cell>
          <cell r="F605" t="str">
            <v>5</v>
          </cell>
          <cell r="G605">
            <v>1</v>
          </cell>
          <cell r="H605">
            <v>7122150</v>
          </cell>
          <cell r="I605">
            <v>2</v>
          </cell>
          <cell r="J605">
            <v>218000</v>
          </cell>
          <cell r="K605">
            <v>516000</v>
          </cell>
          <cell r="U605">
            <v>350</v>
          </cell>
          <cell r="AJ605">
            <v>46</v>
          </cell>
          <cell r="AK605">
            <v>5577600</v>
          </cell>
          <cell r="AN605">
            <v>90300000</v>
          </cell>
          <cell r="AO605">
            <v>11868000</v>
          </cell>
        </row>
        <row r="606">
          <cell r="A606" t="str">
            <v>X</v>
          </cell>
          <cell r="B606" t="str">
            <v>P</v>
          </cell>
          <cell r="C606" t="str">
            <v>의류</v>
          </cell>
          <cell r="E606" t="str">
            <v>2</v>
          </cell>
          <cell r="F606" t="str">
            <v>6</v>
          </cell>
          <cell r="G606">
            <v>1</v>
          </cell>
          <cell r="H606">
            <v>14291782</v>
          </cell>
          <cell r="I606">
            <v>6</v>
          </cell>
          <cell r="J606">
            <v>789300</v>
          </cell>
          <cell r="K606">
            <v>1788000</v>
          </cell>
          <cell r="U606">
            <v>398</v>
          </cell>
          <cell r="AJ606">
            <v>127</v>
          </cell>
          <cell r="AK606">
            <v>17386450</v>
          </cell>
          <cell r="AN606">
            <v>118604000</v>
          </cell>
          <cell r="AO606">
            <v>37846000</v>
          </cell>
        </row>
        <row r="607">
          <cell r="A607" t="str">
            <v>X</v>
          </cell>
          <cell r="B607" t="str">
            <v>P</v>
          </cell>
          <cell r="C607" t="str">
            <v>의류</v>
          </cell>
          <cell r="E607" t="str">
            <v>2</v>
          </cell>
          <cell r="F607" t="str">
            <v>6</v>
          </cell>
          <cell r="G607">
            <v>0</v>
          </cell>
          <cell r="H607">
            <v>14291782</v>
          </cell>
          <cell r="I607">
            <v>6</v>
          </cell>
          <cell r="J607">
            <v>729100</v>
          </cell>
          <cell r="K607">
            <v>1788000</v>
          </cell>
          <cell r="U607">
            <v>398</v>
          </cell>
          <cell r="AJ607">
            <v>73</v>
          </cell>
          <cell r="AK607">
            <v>10278800</v>
          </cell>
          <cell r="AN607">
            <v>118604000</v>
          </cell>
          <cell r="AO607">
            <v>21754000</v>
          </cell>
        </row>
        <row r="608">
          <cell r="A608" t="str">
            <v>X</v>
          </cell>
          <cell r="B608" t="str">
            <v>P</v>
          </cell>
          <cell r="C608" t="str">
            <v>의류</v>
          </cell>
          <cell r="E608" t="str">
            <v>1</v>
          </cell>
          <cell r="F608" t="str">
            <v>7</v>
          </cell>
          <cell r="G608">
            <v>1</v>
          </cell>
          <cell r="H608">
            <v>12220960</v>
          </cell>
          <cell r="I608">
            <v>2</v>
          </cell>
          <cell r="J608">
            <v>202300</v>
          </cell>
          <cell r="K608">
            <v>476000</v>
          </cell>
          <cell r="U608">
            <v>544</v>
          </cell>
          <cell r="AJ608">
            <v>192</v>
          </cell>
          <cell r="AK608">
            <v>21559700</v>
          </cell>
          <cell r="AN608">
            <v>129472000</v>
          </cell>
          <cell r="AO608">
            <v>45696000</v>
          </cell>
        </row>
        <row r="609">
          <cell r="A609" t="str">
            <v>X</v>
          </cell>
          <cell r="B609" t="str">
            <v>P</v>
          </cell>
          <cell r="C609" t="str">
            <v>의류</v>
          </cell>
          <cell r="E609" t="str">
            <v>1</v>
          </cell>
          <cell r="F609" t="str">
            <v>7</v>
          </cell>
          <cell r="G609">
            <v>0</v>
          </cell>
          <cell r="H609">
            <v>11839055</v>
          </cell>
          <cell r="I609">
            <v>1</v>
          </cell>
          <cell r="J609">
            <v>119000</v>
          </cell>
          <cell r="K609">
            <v>238000</v>
          </cell>
          <cell r="U609">
            <v>527</v>
          </cell>
          <cell r="AJ609">
            <v>128</v>
          </cell>
          <cell r="AK609">
            <v>14327900</v>
          </cell>
          <cell r="AN609">
            <v>125426000</v>
          </cell>
          <cell r="AO609">
            <v>30464000</v>
          </cell>
        </row>
        <row r="610">
          <cell r="A610" t="str">
            <v>X</v>
          </cell>
          <cell r="B610" t="str">
            <v>P</v>
          </cell>
          <cell r="C610" t="str">
            <v>의류</v>
          </cell>
          <cell r="E610" t="str">
            <v>1</v>
          </cell>
          <cell r="F610" t="str">
            <v>7</v>
          </cell>
          <cell r="G610">
            <v>1</v>
          </cell>
          <cell r="H610">
            <v>7403616</v>
          </cell>
          <cell r="I610">
            <v>0</v>
          </cell>
          <cell r="J610">
            <v>0</v>
          </cell>
          <cell r="K610">
            <v>0</v>
          </cell>
          <cell r="U610">
            <v>418</v>
          </cell>
          <cell r="AJ610">
            <v>70</v>
          </cell>
          <cell r="AK610">
            <v>5777600</v>
          </cell>
          <cell r="AN610">
            <v>74404000</v>
          </cell>
          <cell r="AO610">
            <v>12460000</v>
          </cell>
        </row>
        <row r="611">
          <cell r="A611" t="str">
            <v>X</v>
          </cell>
          <cell r="B611" t="str">
            <v>P</v>
          </cell>
          <cell r="C611" t="str">
            <v>의류</v>
          </cell>
          <cell r="E611" t="str">
            <v>1</v>
          </cell>
          <cell r="F611" t="str">
            <v>7</v>
          </cell>
          <cell r="G611">
            <v>1</v>
          </cell>
          <cell r="H611">
            <v>9435480</v>
          </cell>
          <cell r="I611">
            <v>3</v>
          </cell>
          <cell r="J611">
            <v>257100</v>
          </cell>
          <cell r="K611">
            <v>594000</v>
          </cell>
          <cell r="U611">
            <v>488</v>
          </cell>
          <cell r="AJ611">
            <v>100</v>
          </cell>
          <cell r="AK611">
            <v>9213300</v>
          </cell>
          <cell r="AN611">
            <v>96624000</v>
          </cell>
          <cell r="AO611">
            <v>19800000</v>
          </cell>
        </row>
        <row r="612">
          <cell r="A612" t="str">
            <v>X</v>
          </cell>
          <cell r="B612" t="str">
            <v>P</v>
          </cell>
          <cell r="C612" t="str">
            <v>의류</v>
          </cell>
          <cell r="E612" t="str">
            <v>1</v>
          </cell>
          <cell r="F612" t="str">
            <v>7</v>
          </cell>
          <cell r="G612">
            <v>1</v>
          </cell>
          <cell r="H612">
            <v>8297871</v>
          </cell>
          <cell r="I612">
            <v>2</v>
          </cell>
          <cell r="J612">
            <v>106200</v>
          </cell>
          <cell r="K612">
            <v>236000</v>
          </cell>
          <cell r="U612">
            <v>499</v>
          </cell>
          <cell r="AJ612">
            <v>289</v>
          </cell>
          <cell r="AK612">
            <v>16097150</v>
          </cell>
          <cell r="AN612">
            <v>58882000</v>
          </cell>
          <cell r="AO612">
            <v>34102000</v>
          </cell>
        </row>
        <row r="613">
          <cell r="A613" t="str">
            <v>X</v>
          </cell>
          <cell r="B613" t="str">
            <v>P</v>
          </cell>
          <cell r="C613" t="str">
            <v>의류</v>
          </cell>
          <cell r="E613" t="str">
            <v>2</v>
          </cell>
          <cell r="F613" t="str">
            <v>7</v>
          </cell>
          <cell r="G613">
            <v>1</v>
          </cell>
          <cell r="H613">
            <v>8967987</v>
          </cell>
          <cell r="I613">
            <v>4</v>
          </cell>
          <cell r="J613">
            <v>326200</v>
          </cell>
          <cell r="K613">
            <v>792000</v>
          </cell>
          <cell r="U613">
            <v>503</v>
          </cell>
          <cell r="AJ613">
            <v>117</v>
          </cell>
          <cell r="AK613">
            <v>10755500</v>
          </cell>
          <cell r="AN613">
            <v>99594000</v>
          </cell>
          <cell r="AO613">
            <v>23166000</v>
          </cell>
        </row>
        <row r="614">
          <cell r="A614" t="str">
            <v>X</v>
          </cell>
          <cell r="B614" t="str">
            <v>P</v>
          </cell>
          <cell r="C614" t="str">
            <v>의류</v>
          </cell>
          <cell r="E614" t="str">
            <v>2</v>
          </cell>
          <cell r="F614" t="str">
            <v>7</v>
          </cell>
          <cell r="G614">
            <v>0</v>
          </cell>
          <cell r="H614">
            <v>7898247</v>
          </cell>
          <cell r="I614">
            <v>6</v>
          </cell>
          <cell r="J614">
            <v>474300</v>
          </cell>
          <cell r="K614">
            <v>1188000</v>
          </cell>
          <cell r="U614">
            <v>443</v>
          </cell>
          <cell r="AJ614">
            <v>133</v>
          </cell>
          <cell r="AK614">
            <v>12219900</v>
          </cell>
          <cell r="AN614">
            <v>87714000</v>
          </cell>
          <cell r="AO614">
            <v>26334000</v>
          </cell>
        </row>
        <row r="615">
          <cell r="A615" t="str">
            <v>X</v>
          </cell>
          <cell r="B615" t="str">
            <v>P</v>
          </cell>
          <cell r="C615" t="str">
            <v>의류</v>
          </cell>
          <cell r="E615" t="str">
            <v>2</v>
          </cell>
          <cell r="F615" t="str">
            <v>7</v>
          </cell>
          <cell r="G615">
            <v>1</v>
          </cell>
          <cell r="H615">
            <v>9211488</v>
          </cell>
          <cell r="I615">
            <v>13</v>
          </cell>
          <cell r="J615">
            <v>962000</v>
          </cell>
          <cell r="K615">
            <v>2444000</v>
          </cell>
          <cell r="U615">
            <v>572</v>
          </cell>
          <cell r="AJ615">
            <v>125</v>
          </cell>
          <cell r="AK615">
            <v>10118700</v>
          </cell>
          <cell r="AN615">
            <v>107536000</v>
          </cell>
          <cell r="AO615">
            <v>23500000</v>
          </cell>
        </row>
        <row r="616">
          <cell r="A616" t="str">
            <v>X</v>
          </cell>
          <cell r="B616" t="str">
            <v>P</v>
          </cell>
          <cell r="C616" t="str">
            <v>의류</v>
          </cell>
          <cell r="E616" t="str">
            <v>2</v>
          </cell>
          <cell r="F616" t="str">
            <v>7</v>
          </cell>
          <cell r="G616">
            <v>0</v>
          </cell>
          <cell r="H616">
            <v>9018240</v>
          </cell>
          <cell r="I616">
            <v>10</v>
          </cell>
          <cell r="J616">
            <v>740000</v>
          </cell>
          <cell r="K616">
            <v>1880000</v>
          </cell>
          <cell r="U616">
            <v>560</v>
          </cell>
          <cell r="AJ616">
            <v>84</v>
          </cell>
          <cell r="AK616">
            <v>6906100</v>
          </cell>
          <cell r="AN616">
            <v>105280000</v>
          </cell>
          <cell r="AO616">
            <v>15792000</v>
          </cell>
        </row>
        <row r="617">
          <cell r="A617" t="str">
            <v>X</v>
          </cell>
          <cell r="B617" t="str">
            <v>P</v>
          </cell>
          <cell r="C617" t="str">
            <v>의류</v>
          </cell>
          <cell r="E617" t="str">
            <v>2</v>
          </cell>
          <cell r="F617" t="str">
            <v>7</v>
          </cell>
          <cell r="G617">
            <v>1</v>
          </cell>
          <cell r="H617">
            <v>7866855</v>
          </cell>
          <cell r="I617">
            <v>23</v>
          </cell>
          <cell r="J617">
            <v>1223400</v>
          </cell>
          <cell r="K617">
            <v>2714000</v>
          </cell>
          <cell r="U617">
            <v>513</v>
          </cell>
          <cell r="AJ617">
            <v>181</v>
          </cell>
          <cell r="AK617">
            <v>9895500</v>
          </cell>
          <cell r="AN617">
            <v>60534000</v>
          </cell>
          <cell r="AO617">
            <v>21358000</v>
          </cell>
        </row>
        <row r="618">
          <cell r="A618" t="str">
            <v>X</v>
          </cell>
          <cell r="B618" t="str">
            <v>P</v>
          </cell>
          <cell r="C618" t="str">
            <v>의류</v>
          </cell>
          <cell r="E618" t="str">
            <v>2</v>
          </cell>
          <cell r="F618" t="str">
            <v>7</v>
          </cell>
          <cell r="G618">
            <v>1</v>
          </cell>
          <cell r="H618">
            <v>6427905</v>
          </cell>
          <cell r="I618">
            <v>6</v>
          </cell>
          <cell r="J618">
            <v>278600</v>
          </cell>
          <cell r="K618">
            <v>648000</v>
          </cell>
          <cell r="U618">
            <v>489</v>
          </cell>
          <cell r="AJ618">
            <v>113</v>
          </cell>
          <cell r="AK618">
            <v>5779400</v>
          </cell>
          <cell r="AN618">
            <v>52812000</v>
          </cell>
          <cell r="AO618">
            <v>12204000</v>
          </cell>
        </row>
        <row r="619">
          <cell r="A619" t="str">
            <v>X</v>
          </cell>
          <cell r="B619" t="str">
            <v>P</v>
          </cell>
          <cell r="C619" t="str">
            <v>의류</v>
          </cell>
          <cell r="E619" t="str">
            <v>2</v>
          </cell>
          <cell r="F619" t="str">
            <v>7</v>
          </cell>
          <cell r="G619">
            <v>0</v>
          </cell>
          <cell r="H619">
            <v>5350015</v>
          </cell>
          <cell r="I619">
            <v>8</v>
          </cell>
          <cell r="J619">
            <v>385800</v>
          </cell>
          <cell r="K619">
            <v>864000</v>
          </cell>
          <cell r="U619">
            <v>407</v>
          </cell>
          <cell r="AJ619">
            <v>93</v>
          </cell>
          <cell r="AK619">
            <v>4768600</v>
          </cell>
          <cell r="AN619">
            <v>43956000</v>
          </cell>
          <cell r="AO619">
            <v>10044000</v>
          </cell>
        </row>
        <row r="620">
          <cell r="A620" t="str">
            <v>X</v>
          </cell>
          <cell r="B620" t="str">
            <v>P</v>
          </cell>
          <cell r="C620" t="str">
            <v>의류</v>
          </cell>
          <cell r="E620" t="str">
            <v>2</v>
          </cell>
          <cell r="F620" t="str">
            <v>7</v>
          </cell>
          <cell r="G620">
            <v>0</v>
          </cell>
          <cell r="H620">
            <v>4837360</v>
          </cell>
          <cell r="I620">
            <v>12</v>
          </cell>
          <cell r="J620">
            <v>566400</v>
          </cell>
          <cell r="K620">
            <v>1296000</v>
          </cell>
          <cell r="U620">
            <v>368</v>
          </cell>
          <cell r="AJ620">
            <v>235</v>
          </cell>
          <cell r="AK620">
            <v>11725600</v>
          </cell>
          <cell r="AN620">
            <v>39744000</v>
          </cell>
          <cell r="AO620">
            <v>25380000</v>
          </cell>
        </row>
        <row r="621">
          <cell r="A621" t="str">
            <v>X</v>
          </cell>
          <cell r="B621" t="str">
            <v>P</v>
          </cell>
          <cell r="C621" t="str">
            <v>의류</v>
          </cell>
          <cell r="E621" t="str">
            <v>2</v>
          </cell>
          <cell r="F621" t="str">
            <v>7</v>
          </cell>
          <cell r="G621">
            <v>1</v>
          </cell>
          <cell r="H621">
            <v>8018550</v>
          </cell>
          <cell r="I621">
            <v>4</v>
          </cell>
          <cell r="J621">
            <v>213200</v>
          </cell>
          <cell r="K621">
            <v>512000</v>
          </cell>
          <cell r="U621">
            <v>450</v>
          </cell>
          <cell r="AJ621">
            <v>29</v>
          </cell>
          <cell r="AK621">
            <v>1634800</v>
          </cell>
          <cell r="AN621">
            <v>57600000</v>
          </cell>
          <cell r="AO621">
            <v>3712000</v>
          </cell>
        </row>
        <row r="622">
          <cell r="A622" t="str">
            <v>X</v>
          </cell>
          <cell r="B622" t="str">
            <v>P</v>
          </cell>
          <cell r="C622" t="str">
            <v>의류</v>
          </cell>
          <cell r="E622" t="str">
            <v>1</v>
          </cell>
          <cell r="F622" t="str">
            <v>8</v>
          </cell>
          <cell r="G622">
            <v>1</v>
          </cell>
          <cell r="H622">
            <v>8619400</v>
          </cell>
          <cell r="I622">
            <v>3</v>
          </cell>
          <cell r="J622">
            <v>297000</v>
          </cell>
          <cell r="K622">
            <v>654000</v>
          </cell>
          <cell r="U622">
            <v>284</v>
          </cell>
          <cell r="AJ622">
            <v>262</v>
          </cell>
          <cell r="AK622">
            <v>26548800</v>
          </cell>
          <cell r="AN622">
            <v>61912000</v>
          </cell>
          <cell r="AO622">
            <v>57116000</v>
          </cell>
        </row>
        <row r="623">
          <cell r="A623" t="str">
            <v>X</v>
          </cell>
          <cell r="B623" t="str">
            <v>P</v>
          </cell>
          <cell r="C623" t="str">
            <v>의류</v>
          </cell>
          <cell r="E623" t="str">
            <v>1</v>
          </cell>
          <cell r="F623" t="str">
            <v>8</v>
          </cell>
          <cell r="G623">
            <v>0</v>
          </cell>
          <cell r="H623">
            <v>9044300</v>
          </cell>
          <cell r="I623">
            <v>2</v>
          </cell>
          <cell r="J623">
            <v>218000</v>
          </cell>
          <cell r="K623">
            <v>436000</v>
          </cell>
          <cell r="U623">
            <v>298</v>
          </cell>
          <cell r="AJ623">
            <v>268</v>
          </cell>
          <cell r="AK623">
            <v>26966345</v>
          </cell>
          <cell r="AN623">
            <v>64964000</v>
          </cell>
          <cell r="AO623">
            <v>58424000</v>
          </cell>
        </row>
        <row r="624">
          <cell r="A624" t="str">
            <v>X</v>
          </cell>
          <cell r="B624" t="str">
            <v>P</v>
          </cell>
          <cell r="C624" t="str">
            <v>의류</v>
          </cell>
          <cell r="E624" t="str">
            <v>1</v>
          </cell>
          <cell r="F624" t="str">
            <v>8</v>
          </cell>
          <cell r="G624">
            <v>1</v>
          </cell>
          <cell r="H624">
            <v>8153876</v>
          </cell>
          <cell r="I624">
            <v>2</v>
          </cell>
          <cell r="J624">
            <v>188100</v>
          </cell>
          <cell r="K624">
            <v>396000</v>
          </cell>
          <cell r="U624">
            <v>298</v>
          </cell>
          <cell r="AJ624">
            <v>71</v>
          </cell>
          <cell r="AK624">
            <v>6401300</v>
          </cell>
          <cell r="AN624">
            <v>59004000</v>
          </cell>
          <cell r="AO624">
            <v>14058000</v>
          </cell>
        </row>
        <row r="625">
          <cell r="A625" t="str">
            <v>X</v>
          </cell>
          <cell r="B625" t="str">
            <v>P</v>
          </cell>
          <cell r="C625" t="str">
            <v>의류</v>
          </cell>
          <cell r="E625" t="str">
            <v>2</v>
          </cell>
          <cell r="F625" t="str">
            <v>8</v>
          </cell>
          <cell r="G625">
            <v>1</v>
          </cell>
          <cell r="H625">
            <v>7640422</v>
          </cell>
          <cell r="I625">
            <v>9</v>
          </cell>
          <cell r="J625">
            <v>627600</v>
          </cell>
          <cell r="K625">
            <v>1512000</v>
          </cell>
          <cell r="U625">
            <v>298</v>
          </cell>
          <cell r="AJ625">
            <v>212</v>
          </cell>
          <cell r="AK625">
            <v>16932800</v>
          </cell>
          <cell r="AN625">
            <v>50064000</v>
          </cell>
          <cell r="AO625">
            <v>35616000</v>
          </cell>
        </row>
        <row r="626">
          <cell r="A626" t="str">
            <v>X</v>
          </cell>
          <cell r="B626" t="str">
            <v>P</v>
          </cell>
          <cell r="C626" t="str">
            <v>의류</v>
          </cell>
          <cell r="E626" t="str">
            <v>2</v>
          </cell>
          <cell r="F626" t="str">
            <v>8</v>
          </cell>
          <cell r="G626">
            <v>1</v>
          </cell>
          <cell r="H626">
            <v>7973434</v>
          </cell>
          <cell r="I626">
            <v>20</v>
          </cell>
          <cell r="J626">
            <v>1524400</v>
          </cell>
          <cell r="K626">
            <v>3360000</v>
          </cell>
          <cell r="U626">
            <v>406</v>
          </cell>
          <cell r="AJ626">
            <v>234</v>
          </cell>
          <cell r="AK626">
            <v>18463600</v>
          </cell>
          <cell r="AN626">
            <v>68208000</v>
          </cell>
          <cell r="AO626">
            <v>39312000</v>
          </cell>
        </row>
        <row r="627">
          <cell r="A627" t="str">
            <v>X</v>
          </cell>
          <cell r="B627" t="str">
            <v>P</v>
          </cell>
          <cell r="C627" t="str">
            <v>의류</v>
          </cell>
          <cell r="E627" t="str">
            <v>2</v>
          </cell>
          <cell r="F627" t="str">
            <v>8</v>
          </cell>
          <cell r="G627">
            <v>1</v>
          </cell>
          <cell r="H627">
            <v>11112486</v>
          </cell>
          <cell r="I627">
            <v>4</v>
          </cell>
          <cell r="J627">
            <v>335100</v>
          </cell>
          <cell r="K627">
            <v>872000</v>
          </cell>
          <cell r="U627">
            <v>402</v>
          </cell>
          <cell r="AJ627">
            <v>125</v>
          </cell>
          <cell r="AK627">
            <v>12973300</v>
          </cell>
          <cell r="AN627">
            <v>87636000</v>
          </cell>
          <cell r="AO627">
            <v>27250000</v>
          </cell>
        </row>
        <row r="628">
          <cell r="A628" t="str">
            <v>X</v>
          </cell>
          <cell r="B628" t="str">
            <v>P</v>
          </cell>
          <cell r="C628" t="str">
            <v>의류</v>
          </cell>
          <cell r="E628" t="str">
            <v>2</v>
          </cell>
          <cell r="F628" t="str">
            <v>8</v>
          </cell>
          <cell r="G628">
            <v>0</v>
          </cell>
          <cell r="H628">
            <v>6413176</v>
          </cell>
          <cell r="I628">
            <v>5</v>
          </cell>
          <cell r="J628">
            <v>474100</v>
          </cell>
          <cell r="K628">
            <v>1090000</v>
          </cell>
          <cell r="U628">
            <v>232</v>
          </cell>
          <cell r="AJ628">
            <v>97</v>
          </cell>
          <cell r="AK628">
            <v>9870500</v>
          </cell>
          <cell r="AN628">
            <v>50576000</v>
          </cell>
          <cell r="AO628">
            <v>21146000</v>
          </cell>
        </row>
        <row r="629">
          <cell r="A629" t="str">
            <v>X</v>
          </cell>
          <cell r="B629" t="str">
            <v>P</v>
          </cell>
          <cell r="C629" t="str">
            <v>의류</v>
          </cell>
          <cell r="E629" t="str">
            <v>2</v>
          </cell>
          <cell r="F629" t="str">
            <v>8</v>
          </cell>
          <cell r="G629">
            <v>1</v>
          </cell>
          <cell r="H629">
            <v>6487764</v>
          </cell>
          <cell r="I629">
            <v>6</v>
          </cell>
          <cell r="J629">
            <v>427200</v>
          </cell>
          <cell r="K629">
            <v>1008000</v>
          </cell>
          <cell r="U629">
            <v>348</v>
          </cell>
          <cell r="AJ629">
            <v>247</v>
          </cell>
          <cell r="AK629">
            <v>19384400</v>
          </cell>
          <cell r="AN629">
            <v>58464000</v>
          </cell>
          <cell r="AO629">
            <v>41496000</v>
          </cell>
        </row>
        <row r="630">
          <cell r="A630" t="str">
            <v>X</v>
          </cell>
          <cell r="B630" t="str">
            <v>P</v>
          </cell>
          <cell r="C630" t="str">
            <v>의류</v>
          </cell>
          <cell r="E630" t="str">
            <v>2</v>
          </cell>
          <cell r="F630" t="str">
            <v>8</v>
          </cell>
          <cell r="G630">
            <v>1</v>
          </cell>
          <cell r="H630">
            <v>10309061</v>
          </cell>
          <cell r="I630">
            <v>7</v>
          </cell>
          <cell r="J630">
            <v>567400</v>
          </cell>
          <cell r="K630">
            <v>1246000</v>
          </cell>
          <cell r="U630">
            <v>427</v>
          </cell>
          <cell r="AJ630">
            <v>408</v>
          </cell>
          <cell r="AK630">
            <v>34355700</v>
          </cell>
          <cell r="AN630">
            <v>76006000</v>
          </cell>
          <cell r="AO630">
            <v>72624000</v>
          </cell>
        </row>
        <row r="631">
          <cell r="A631" t="str">
            <v>X</v>
          </cell>
          <cell r="B631" t="str">
            <v>P</v>
          </cell>
          <cell r="C631" t="str">
            <v>의류</v>
          </cell>
          <cell r="E631" t="str">
            <v>2</v>
          </cell>
          <cell r="F631" t="str">
            <v>8</v>
          </cell>
          <cell r="G631">
            <v>1</v>
          </cell>
          <cell r="H631">
            <v>11455983</v>
          </cell>
          <cell r="I631">
            <v>10</v>
          </cell>
          <cell r="J631">
            <v>930400</v>
          </cell>
          <cell r="K631">
            <v>1980000</v>
          </cell>
          <cell r="U631">
            <v>427</v>
          </cell>
          <cell r="AJ631">
            <v>123</v>
          </cell>
          <cell r="AK631">
            <v>11185650</v>
          </cell>
          <cell r="AN631">
            <v>84546000</v>
          </cell>
          <cell r="AO631">
            <v>24354000</v>
          </cell>
        </row>
        <row r="632">
          <cell r="A632" t="str">
            <v>X</v>
          </cell>
          <cell r="B632" t="str">
            <v>P</v>
          </cell>
          <cell r="C632" t="str">
            <v>의류</v>
          </cell>
          <cell r="E632" t="str">
            <v>1</v>
          </cell>
          <cell r="F632" t="str">
            <v>9</v>
          </cell>
          <cell r="G632">
            <v>1</v>
          </cell>
          <cell r="H632">
            <v>24314752</v>
          </cell>
          <cell r="I632">
            <v>2</v>
          </cell>
          <cell r="J632">
            <v>220600</v>
          </cell>
          <cell r="K632">
            <v>716000</v>
          </cell>
          <cell r="U632">
            <v>616</v>
          </cell>
          <cell r="AJ632">
            <v>405</v>
          </cell>
          <cell r="AK632">
            <v>67612230</v>
          </cell>
          <cell r="AN632">
            <v>220528000</v>
          </cell>
          <cell r="AO632">
            <v>144990000</v>
          </cell>
        </row>
        <row r="633">
          <cell r="A633" t="str">
            <v>X</v>
          </cell>
          <cell r="B633" t="str">
            <v>P</v>
          </cell>
          <cell r="C633" t="str">
            <v>의류</v>
          </cell>
          <cell r="E633" t="str">
            <v>1</v>
          </cell>
          <cell r="F633" t="str">
            <v>9</v>
          </cell>
          <cell r="G633">
            <v>0</v>
          </cell>
          <cell r="H633">
            <v>12157376</v>
          </cell>
          <cell r="I633">
            <v>-1</v>
          </cell>
          <cell r="J633">
            <v>-179000</v>
          </cell>
          <cell r="K633">
            <v>-358000</v>
          </cell>
          <cell r="U633">
            <v>308</v>
          </cell>
          <cell r="AJ633">
            <v>205</v>
          </cell>
          <cell r="AK633">
            <v>33893540</v>
          </cell>
          <cell r="AN633">
            <v>110264000</v>
          </cell>
          <cell r="AO633">
            <v>73390000</v>
          </cell>
        </row>
        <row r="634">
          <cell r="A634" t="str">
            <v>X</v>
          </cell>
          <cell r="B634" t="str">
            <v>P</v>
          </cell>
          <cell r="C634" t="str">
            <v>의류</v>
          </cell>
          <cell r="E634" t="str">
            <v>2</v>
          </cell>
          <cell r="F634" t="str">
            <v>9</v>
          </cell>
          <cell r="G634">
            <v>1</v>
          </cell>
          <cell r="H634">
            <v>7630920</v>
          </cell>
          <cell r="I634">
            <v>2</v>
          </cell>
          <cell r="J634">
            <v>232200</v>
          </cell>
          <cell r="K634">
            <v>516000</v>
          </cell>
          <cell r="U634">
            <v>235</v>
          </cell>
          <cell r="AJ634">
            <v>42</v>
          </cell>
          <cell r="AK634">
            <v>4937100</v>
          </cell>
          <cell r="AN634">
            <v>60630000</v>
          </cell>
          <cell r="AO634">
            <v>10836000</v>
          </cell>
        </row>
        <row r="635">
          <cell r="A635" t="str">
            <v>X</v>
          </cell>
          <cell r="B635" t="str">
            <v>P</v>
          </cell>
          <cell r="C635" t="str">
            <v>의류</v>
          </cell>
          <cell r="E635" t="str">
            <v>1</v>
          </cell>
          <cell r="F635" t="str">
            <v>C</v>
          </cell>
          <cell r="G635">
            <v>1</v>
          </cell>
          <cell r="H635">
            <v>24087112</v>
          </cell>
          <cell r="I635">
            <v>0</v>
          </cell>
          <cell r="J635">
            <v>0</v>
          </cell>
          <cell r="K635">
            <v>0</v>
          </cell>
          <cell r="U635">
            <v>463</v>
          </cell>
          <cell r="AJ635">
            <v>70</v>
          </cell>
          <cell r="AK635">
            <v>14204800</v>
          </cell>
          <cell r="AN635">
            <v>202794000</v>
          </cell>
          <cell r="AO635">
            <v>30660000</v>
          </cell>
        </row>
        <row r="636">
          <cell r="A636" t="str">
            <v>X</v>
          </cell>
          <cell r="B636" t="str">
            <v>P</v>
          </cell>
          <cell r="C636" t="str">
            <v>의류</v>
          </cell>
          <cell r="E636" t="str">
            <v>1</v>
          </cell>
          <cell r="F636" t="str">
            <v>C</v>
          </cell>
          <cell r="G636">
            <v>0</v>
          </cell>
          <cell r="H636">
            <v>17532088</v>
          </cell>
          <cell r="I636">
            <v>0</v>
          </cell>
          <cell r="J636">
            <v>0</v>
          </cell>
          <cell r="K636">
            <v>0</v>
          </cell>
          <cell r="U636">
            <v>337</v>
          </cell>
          <cell r="AJ636">
            <v>29</v>
          </cell>
          <cell r="AK636">
            <v>5931000</v>
          </cell>
          <cell r="AN636">
            <v>147606000</v>
          </cell>
          <cell r="AO636">
            <v>12702000</v>
          </cell>
        </row>
        <row r="637">
          <cell r="A637" t="str">
            <v>X</v>
          </cell>
          <cell r="B637" t="str">
            <v>P</v>
          </cell>
          <cell r="C637" t="str">
            <v>의류</v>
          </cell>
          <cell r="E637" t="str">
            <v>1</v>
          </cell>
          <cell r="F637" t="str">
            <v>T</v>
          </cell>
          <cell r="G637">
            <v>1</v>
          </cell>
          <cell r="H637">
            <v>14604920</v>
          </cell>
          <cell r="I637">
            <v>1</v>
          </cell>
          <cell r="J637">
            <v>129000</v>
          </cell>
          <cell r="K637">
            <v>358000</v>
          </cell>
          <cell r="U637">
            <v>380</v>
          </cell>
          <cell r="AJ637">
            <v>196</v>
          </cell>
          <cell r="AK637">
            <v>30687900</v>
          </cell>
          <cell r="AN637">
            <v>136040000</v>
          </cell>
          <cell r="AO637">
            <v>70168000</v>
          </cell>
        </row>
        <row r="638">
          <cell r="A638" t="str">
            <v>X</v>
          </cell>
          <cell r="B638" t="str">
            <v>P</v>
          </cell>
          <cell r="C638" t="str">
            <v>의류</v>
          </cell>
          <cell r="E638" t="str">
            <v>1</v>
          </cell>
          <cell r="F638" t="str">
            <v>T</v>
          </cell>
          <cell r="G638">
            <v>0</v>
          </cell>
          <cell r="H638">
            <v>11068992</v>
          </cell>
          <cell r="I638">
            <v>1</v>
          </cell>
          <cell r="J638">
            <v>129000</v>
          </cell>
          <cell r="K638">
            <v>358000</v>
          </cell>
          <cell r="U638">
            <v>288</v>
          </cell>
          <cell r="AJ638">
            <v>104</v>
          </cell>
          <cell r="AK638">
            <v>16387950</v>
          </cell>
          <cell r="AN638">
            <v>103104000</v>
          </cell>
          <cell r="AO638">
            <v>37232000</v>
          </cell>
        </row>
        <row r="639">
          <cell r="A639" t="str">
            <v>X</v>
          </cell>
          <cell r="B639" t="str">
            <v>P</v>
          </cell>
          <cell r="C639" t="str">
            <v>의류</v>
          </cell>
          <cell r="E639" t="str">
            <v>1</v>
          </cell>
          <cell r="F639" t="str">
            <v>T</v>
          </cell>
          <cell r="G639">
            <v>1</v>
          </cell>
          <cell r="H639">
            <v>18300509</v>
          </cell>
          <cell r="I639">
            <v>0</v>
          </cell>
          <cell r="J639">
            <v>-37800</v>
          </cell>
          <cell r="K639">
            <v>0</v>
          </cell>
          <cell r="U639">
            <v>397</v>
          </cell>
          <cell r="AJ639">
            <v>61</v>
          </cell>
          <cell r="AK639">
            <v>10936500</v>
          </cell>
          <cell r="AN639">
            <v>150066000</v>
          </cell>
          <cell r="AO639">
            <v>23058000</v>
          </cell>
        </row>
        <row r="640">
          <cell r="A640" t="str">
            <v>X</v>
          </cell>
          <cell r="B640" t="str">
            <v>P</v>
          </cell>
          <cell r="C640" t="str">
            <v>의류</v>
          </cell>
          <cell r="E640" t="str">
            <v>2</v>
          </cell>
          <cell r="F640" t="str">
            <v>T</v>
          </cell>
          <cell r="G640">
            <v>1</v>
          </cell>
          <cell r="H640">
            <v>28130592</v>
          </cell>
          <cell r="I640">
            <v>12</v>
          </cell>
          <cell r="J640">
            <v>1730300</v>
          </cell>
          <cell r="K640">
            <v>3816000</v>
          </cell>
          <cell r="U640">
            <v>672</v>
          </cell>
          <cell r="AJ640">
            <v>326</v>
          </cell>
          <cell r="AK640">
            <v>48726800</v>
          </cell>
          <cell r="AN640">
            <v>213696000</v>
          </cell>
          <cell r="AO640">
            <v>103668000</v>
          </cell>
        </row>
        <row r="641">
          <cell r="A641" t="str">
            <v>X</v>
          </cell>
          <cell r="B641" t="str">
            <v>P</v>
          </cell>
          <cell r="C641" t="str">
            <v>의류</v>
          </cell>
          <cell r="E641" t="str">
            <v>1</v>
          </cell>
          <cell r="F641" t="str">
            <v>V</v>
          </cell>
          <cell r="G641">
            <v>1</v>
          </cell>
          <cell r="H641">
            <v>16831024</v>
          </cell>
          <cell r="I641">
            <v>3</v>
          </cell>
          <cell r="J641">
            <v>327000</v>
          </cell>
          <cell r="K641">
            <v>894000</v>
          </cell>
          <cell r="U641">
            <v>412</v>
          </cell>
          <cell r="AJ641">
            <v>83</v>
          </cell>
          <cell r="AK641">
            <v>11081040</v>
          </cell>
          <cell r="AN641">
            <v>122776000</v>
          </cell>
          <cell r="AO641">
            <v>24734000</v>
          </cell>
        </row>
        <row r="642">
          <cell r="A642" t="str">
            <v>X</v>
          </cell>
          <cell r="B642" t="str">
            <v>P</v>
          </cell>
          <cell r="C642" t="str">
            <v>의류</v>
          </cell>
          <cell r="E642" t="str">
            <v>1</v>
          </cell>
          <cell r="F642" t="str">
            <v>V</v>
          </cell>
          <cell r="G642">
            <v>0</v>
          </cell>
          <cell r="H642">
            <v>12745824</v>
          </cell>
          <cell r="I642">
            <v>1</v>
          </cell>
          <cell r="J642">
            <v>109000</v>
          </cell>
          <cell r="K642">
            <v>298000</v>
          </cell>
          <cell r="U642">
            <v>312</v>
          </cell>
          <cell r="AJ642">
            <v>71</v>
          </cell>
          <cell r="AK642">
            <v>9519200</v>
          </cell>
          <cell r="AN642">
            <v>92976000</v>
          </cell>
          <cell r="AO642">
            <v>21158000</v>
          </cell>
        </row>
      </sheetData>
      <sheetData sheetId="3">
        <row r="3">
          <cell r="B3" t="str">
            <v>의류</v>
          </cell>
          <cell r="F3" t="str">
            <v>I0Y1101</v>
          </cell>
          <cell r="G3">
            <v>22</v>
          </cell>
          <cell r="AB3">
            <v>1</v>
          </cell>
          <cell r="AC3">
            <v>39000</v>
          </cell>
        </row>
        <row r="4">
          <cell r="B4" t="str">
            <v>의류</v>
          </cell>
          <cell r="F4" t="str">
            <v>I0Y1101</v>
          </cell>
          <cell r="G4">
            <v>31</v>
          </cell>
          <cell r="AB4">
            <v>8</v>
          </cell>
          <cell r="AC4">
            <v>312000</v>
          </cell>
        </row>
        <row r="5">
          <cell r="B5" t="str">
            <v>의류</v>
          </cell>
          <cell r="F5" t="str">
            <v>I0Y1101</v>
          </cell>
          <cell r="G5">
            <v>34</v>
          </cell>
          <cell r="AB5">
            <v>2</v>
          </cell>
          <cell r="AC5">
            <v>78000</v>
          </cell>
        </row>
        <row r="6">
          <cell r="B6" t="str">
            <v>의류</v>
          </cell>
          <cell r="F6" t="str">
            <v>I0Y1101</v>
          </cell>
          <cell r="G6">
            <v>49</v>
          </cell>
          <cell r="AB6">
            <v>-2</v>
          </cell>
          <cell r="AC6">
            <v>-78000</v>
          </cell>
        </row>
        <row r="7">
          <cell r="B7" t="str">
            <v>의류</v>
          </cell>
          <cell r="F7" t="str">
            <v>I0Y1101</v>
          </cell>
          <cell r="G7">
            <v>76</v>
          </cell>
          <cell r="AB7">
            <v>2</v>
          </cell>
          <cell r="AC7">
            <v>78000</v>
          </cell>
        </row>
        <row r="8">
          <cell r="B8" t="str">
            <v>의류</v>
          </cell>
          <cell r="F8" t="str">
            <v>I0Y1102</v>
          </cell>
          <cell r="G8">
            <v>22</v>
          </cell>
        </row>
        <row r="9">
          <cell r="B9" t="str">
            <v>의류</v>
          </cell>
          <cell r="F9" t="str">
            <v>I0Y1102</v>
          </cell>
          <cell r="G9">
            <v>76</v>
          </cell>
          <cell r="AB9">
            <v>-1</v>
          </cell>
          <cell r="AC9">
            <v>-79000</v>
          </cell>
        </row>
        <row r="10">
          <cell r="B10" t="str">
            <v>의류</v>
          </cell>
          <cell r="F10" t="str">
            <v>I0Y1103</v>
          </cell>
          <cell r="G10">
            <v>34</v>
          </cell>
        </row>
        <row r="11">
          <cell r="B11" t="str">
            <v>의류</v>
          </cell>
          <cell r="F11" t="str">
            <v>I0Y1103</v>
          </cell>
          <cell r="G11">
            <v>49</v>
          </cell>
          <cell r="AB11">
            <v>2</v>
          </cell>
          <cell r="AC11">
            <v>165900</v>
          </cell>
        </row>
        <row r="12">
          <cell r="B12" t="str">
            <v>의류</v>
          </cell>
          <cell r="F12" t="str">
            <v>I0Y1104</v>
          </cell>
          <cell r="G12">
            <v>49</v>
          </cell>
          <cell r="AB12">
            <v>2</v>
          </cell>
          <cell r="AC12">
            <v>158000</v>
          </cell>
        </row>
        <row r="13">
          <cell r="B13" t="str">
            <v>의류</v>
          </cell>
          <cell r="F13" t="str">
            <v>I0Y1104</v>
          </cell>
          <cell r="G13">
            <v>63</v>
          </cell>
          <cell r="AB13">
            <v>-1</v>
          </cell>
          <cell r="AC13">
            <v>-79000</v>
          </cell>
        </row>
        <row r="14">
          <cell r="B14" t="str">
            <v>의류</v>
          </cell>
          <cell r="F14" t="str">
            <v>I0Y1105</v>
          </cell>
          <cell r="G14">
            <v>32</v>
          </cell>
          <cell r="AB14">
            <v>2</v>
          </cell>
          <cell r="AC14">
            <v>158000</v>
          </cell>
        </row>
        <row r="15">
          <cell r="B15" t="str">
            <v>의류</v>
          </cell>
          <cell r="F15" t="str">
            <v>I0Y1105</v>
          </cell>
          <cell r="G15">
            <v>49</v>
          </cell>
          <cell r="AB15">
            <v>4</v>
          </cell>
          <cell r="AC15">
            <v>316000</v>
          </cell>
        </row>
        <row r="16">
          <cell r="B16" t="str">
            <v>의류</v>
          </cell>
          <cell r="F16" t="str">
            <v>I0Y1106</v>
          </cell>
          <cell r="G16">
            <v>34</v>
          </cell>
          <cell r="AB16">
            <v>1</v>
          </cell>
          <cell r="AC16">
            <v>79000</v>
          </cell>
        </row>
        <row r="17">
          <cell r="B17" t="str">
            <v>의류</v>
          </cell>
          <cell r="F17" t="str">
            <v>I0Y1106</v>
          </cell>
          <cell r="G17">
            <v>73</v>
          </cell>
        </row>
        <row r="18">
          <cell r="B18" t="str">
            <v>의류</v>
          </cell>
          <cell r="F18" t="str">
            <v>I0Y1107</v>
          </cell>
          <cell r="G18">
            <v>34</v>
          </cell>
          <cell r="AB18">
            <v>5</v>
          </cell>
          <cell r="AC18">
            <v>395000</v>
          </cell>
        </row>
        <row r="19">
          <cell r="B19" t="str">
            <v>의류</v>
          </cell>
          <cell r="F19" t="str">
            <v>I0Y1107</v>
          </cell>
          <cell r="G19">
            <v>76</v>
          </cell>
          <cell r="AB19">
            <v>2</v>
          </cell>
          <cell r="AC19">
            <v>158000</v>
          </cell>
        </row>
        <row r="20">
          <cell r="B20" t="str">
            <v>의류</v>
          </cell>
          <cell r="F20" t="str">
            <v>I0Y1108</v>
          </cell>
          <cell r="G20">
            <v>22</v>
          </cell>
          <cell r="AB20">
            <v>1</v>
          </cell>
          <cell r="AC20">
            <v>69000</v>
          </cell>
        </row>
        <row r="21">
          <cell r="B21" t="str">
            <v>의류</v>
          </cell>
          <cell r="F21" t="str">
            <v>I0Y1108</v>
          </cell>
          <cell r="G21">
            <v>49</v>
          </cell>
          <cell r="AB21">
            <v>1</v>
          </cell>
          <cell r="AC21">
            <v>69000</v>
          </cell>
        </row>
        <row r="22">
          <cell r="B22" t="str">
            <v>의류</v>
          </cell>
          <cell r="F22" t="str">
            <v>I0Y1201</v>
          </cell>
          <cell r="G22">
            <v>22</v>
          </cell>
          <cell r="AB22">
            <v>37</v>
          </cell>
          <cell r="AC22">
            <v>1423000</v>
          </cell>
        </row>
        <row r="23">
          <cell r="B23" t="str">
            <v>의류</v>
          </cell>
          <cell r="F23" t="str">
            <v>I0Y1201</v>
          </cell>
          <cell r="G23">
            <v>31</v>
          </cell>
          <cell r="AB23">
            <v>31</v>
          </cell>
          <cell r="AC23">
            <v>1209000</v>
          </cell>
        </row>
        <row r="24">
          <cell r="B24" t="str">
            <v>의류</v>
          </cell>
          <cell r="F24" t="str">
            <v>I0Y1201</v>
          </cell>
          <cell r="G24">
            <v>34</v>
          </cell>
          <cell r="AB24">
            <v>30</v>
          </cell>
          <cell r="AC24">
            <v>1170000</v>
          </cell>
        </row>
        <row r="25">
          <cell r="B25" t="str">
            <v>의류</v>
          </cell>
          <cell r="F25" t="str">
            <v>I0Y1201</v>
          </cell>
          <cell r="G25">
            <v>39</v>
          </cell>
          <cell r="AB25">
            <v>12</v>
          </cell>
          <cell r="AC25">
            <v>468000</v>
          </cell>
        </row>
        <row r="26">
          <cell r="B26" t="str">
            <v>의류</v>
          </cell>
          <cell r="F26" t="str">
            <v>I0Y1201</v>
          </cell>
          <cell r="G26">
            <v>43</v>
          </cell>
          <cell r="AB26">
            <v>21</v>
          </cell>
          <cell r="AC26">
            <v>819000</v>
          </cell>
        </row>
        <row r="27">
          <cell r="B27" t="str">
            <v>의류</v>
          </cell>
          <cell r="F27" t="str">
            <v>I0Y1201</v>
          </cell>
          <cell r="G27">
            <v>49</v>
          </cell>
          <cell r="AB27">
            <v>25</v>
          </cell>
          <cell r="AC27">
            <v>975000</v>
          </cell>
        </row>
        <row r="28">
          <cell r="B28" t="str">
            <v>의류</v>
          </cell>
          <cell r="F28" t="str">
            <v>I0Y1201</v>
          </cell>
          <cell r="G28">
            <v>73</v>
          </cell>
          <cell r="AB28">
            <v>8</v>
          </cell>
          <cell r="AC28">
            <v>282000</v>
          </cell>
        </row>
        <row r="29">
          <cell r="B29" t="str">
            <v>의류</v>
          </cell>
          <cell r="F29" t="str">
            <v>I0Y1201</v>
          </cell>
          <cell r="G29">
            <v>76</v>
          </cell>
          <cell r="AB29">
            <v>10</v>
          </cell>
          <cell r="AC29">
            <v>390000</v>
          </cell>
        </row>
        <row r="30">
          <cell r="B30" t="str">
            <v>의류</v>
          </cell>
          <cell r="F30" t="str">
            <v>I0Y1202</v>
          </cell>
          <cell r="G30">
            <v>31</v>
          </cell>
          <cell r="AB30">
            <v>28</v>
          </cell>
          <cell r="AC30">
            <v>2182000</v>
          </cell>
        </row>
        <row r="31">
          <cell r="B31" t="str">
            <v>의류</v>
          </cell>
          <cell r="F31" t="str">
            <v>I0Y1202</v>
          </cell>
          <cell r="G31">
            <v>49</v>
          </cell>
          <cell r="AB31">
            <v>18</v>
          </cell>
          <cell r="AC31">
            <v>1402000</v>
          </cell>
        </row>
        <row r="32">
          <cell r="B32" t="str">
            <v>의류</v>
          </cell>
          <cell r="F32" t="str">
            <v>I0Y1203</v>
          </cell>
          <cell r="G32">
            <v>22</v>
          </cell>
          <cell r="AB32">
            <v>13</v>
          </cell>
          <cell r="AC32">
            <v>1027000</v>
          </cell>
        </row>
        <row r="33">
          <cell r="B33" t="str">
            <v>의류</v>
          </cell>
          <cell r="F33" t="str">
            <v>I0Y1203</v>
          </cell>
          <cell r="G33">
            <v>34</v>
          </cell>
          <cell r="AB33">
            <v>15</v>
          </cell>
          <cell r="AC33">
            <v>1185000</v>
          </cell>
        </row>
        <row r="34">
          <cell r="B34" t="str">
            <v>의류</v>
          </cell>
          <cell r="F34" t="str">
            <v>I0Y1203</v>
          </cell>
          <cell r="G34">
            <v>49</v>
          </cell>
          <cell r="AB34">
            <v>23</v>
          </cell>
          <cell r="AC34">
            <v>1817000</v>
          </cell>
        </row>
        <row r="35">
          <cell r="B35" t="str">
            <v>의류</v>
          </cell>
          <cell r="F35" t="str">
            <v>I0Y1204</v>
          </cell>
          <cell r="G35">
            <v>49</v>
          </cell>
          <cell r="AB35">
            <v>28</v>
          </cell>
          <cell r="AC35">
            <v>1372000</v>
          </cell>
        </row>
        <row r="36">
          <cell r="B36" t="str">
            <v>의류</v>
          </cell>
          <cell r="F36" t="str">
            <v>I0Y1204</v>
          </cell>
          <cell r="G36">
            <v>66</v>
          </cell>
          <cell r="AB36">
            <v>6</v>
          </cell>
          <cell r="AC36">
            <v>294000</v>
          </cell>
        </row>
        <row r="37">
          <cell r="B37" t="str">
            <v>의류</v>
          </cell>
          <cell r="F37" t="str">
            <v>I0Y1205</v>
          </cell>
          <cell r="G37">
            <v>31</v>
          </cell>
          <cell r="AB37">
            <v>11</v>
          </cell>
          <cell r="AC37">
            <v>649000</v>
          </cell>
        </row>
        <row r="38">
          <cell r="B38" t="str">
            <v>의류</v>
          </cell>
          <cell r="F38" t="str">
            <v>I0Y1205</v>
          </cell>
          <cell r="G38">
            <v>34</v>
          </cell>
          <cell r="AB38">
            <v>17</v>
          </cell>
          <cell r="AC38">
            <v>1003000</v>
          </cell>
        </row>
        <row r="39">
          <cell r="B39" t="str">
            <v>의류</v>
          </cell>
          <cell r="F39" t="str">
            <v>I0Y1206</v>
          </cell>
          <cell r="G39">
            <v>31</v>
          </cell>
          <cell r="AB39">
            <v>9</v>
          </cell>
          <cell r="AC39">
            <v>711000</v>
          </cell>
        </row>
        <row r="40">
          <cell r="B40" t="str">
            <v>의류</v>
          </cell>
          <cell r="F40" t="str">
            <v>I0Y1206</v>
          </cell>
          <cell r="G40">
            <v>39</v>
          </cell>
          <cell r="AB40">
            <v>11</v>
          </cell>
          <cell r="AC40">
            <v>869000</v>
          </cell>
        </row>
        <row r="41">
          <cell r="B41" t="str">
            <v>의류</v>
          </cell>
          <cell r="F41" t="str">
            <v>I0Y1207</v>
          </cell>
          <cell r="G41">
            <v>43</v>
          </cell>
          <cell r="AB41">
            <v>3</v>
          </cell>
          <cell r="AC41">
            <v>177000</v>
          </cell>
        </row>
        <row r="42">
          <cell r="B42" t="str">
            <v>의류</v>
          </cell>
          <cell r="F42" t="str">
            <v>I0Y1207</v>
          </cell>
          <cell r="G42">
            <v>63</v>
          </cell>
          <cell r="AB42">
            <v>4</v>
          </cell>
          <cell r="AC42">
            <v>236000</v>
          </cell>
        </row>
        <row r="43">
          <cell r="B43" t="str">
            <v>의류</v>
          </cell>
          <cell r="F43" t="str">
            <v>I0Y1207</v>
          </cell>
          <cell r="G43">
            <v>66</v>
          </cell>
          <cell r="AB43">
            <v>10</v>
          </cell>
          <cell r="AC43">
            <v>590000</v>
          </cell>
        </row>
        <row r="44">
          <cell r="B44" t="str">
            <v>의류</v>
          </cell>
          <cell r="F44" t="str">
            <v>I0Y1208</v>
          </cell>
          <cell r="G44">
            <v>31</v>
          </cell>
          <cell r="AB44">
            <v>22</v>
          </cell>
          <cell r="AC44">
            <v>1745900</v>
          </cell>
        </row>
        <row r="45">
          <cell r="B45" t="str">
            <v>의류</v>
          </cell>
          <cell r="F45" t="str">
            <v>I0Y1208</v>
          </cell>
          <cell r="G45">
            <v>34</v>
          </cell>
          <cell r="AB45">
            <v>20</v>
          </cell>
          <cell r="AC45">
            <v>1580000</v>
          </cell>
        </row>
        <row r="46">
          <cell r="B46" t="str">
            <v>의류</v>
          </cell>
          <cell r="F46" t="str">
            <v>I0Y1208</v>
          </cell>
          <cell r="G46">
            <v>49</v>
          </cell>
          <cell r="AB46">
            <v>21</v>
          </cell>
          <cell r="AC46">
            <v>1659000</v>
          </cell>
        </row>
        <row r="47">
          <cell r="B47" t="str">
            <v>의류</v>
          </cell>
          <cell r="F47" t="str">
            <v>I0Y1209</v>
          </cell>
          <cell r="G47">
            <v>43</v>
          </cell>
          <cell r="AB47">
            <v>12</v>
          </cell>
          <cell r="AC47">
            <v>928000</v>
          </cell>
        </row>
        <row r="48">
          <cell r="B48" t="str">
            <v>의류</v>
          </cell>
          <cell r="F48" t="str">
            <v>I0Y1209</v>
          </cell>
          <cell r="G48">
            <v>49</v>
          </cell>
          <cell r="AB48">
            <v>9</v>
          </cell>
          <cell r="AC48">
            <v>711000</v>
          </cell>
        </row>
        <row r="49">
          <cell r="B49" t="str">
            <v>의류</v>
          </cell>
          <cell r="F49" t="str">
            <v>I0Y1210</v>
          </cell>
          <cell r="G49">
            <v>49</v>
          </cell>
          <cell r="AB49">
            <v>17</v>
          </cell>
          <cell r="AC49">
            <v>1173000</v>
          </cell>
        </row>
        <row r="50">
          <cell r="B50" t="str">
            <v>의류</v>
          </cell>
          <cell r="F50" t="str">
            <v>I0Y1210</v>
          </cell>
          <cell r="G50">
            <v>73</v>
          </cell>
          <cell r="AB50">
            <v>6</v>
          </cell>
          <cell r="AC50">
            <v>414000</v>
          </cell>
        </row>
        <row r="51">
          <cell r="B51" t="str">
            <v>의류</v>
          </cell>
          <cell r="F51" t="str">
            <v>I0Y1211</v>
          </cell>
          <cell r="G51">
            <v>22</v>
          </cell>
          <cell r="AB51">
            <v>36</v>
          </cell>
          <cell r="AC51">
            <v>2844000</v>
          </cell>
        </row>
        <row r="52">
          <cell r="B52" t="str">
            <v>의류</v>
          </cell>
          <cell r="F52" t="str">
            <v>I0Y1211</v>
          </cell>
          <cell r="G52">
            <v>73</v>
          </cell>
          <cell r="AB52">
            <v>48</v>
          </cell>
          <cell r="AC52">
            <v>3769900</v>
          </cell>
        </row>
        <row r="53">
          <cell r="B53" t="str">
            <v>의류</v>
          </cell>
          <cell r="F53" t="str">
            <v>I0Y1212</v>
          </cell>
          <cell r="G53">
            <v>22</v>
          </cell>
          <cell r="AB53">
            <v>24</v>
          </cell>
          <cell r="AC53">
            <v>1416000</v>
          </cell>
        </row>
        <row r="54">
          <cell r="B54" t="str">
            <v>의류</v>
          </cell>
          <cell r="F54" t="str">
            <v>I0Y1212</v>
          </cell>
          <cell r="G54">
            <v>45</v>
          </cell>
          <cell r="AB54">
            <v>4</v>
          </cell>
          <cell r="AC54">
            <v>236000</v>
          </cell>
        </row>
        <row r="55">
          <cell r="B55" t="str">
            <v>의류</v>
          </cell>
          <cell r="F55" t="str">
            <v>I0Y1213</v>
          </cell>
          <cell r="G55">
            <v>49</v>
          </cell>
          <cell r="AB55">
            <v>31</v>
          </cell>
          <cell r="AC55">
            <v>1829000</v>
          </cell>
        </row>
        <row r="56">
          <cell r="B56" t="str">
            <v>의류</v>
          </cell>
          <cell r="F56" t="str">
            <v>I0Y1213</v>
          </cell>
          <cell r="G56">
            <v>76</v>
          </cell>
          <cell r="AB56">
            <v>18</v>
          </cell>
          <cell r="AC56">
            <v>1062000</v>
          </cell>
        </row>
        <row r="57">
          <cell r="B57" t="str">
            <v>의류</v>
          </cell>
          <cell r="F57" t="str">
            <v>I0Y1214</v>
          </cell>
          <cell r="G57">
            <v>34</v>
          </cell>
          <cell r="AB57">
            <v>16</v>
          </cell>
          <cell r="AC57">
            <v>1234000</v>
          </cell>
        </row>
        <row r="58">
          <cell r="B58" t="str">
            <v>의류</v>
          </cell>
          <cell r="F58" t="str">
            <v>I0Y1214</v>
          </cell>
          <cell r="G58">
            <v>73</v>
          </cell>
          <cell r="AB58">
            <v>15</v>
          </cell>
          <cell r="AC58">
            <v>1172900</v>
          </cell>
        </row>
        <row r="59">
          <cell r="B59" t="str">
            <v>의류</v>
          </cell>
          <cell r="F59" t="str">
            <v>I0Y1215</v>
          </cell>
          <cell r="G59">
            <v>49</v>
          </cell>
          <cell r="AB59">
            <v>15</v>
          </cell>
          <cell r="AC59">
            <v>735000</v>
          </cell>
        </row>
        <row r="60">
          <cell r="B60" t="str">
            <v>의류</v>
          </cell>
          <cell r="F60" t="str">
            <v>I0Y1216</v>
          </cell>
          <cell r="G60">
            <v>31</v>
          </cell>
          <cell r="AB60">
            <v>37</v>
          </cell>
          <cell r="AC60">
            <v>1443000</v>
          </cell>
        </row>
        <row r="61">
          <cell r="B61" t="str">
            <v>의류</v>
          </cell>
          <cell r="F61" t="str">
            <v>I0Y1216</v>
          </cell>
          <cell r="G61">
            <v>32</v>
          </cell>
          <cell r="AB61">
            <v>19</v>
          </cell>
          <cell r="AC61">
            <v>741000</v>
          </cell>
        </row>
        <row r="62">
          <cell r="B62" t="str">
            <v>의류</v>
          </cell>
          <cell r="F62" t="str">
            <v>I0Y1216</v>
          </cell>
          <cell r="G62">
            <v>49</v>
          </cell>
          <cell r="AB62">
            <v>17</v>
          </cell>
          <cell r="AC62">
            <v>663000</v>
          </cell>
        </row>
        <row r="63">
          <cell r="B63" t="str">
            <v>의류</v>
          </cell>
          <cell r="F63" t="str">
            <v>I0Y4101</v>
          </cell>
          <cell r="G63">
            <v>49</v>
          </cell>
          <cell r="AB63">
            <v>1</v>
          </cell>
          <cell r="AC63">
            <v>149000</v>
          </cell>
        </row>
        <row r="64">
          <cell r="B64" t="str">
            <v>의류</v>
          </cell>
          <cell r="F64" t="str">
            <v>I0Y6101</v>
          </cell>
          <cell r="G64">
            <v>22</v>
          </cell>
        </row>
        <row r="65">
          <cell r="B65" t="str">
            <v>의류</v>
          </cell>
          <cell r="F65" t="str">
            <v>I0Y6101</v>
          </cell>
          <cell r="G65">
            <v>49</v>
          </cell>
          <cell r="AB65">
            <v>3</v>
          </cell>
          <cell r="AC65">
            <v>417000</v>
          </cell>
        </row>
        <row r="66">
          <cell r="B66" t="str">
            <v>의류</v>
          </cell>
          <cell r="F66" t="str">
            <v>I0Y6102</v>
          </cell>
          <cell r="G66">
            <v>31</v>
          </cell>
          <cell r="AB66">
            <v>-1</v>
          </cell>
          <cell r="AC66">
            <v>-134100</v>
          </cell>
        </row>
        <row r="67">
          <cell r="B67" t="str">
            <v>의류</v>
          </cell>
          <cell r="F67" t="str">
            <v>I0Y6102</v>
          </cell>
          <cell r="G67">
            <v>49</v>
          </cell>
          <cell r="AB67">
            <v>3</v>
          </cell>
          <cell r="AC67">
            <v>447000</v>
          </cell>
        </row>
        <row r="68">
          <cell r="B68" t="str">
            <v>의류</v>
          </cell>
          <cell r="F68" t="str">
            <v>I0Y6103</v>
          </cell>
          <cell r="G68">
            <v>22</v>
          </cell>
        </row>
        <row r="69">
          <cell r="B69" t="str">
            <v>의류</v>
          </cell>
          <cell r="F69" t="str">
            <v>I0Y6103</v>
          </cell>
          <cell r="G69">
            <v>49</v>
          </cell>
          <cell r="AB69">
            <v>3</v>
          </cell>
          <cell r="AC69">
            <v>447000</v>
          </cell>
        </row>
        <row r="70">
          <cell r="B70" t="str">
            <v>의류</v>
          </cell>
          <cell r="F70" t="str">
            <v>I0Y6104</v>
          </cell>
          <cell r="G70">
            <v>48</v>
          </cell>
          <cell r="AB70">
            <v>1</v>
          </cell>
          <cell r="AC70">
            <v>179000</v>
          </cell>
        </row>
        <row r="71">
          <cell r="B71" t="str">
            <v>의류</v>
          </cell>
          <cell r="F71" t="str">
            <v>I0Y6104</v>
          </cell>
          <cell r="G71">
            <v>63</v>
          </cell>
          <cell r="AB71">
            <v>-1</v>
          </cell>
          <cell r="AC71">
            <v>-179000</v>
          </cell>
        </row>
        <row r="72">
          <cell r="B72" t="str">
            <v>의류</v>
          </cell>
          <cell r="F72" t="str">
            <v>I0Y6201</v>
          </cell>
          <cell r="G72">
            <v>22</v>
          </cell>
          <cell r="AB72">
            <v>23</v>
          </cell>
          <cell r="AC72">
            <v>3169200</v>
          </cell>
        </row>
        <row r="73">
          <cell r="B73" t="str">
            <v>의류</v>
          </cell>
          <cell r="F73" t="str">
            <v>I0Y6201</v>
          </cell>
          <cell r="G73">
            <v>49</v>
          </cell>
          <cell r="AB73">
            <v>36</v>
          </cell>
          <cell r="AC73">
            <v>5004000</v>
          </cell>
        </row>
        <row r="74">
          <cell r="B74" t="str">
            <v>의류</v>
          </cell>
          <cell r="F74" t="str">
            <v>I0Y6201</v>
          </cell>
          <cell r="G74">
            <v>63</v>
          </cell>
          <cell r="AB74">
            <v>8</v>
          </cell>
          <cell r="AC74">
            <v>1112000</v>
          </cell>
        </row>
        <row r="75">
          <cell r="B75" t="str">
            <v>의류</v>
          </cell>
          <cell r="F75" t="str">
            <v>I0Y6201</v>
          </cell>
          <cell r="G75">
            <v>77</v>
          </cell>
          <cell r="AB75">
            <v>14</v>
          </cell>
          <cell r="AC75">
            <v>1916000</v>
          </cell>
        </row>
        <row r="76">
          <cell r="B76" t="str">
            <v>의류</v>
          </cell>
          <cell r="F76" t="str">
            <v>I0Y6202</v>
          </cell>
          <cell r="G76">
            <v>32</v>
          </cell>
          <cell r="AB76">
            <v>10</v>
          </cell>
          <cell r="AC76">
            <v>1360000</v>
          </cell>
        </row>
        <row r="77">
          <cell r="B77" t="str">
            <v>의류</v>
          </cell>
          <cell r="F77" t="str">
            <v>I0Y6202</v>
          </cell>
          <cell r="G77">
            <v>49</v>
          </cell>
          <cell r="AB77">
            <v>11</v>
          </cell>
          <cell r="AC77">
            <v>1529000</v>
          </cell>
        </row>
        <row r="78">
          <cell r="B78" t="str">
            <v>의류</v>
          </cell>
          <cell r="F78" t="str">
            <v>I0Y7101</v>
          </cell>
          <cell r="G78">
            <v>37</v>
          </cell>
        </row>
        <row r="79">
          <cell r="B79" t="str">
            <v>의류</v>
          </cell>
          <cell r="F79" t="str">
            <v>I0Y7101</v>
          </cell>
          <cell r="G79">
            <v>49</v>
          </cell>
          <cell r="AB79">
            <v>-1</v>
          </cell>
          <cell r="AC79">
            <v>-89000</v>
          </cell>
        </row>
        <row r="80">
          <cell r="B80" t="str">
            <v>의류</v>
          </cell>
          <cell r="F80" t="str">
            <v>I0Y7102</v>
          </cell>
          <cell r="G80">
            <v>37</v>
          </cell>
          <cell r="AB80">
            <v>3</v>
          </cell>
          <cell r="AC80">
            <v>237000</v>
          </cell>
        </row>
        <row r="81">
          <cell r="B81" t="str">
            <v>의류</v>
          </cell>
          <cell r="F81" t="str">
            <v>I0Y7102</v>
          </cell>
          <cell r="G81">
            <v>49</v>
          </cell>
          <cell r="AB81">
            <v>6</v>
          </cell>
          <cell r="AC81">
            <v>454000</v>
          </cell>
        </row>
        <row r="82">
          <cell r="B82" t="str">
            <v>의류</v>
          </cell>
          <cell r="F82" t="str">
            <v>I0Y7102</v>
          </cell>
          <cell r="G82">
            <v>54</v>
          </cell>
          <cell r="AB82">
            <v>1</v>
          </cell>
          <cell r="AC82">
            <v>79000</v>
          </cell>
        </row>
        <row r="83">
          <cell r="B83" t="str">
            <v>의류</v>
          </cell>
          <cell r="F83" t="str">
            <v>I0Y7103</v>
          </cell>
          <cell r="G83">
            <v>37</v>
          </cell>
          <cell r="AB83">
            <v>-1</v>
          </cell>
          <cell r="AC83">
            <v>-99000</v>
          </cell>
        </row>
        <row r="84">
          <cell r="B84" t="str">
            <v>의류</v>
          </cell>
          <cell r="F84" t="str">
            <v>I0Y7103</v>
          </cell>
          <cell r="G84">
            <v>43</v>
          </cell>
        </row>
        <row r="85">
          <cell r="B85" t="str">
            <v>의류</v>
          </cell>
          <cell r="F85" t="str">
            <v>I0Y7104</v>
          </cell>
          <cell r="G85">
            <v>32</v>
          </cell>
          <cell r="AB85">
            <v>6</v>
          </cell>
          <cell r="AC85">
            <v>534000</v>
          </cell>
        </row>
        <row r="86">
          <cell r="B86" t="str">
            <v>의류</v>
          </cell>
          <cell r="F86" t="str">
            <v>I0Y7104</v>
          </cell>
          <cell r="G86">
            <v>49</v>
          </cell>
          <cell r="AB86">
            <v>6</v>
          </cell>
          <cell r="AC86">
            <v>534000</v>
          </cell>
        </row>
        <row r="87">
          <cell r="B87" t="str">
            <v>의류</v>
          </cell>
          <cell r="F87" t="str">
            <v>I0Y7105</v>
          </cell>
          <cell r="G87">
            <v>39</v>
          </cell>
          <cell r="AB87">
            <v>6</v>
          </cell>
          <cell r="AC87">
            <v>624000</v>
          </cell>
        </row>
        <row r="88">
          <cell r="B88" t="str">
            <v>의류</v>
          </cell>
          <cell r="F88" t="str">
            <v>I0Y7201</v>
          </cell>
          <cell r="G88">
            <v>32</v>
          </cell>
          <cell r="AB88">
            <v>43</v>
          </cell>
          <cell r="AC88">
            <v>2537000</v>
          </cell>
        </row>
        <row r="89">
          <cell r="B89" t="str">
            <v>의류</v>
          </cell>
          <cell r="F89" t="str">
            <v>I0Y7201</v>
          </cell>
          <cell r="G89">
            <v>43</v>
          </cell>
          <cell r="AB89">
            <v>52</v>
          </cell>
          <cell r="AC89">
            <v>3068000</v>
          </cell>
        </row>
        <row r="90">
          <cell r="B90" t="str">
            <v>의류</v>
          </cell>
          <cell r="F90" t="str">
            <v>I0Y7201</v>
          </cell>
          <cell r="G90">
            <v>49</v>
          </cell>
          <cell r="AB90">
            <v>97</v>
          </cell>
          <cell r="AC90">
            <v>5710900</v>
          </cell>
        </row>
        <row r="91">
          <cell r="B91" t="str">
            <v>의류</v>
          </cell>
          <cell r="F91" t="str">
            <v>I0Y7202</v>
          </cell>
          <cell r="G91">
            <v>43</v>
          </cell>
          <cell r="AB91">
            <v>24</v>
          </cell>
          <cell r="AC91">
            <v>1876000</v>
          </cell>
        </row>
        <row r="92">
          <cell r="B92" t="str">
            <v>의류</v>
          </cell>
          <cell r="F92" t="str">
            <v>I0Y7202</v>
          </cell>
          <cell r="G92">
            <v>49</v>
          </cell>
          <cell r="AB92">
            <v>29</v>
          </cell>
          <cell r="AC92">
            <v>2291000</v>
          </cell>
        </row>
        <row r="93">
          <cell r="B93" t="str">
            <v>의류</v>
          </cell>
          <cell r="F93" t="str">
            <v>I0Y7202</v>
          </cell>
          <cell r="G93">
            <v>53</v>
          </cell>
          <cell r="AB93">
            <v>26</v>
          </cell>
          <cell r="AC93">
            <v>2034000</v>
          </cell>
        </row>
        <row r="94">
          <cell r="B94" t="str">
            <v>의류</v>
          </cell>
          <cell r="F94" t="str">
            <v>I0Y7203</v>
          </cell>
          <cell r="G94">
            <v>34</v>
          </cell>
          <cell r="AB94">
            <v>17</v>
          </cell>
          <cell r="AC94">
            <v>1343000</v>
          </cell>
        </row>
        <row r="95">
          <cell r="B95" t="str">
            <v>의류</v>
          </cell>
          <cell r="F95" t="str">
            <v>I0Y7203</v>
          </cell>
          <cell r="G95">
            <v>49</v>
          </cell>
          <cell r="AB95">
            <v>43</v>
          </cell>
          <cell r="AC95">
            <v>3397000</v>
          </cell>
        </row>
        <row r="96">
          <cell r="B96" t="str">
            <v>의류</v>
          </cell>
          <cell r="F96" t="str">
            <v>I0Y7204</v>
          </cell>
          <cell r="G96">
            <v>37</v>
          </cell>
          <cell r="AB96">
            <v>30</v>
          </cell>
          <cell r="AC96">
            <v>2070000</v>
          </cell>
        </row>
        <row r="97">
          <cell r="B97" t="str">
            <v>의류</v>
          </cell>
          <cell r="F97" t="str">
            <v>I0Y7205</v>
          </cell>
          <cell r="G97">
            <v>31</v>
          </cell>
          <cell r="AB97">
            <v>7</v>
          </cell>
          <cell r="AC97">
            <v>343000</v>
          </cell>
        </row>
        <row r="98">
          <cell r="B98" t="str">
            <v>의류</v>
          </cell>
          <cell r="F98" t="str">
            <v>I0Y7205</v>
          </cell>
          <cell r="G98">
            <v>49</v>
          </cell>
          <cell r="AB98">
            <v>14</v>
          </cell>
          <cell r="AC98">
            <v>686000</v>
          </cell>
        </row>
        <row r="99">
          <cell r="B99" t="str">
            <v>의류</v>
          </cell>
          <cell r="F99" t="str">
            <v>I0Y7205</v>
          </cell>
          <cell r="G99">
            <v>53</v>
          </cell>
          <cell r="AB99">
            <v>13</v>
          </cell>
          <cell r="AC99">
            <v>637000</v>
          </cell>
        </row>
        <row r="100">
          <cell r="B100" t="str">
            <v>의류</v>
          </cell>
          <cell r="F100" t="str">
            <v>I0Y7206</v>
          </cell>
          <cell r="G100">
            <v>45</v>
          </cell>
          <cell r="AB100">
            <v>6</v>
          </cell>
          <cell r="AC100">
            <v>414000</v>
          </cell>
        </row>
        <row r="101">
          <cell r="B101" t="str">
            <v>의류</v>
          </cell>
          <cell r="F101" t="str">
            <v>I0Y7206</v>
          </cell>
          <cell r="G101">
            <v>49</v>
          </cell>
          <cell r="AB101">
            <v>24</v>
          </cell>
          <cell r="AC101">
            <v>1586000</v>
          </cell>
        </row>
        <row r="102">
          <cell r="B102" t="str">
            <v>의류</v>
          </cell>
          <cell r="F102" t="str">
            <v>I0Y7207</v>
          </cell>
          <cell r="G102">
            <v>37</v>
          </cell>
          <cell r="AB102">
            <v>56</v>
          </cell>
          <cell r="AC102">
            <v>3304000</v>
          </cell>
        </row>
        <row r="103">
          <cell r="B103" t="str">
            <v>의류</v>
          </cell>
          <cell r="F103" t="str">
            <v>I0Y7207</v>
          </cell>
          <cell r="G103">
            <v>43</v>
          </cell>
          <cell r="AB103">
            <v>91</v>
          </cell>
          <cell r="AC103">
            <v>5369000</v>
          </cell>
        </row>
        <row r="104">
          <cell r="B104" t="str">
            <v>의류</v>
          </cell>
          <cell r="F104" t="str">
            <v>I0Y7207</v>
          </cell>
          <cell r="G104">
            <v>49</v>
          </cell>
          <cell r="AB104">
            <v>126</v>
          </cell>
          <cell r="AC104">
            <v>7364000</v>
          </cell>
        </row>
        <row r="105">
          <cell r="B105" t="str">
            <v>의류</v>
          </cell>
          <cell r="F105" t="str">
            <v>I0Y7208</v>
          </cell>
          <cell r="G105">
            <v>34</v>
          </cell>
          <cell r="AB105">
            <v>9</v>
          </cell>
          <cell r="AC105">
            <v>531000</v>
          </cell>
        </row>
        <row r="106">
          <cell r="B106" t="str">
            <v>의류</v>
          </cell>
          <cell r="F106" t="str">
            <v>I0Y7208</v>
          </cell>
          <cell r="G106">
            <v>49</v>
          </cell>
          <cell r="AB106">
            <v>37</v>
          </cell>
          <cell r="AC106">
            <v>2153000</v>
          </cell>
        </row>
        <row r="107">
          <cell r="B107" t="str">
            <v>의류</v>
          </cell>
          <cell r="F107" t="str">
            <v>I0YV201</v>
          </cell>
          <cell r="G107">
            <v>36</v>
          </cell>
          <cell r="AB107">
            <v>16</v>
          </cell>
          <cell r="AC107">
            <v>1874000</v>
          </cell>
        </row>
        <row r="108">
          <cell r="B108" t="str">
            <v>의류</v>
          </cell>
          <cell r="F108" t="str">
            <v>I0YV201</v>
          </cell>
          <cell r="G108">
            <v>49</v>
          </cell>
          <cell r="AB108">
            <v>14</v>
          </cell>
          <cell r="AC108">
            <v>1636000</v>
          </cell>
        </row>
        <row r="109">
          <cell r="B109" t="str">
            <v>악세</v>
          </cell>
          <cell r="F109" t="str">
            <v>IAYG101</v>
          </cell>
          <cell r="G109">
            <v>31</v>
          </cell>
          <cell r="AB109">
            <v>7</v>
          </cell>
          <cell r="AC109">
            <v>264000</v>
          </cell>
        </row>
        <row r="110">
          <cell r="B110" t="str">
            <v>악세</v>
          </cell>
          <cell r="F110" t="str">
            <v>IAYT101</v>
          </cell>
          <cell r="G110">
            <v>34</v>
          </cell>
          <cell r="AB110">
            <v>1</v>
          </cell>
          <cell r="AC110">
            <v>19900</v>
          </cell>
        </row>
        <row r="111">
          <cell r="B111" t="str">
            <v>악세</v>
          </cell>
          <cell r="F111" t="str">
            <v>IAYT102</v>
          </cell>
          <cell r="G111">
            <v>31</v>
          </cell>
          <cell r="AB111">
            <v>3</v>
          </cell>
          <cell r="AC111">
            <v>59700</v>
          </cell>
        </row>
        <row r="112">
          <cell r="B112" t="str">
            <v>악세</v>
          </cell>
          <cell r="F112" t="str">
            <v>IAYT102</v>
          </cell>
          <cell r="G112">
            <v>39</v>
          </cell>
          <cell r="AB112">
            <v>2</v>
          </cell>
          <cell r="AC112">
            <v>39800</v>
          </cell>
        </row>
        <row r="113">
          <cell r="B113" t="str">
            <v>악세</v>
          </cell>
          <cell r="F113" t="str">
            <v>IAYT201</v>
          </cell>
          <cell r="G113">
            <v>31</v>
          </cell>
          <cell r="AB113">
            <v>14</v>
          </cell>
          <cell r="AC113">
            <v>212800</v>
          </cell>
        </row>
        <row r="114">
          <cell r="B114" t="str">
            <v>악세</v>
          </cell>
          <cell r="F114" t="str">
            <v>IAYV201</v>
          </cell>
          <cell r="G114">
            <v>49</v>
          </cell>
          <cell r="AB114">
            <v>4</v>
          </cell>
          <cell r="AC114">
            <v>249600</v>
          </cell>
        </row>
        <row r="115">
          <cell r="B115" t="str">
            <v>악세</v>
          </cell>
          <cell r="F115" t="str">
            <v>IAYW101</v>
          </cell>
          <cell r="G115">
            <v>49</v>
          </cell>
          <cell r="AB115">
            <v>2</v>
          </cell>
          <cell r="AC115">
            <v>92800</v>
          </cell>
        </row>
        <row r="116">
          <cell r="B116" t="str">
            <v>악세</v>
          </cell>
          <cell r="F116" t="str">
            <v>IAYW102</v>
          </cell>
          <cell r="G116">
            <v>37</v>
          </cell>
          <cell r="AB116">
            <v>1</v>
          </cell>
          <cell r="AC116">
            <v>46400</v>
          </cell>
        </row>
        <row r="117">
          <cell r="B117" t="str">
            <v>악세</v>
          </cell>
          <cell r="F117" t="str">
            <v>IAYW103</v>
          </cell>
          <cell r="G117">
            <v>22</v>
          </cell>
          <cell r="AB117">
            <v>3</v>
          </cell>
          <cell r="AC117">
            <v>139200</v>
          </cell>
        </row>
        <row r="118">
          <cell r="B118" t="str">
            <v>악세</v>
          </cell>
          <cell r="F118" t="str">
            <v>IAYW103</v>
          </cell>
          <cell r="G118">
            <v>49</v>
          </cell>
          <cell r="AB118">
            <v>4</v>
          </cell>
          <cell r="AC118">
            <v>185600</v>
          </cell>
        </row>
        <row r="119">
          <cell r="B119" t="str">
            <v>악세</v>
          </cell>
          <cell r="F119" t="str">
            <v>IAYW103</v>
          </cell>
          <cell r="G119">
            <v>76</v>
          </cell>
          <cell r="AB119">
            <v>1</v>
          </cell>
          <cell r="AC119">
            <v>46400</v>
          </cell>
        </row>
        <row r="120">
          <cell r="B120" t="str">
            <v>악세</v>
          </cell>
          <cell r="F120" t="str">
            <v>IAYW104</v>
          </cell>
          <cell r="G120">
            <v>31</v>
          </cell>
          <cell r="AB120">
            <v>3</v>
          </cell>
          <cell r="AC120">
            <v>139200</v>
          </cell>
        </row>
        <row r="121">
          <cell r="B121" t="str">
            <v>악세</v>
          </cell>
          <cell r="F121" t="str">
            <v>IAYW104</v>
          </cell>
          <cell r="G121">
            <v>49</v>
          </cell>
          <cell r="AB121">
            <v>5</v>
          </cell>
          <cell r="AC121">
            <v>232000</v>
          </cell>
        </row>
        <row r="122">
          <cell r="B122" t="str">
            <v>악세</v>
          </cell>
          <cell r="F122" t="str">
            <v>IAYW105</v>
          </cell>
          <cell r="G122">
            <v>34</v>
          </cell>
          <cell r="AB122">
            <v>1</v>
          </cell>
          <cell r="AC122">
            <v>46400</v>
          </cell>
        </row>
        <row r="123">
          <cell r="B123" t="str">
            <v>악세</v>
          </cell>
          <cell r="F123" t="str">
            <v>IAYW105</v>
          </cell>
          <cell r="G123">
            <v>37</v>
          </cell>
          <cell r="AB123">
            <v>1</v>
          </cell>
          <cell r="AC123">
            <v>46400</v>
          </cell>
        </row>
        <row r="124">
          <cell r="B124" t="str">
            <v>악세</v>
          </cell>
          <cell r="F124" t="str">
            <v>IAYW106</v>
          </cell>
          <cell r="G124">
            <v>61</v>
          </cell>
        </row>
        <row r="125">
          <cell r="B125" t="str">
            <v>악세</v>
          </cell>
          <cell r="F125" t="str">
            <v>IAYW201</v>
          </cell>
          <cell r="G125">
            <v>31</v>
          </cell>
          <cell r="AB125">
            <v>12</v>
          </cell>
          <cell r="AC125">
            <v>556800</v>
          </cell>
        </row>
        <row r="126">
          <cell r="B126" t="str">
            <v>악세</v>
          </cell>
          <cell r="F126" t="str">
            <v>IAYW201</v>
          </cell>
          <cell r="G126">
            <v>49</v>
          </cell>
          <cell r="AB126">
            <v>8</v>
          </cell>
          <cell r="AC126">
            <v>371200</v>
          </cell>
        </row>
        <row r="127">
          <cell r="B127" t="str">
            <v>악세</v>
          </cell>
          <cell r="F127" t="str">
            <v>IAYW202</v>
          </cell>
          <cell r="G127">
            <v>32</v>
          </cell>
          <cell r="AB127">
            <v>8</v>
          </cell>
          <cell r="AC127">
            <v>371200</v>
          </cell>
        </row>
        <row r="128">
          <cell r="B128" t="str">
            <v>악세</v>
          </cell>
          <cell r="F128" t="str">
            <v>IAYW202</v>
          </cell>
          <cell r="G128">
            <v>49</v>
          </cell>
          <cell r="AB128">
            <v>13</v>
          </cell>
          <cell r="AC128">
            <v>603200</v>
          </cell>
        </row>
        <row r="129">
          <cell r="B129" t="str">
            <v>악세</v>
          </cell>
          <cell r="F129" t="str">
            <v>IAYW203</v>
          </cell>
          <cell r="G129">
            <v>37</v>
          </cell>
          <cell r="AB129">
            <v>6</v>
          </cell>
          <cell r="AC129">
            <v>278400</v>
          </cell>
        </row>
        <row r="130">
          <cell r="B130" t="str">
            <v>악세</v>
          </cell>
          <cell r="F130" t="str">
            <v>IAYW203</v>
          </cell>
          <cell r="G130">
            <v>43</v>
          </cell>
          <cell r="AB130">
            <v>6</v>
          </cell>
          <cell r="AC130">
            <v>278400</v>
          </cell>
        </row>
        <row r="131">
          <cell r="B131" t="str">
            <v>악세</v>
          </cell>
          <cell r="F131" t="str">
            <v>IAYW204</v>
          </cell>
          <cell r="G131">
            <v>49</v>
          </cell>
          <cell r="AB131">
            <v>7</v>
          </cell>
          <cell r="AC131">
            <v>324800</v>
          </cell>
        </row>
        <row r="132">
          <cell r="B132" t="str">
            <v>악세</v>
          </cell>
          <cell r="F132" t="str">
            <v>IAYW205</v>
          </cell>
          <cell r="G132">
            <v>49</v>
          </cell>
          <cell r="AB132">
            <v>10</v>
          </cell>
          <cell r="AC132">
            <v>464000</v>
          </cell>
        </row>
        <row r="133">
          <cell r="B133" t="str">
            <v>악세</v>
          </cell>
          <cell r="F133" t="str">
            <v>IAYW206</v>
          </cell>
          <cell r="G133">
            <v>37</v>
          </cell>
          <cell r="AB133">
            <v>14</v>
          </cell>
          <cell r="AC133">
            <v>649600</v>
          </cell>
        </row>
        <row r="134">
          <cell r="B134" t="str">
            <v>악세</v>
          </cell>
          <cell r="F134" t="str">
            <v>IAYW206</v>
          </cell>
          <cell r="G134">
            <v>53</v>
          </cell>
          <cell r="AB134">
            <v>5</v>
          </cell>
          <cell r="AC134">
            <v>232000</v>
          </cell>
        </row>
        <row r="135">
          <cell r="B135" t="str">
            <v>악세</v>
          </cell>
          <cell r="F135" t="str">
            <v>IAYW207</v>
          </cell>
          <cell r="G135">
            <v>34</v>
          </cell>
          <cell r="AB135">
            <v>7</v>
          </cell>
          <cell r="AC135">
            <v>380800</v>
          </cell>
        </row>
        <row r="136">
          <cell r="B136" t="str">
            <v>악세</v>
          </cell>
          <cell r="F136" t="str">
            <v>IAYW208</v>
          </cell>
          <cell r="G136">
            <v>49</v>
          </cell>
          <cell r="AB136">
            <v>9</v>
          </cell>
          <cell r="AC136">
            <v>417600</v>
          </cell>
        </row>
        <row r="137">
          <cell r="B137" t="str">
            <v>악세</v>
          </cell>
          <cell r="F137" t="str">
            <v>IAYW209</v>
          </cell>
          <cell r="G137">
            <v>73</v>
          </cell>
          <cell r="AB137">
            <v>7</v>
          </cell>
          <cell r="AC137">
            <v>324800</v>
          </cell>
        </row>
        <row r="138">
          <cell r="B138" t="str">
            <v>악세</v>
          </cell>
          <cell r="F138" t="str">
            <v>IAYW210</v>
          </cell>
          <cell r="G138">
            <v>49</v>
          </cell>
          <cell r="AB138">
            <v>7</v>
          </cell>
          <cell r="AC138">
            <v>304800</v>
          </cell>
        </row>
        <row r="139">
          <cell r="B139" t="str">
            <v>악세</v>
          </cell>
          <cell r="F139" t="str">
            <v>IAYW211</v>
          </cell>
          <cell r="G139">
            <v>31</v>
          </cell>
          <cell r="AB139">
            <v>5</v>
          </cell>
          <cell r="AC139">
            <v>232000</v>
          </cell>
        </row>
        <row r="140">
          <cell r="B140" t="str">
            <v>악세</v>
          </cell>
          <cell r="F140" t="str">
            <v>IAYW211</v>
          </cell>
          <cell r="G140">
            <v>39</v>
          </cell>
          <cell r="AB140">
            <v>1</v>
          </cell>
          <cell r="AC140">
            <v>46400</v>
          </cell>
        </row>
        <row r="141">
          <cell r="B141" t="str">
            <v>악세</v>
          </cell>
          <cell r="F141" t="str">
            <v>IAYW212</v>
          </cell>
          <cell r="G141">
            <v>39</v>
          </cell>
          <cell r="AB141">
            <v>2</v>
          </cell>
          <cell r="AC141">
            <v>108800</v>
          </cell>
        </row>
        <row r="142">
          <cell r="B142" t="str">
            <v>악세</v>
          </cell>
          <cell r="F142" t="str">
            <v>IAYW213</v>
          </cell>
          <cell r="G142">
            <v>32</v>
          </cell>
          <cell r="AB142">
            <v>10</v>
          </cell>
          <cell r="AC142">
            <v>544000</v>
          </cell>
        </row>
        <row r="143">
          <cell r="B143" t="str">
            <v>악세</v>
          </cell>
          <cell r="F143" t="str">
            <v>IAYW213</v>
          </cell>
          <cell r="G143">
            <v>39</v>
          </cell>
          <cell r="AB143">
            <v>4</v>
          </cell>
          <cell r="AC143">
            <v>217600</v>
          </cell>
        </row>
        <row r="144">
          <cell r="B144" t="str">
            <v>T커머스</v>
          </cell>
          <cell r="F144" t="str">
            <v>IEY7201</v>
          </cell>
          <cell r="G144">
            <v>39</v>
          </cell>
          <cell r="AB144">
            <v>22</v>
          </cell>
          <cell r="AC144">
            <v>858000</v>
          </cell>
        </row>
        <row r="145">
          <cell r="B145" t="str">
            <v>T커머스</v>
          </cell>
          <cell r="F145" t="str">
            <v>IEY7202</v>
          </cell>
          <cell r="G145">
            <v>34</v>
          </cell>
          <cell r="AB145">
            <v>32</v>
          </cell>
          <cell r="AC145">
            <v>1248000</v>
          </cell>
        </row>
        <row r="146">
          <cell r="B146" t="str">
            <v>T커머스</v>
          </cell>
          <cell r="F146" t="str">
            <v>IEY7203</v>
          </cell>
          <cell r="G146">
            <v>49</v>
          </cell>
          <cell r="AB146">
            <v>32</v>
          </cell>
          <cell r="AC146">
            <v>1248000</v>
          </cell>
        </row>
        <row r="147">
          <cell r="B147" t="str">
            <v>의류</v>
          </cell>
          <cell r="F147" t="str">
            <v>INY1101</v>
          </cell>
          <cell r="G147">
            <v>21</v>
          </cell>
        </row>
        <row r="148">
          <cell r="B148" t="str">
            <v>의류</v>
          </cell>
          <cell r="F148" t="str">
            <v>INY1101</v>
          </cell>
          <cell r="G148">
            <v>31</v>
          </cell>
          <cell r="AB148">
            <v>10</v>
          </cell>
          <cell r="AC148">
            <v>690000</v>
          </cell>
        </row>
        <row r="149">
          <cell r="B149" t="str">
            <v>의류</v>
          </cell>
          <cell r="F149" t="str">
            <v>INY1101</v>
          </cell>
          <cell r="G149">
            <v>39</v>
          </cell>
          <cell r="AB149">
            <v>-1</v>
          </cell>
          <cell r="AC149">
            <v>-69000</v>
          </cell>
        </row>
        <row r="150">
          <cell r="B150" t="str">
            <v>의류</v>
          </cell>
          <cell r="F150" t="str">
            <v>INY1102</v>
          </cell>
          <cell r="G150">
            <v>31</v>
          </cell>
        </row>
        <row r="151">
          <cell r="B151" t="str">
            <v>의류</v>
          </cell>
          <cell r="F151" t="str">
            <v>INY1104</v>
          </cell>
          <cell r="G151">
            <v>31</v>
          </cell>
        </row>
        <row r="152">
          <cell r="B152" t="str">
            <v>의류</v>
          </cell>
          <cell r="F152" t="str">
            <v>INY1104</v>
          </cell>
          <cell r="G152">
            <v>49</v>
          </cell>
          <cell r="AB152">
            <v>1</v>
          </cell>
          <cell r="AC152">
            <v>69000</v>
          </cell>
        </row>
        <row r="153">
          <cell r="B153" t="str">
            <v>의류</v>
          </cell>
          <cell r="F153" t="str">
            <v>INY1201</v>
          </cell>
          <cell r="G153">
            <v>31</v>
          </cell>
          <cell r="AB153">
            <v>13</v>
          </cell>
          <cell r="AC153">
            <v>857000</v>
          </cell>
        </row>
        <row r="154">
          <cell r="B154" t="str">
            <v>의류</v>
          </cell>
          <cell r="F154" t="str">
            <v>INY1201</v>
          </cell>
          <cell r="G154">
            <v>76</v>
          </cell>
          <cell r="AB154">
            <v>8</v>
          </cell>
          <cell r="AC154">
            <v>552000</v>
          </cell>
        </row>
        <row r="155">
          <cell r="B155" t="str">
            <v>의류</v>
          </cell>
          <cell r="F155" t="str">
            <v>INY1202</v>
          </cell>
          <cell r="G155">
            <v>21</v>
          </cell>
        </row>
        <row r="156">
          <cell r="B156" t="str">
            <v>의류</v>
          </cell>
          <cell r="F156" t="str">
            <v>INY1202</v>
          </cell>
          <cell r="G156">
            <v>31</v>
          </cell>
          <cell r="AB156">
            <v>8</v>
          </cell>
          <cell r="AC156">
            <v>392000</v>
          </cell>
        </row>
        <row r="157">
          <cell r="B157" t="str">
            <v>의류</v>
          </cell>
          <cell r="F157" t="str">
            <v>INY1203</v>
          </cell>
          <cell r="G157">
            <v>39</v>
          </cell>
          <cell r="AB157">
            <v>6</v>
          </cell>
          <cell r="AC157">
            <v>294000</v>
          </cell>
        </row>
        <row r="158">
          <cell r="B158" t="str">
            <v>의류</v>
          </cell>
          <cell r="F158" t="str">
            <v>INY1203</v>
          </cell>
          <cell r="G158">
            <v>76</v>
          </cell>
          <cell r="AB158">
            <v>3</v>
          </cell>
          <cell r="AC158">
            <v>147000</v>
          </cell>
        </row>
        <row r="159">
          <cell r="B159" t="str">
            <v>의류</v>
          </cell>
          <cell r="F159" t="str">
            <v>INY1204</v>
          </cell>
          <cell r="G159">
            <v>31</v>
          </cell>
          <cell r="AB159">
            <v>20</v>
          </cell>
          <cell r="AC159">
            <v>980000</v>
          </cell>
        </row>
        <row r="160">
          <cell r="B160" t="str">
            <v>의류</v>
          </cell>
          <cell r="F160" t="str">
            <v>INY1204</v>
          </cell>
          <cell r="G160">
            <v>39</v>
          </cell>
          <cell r="AB160">
            <v>19</v>
          </cell>
          <cell r="AC160">
            <v>931000</v>
          </cell>
        </row>
        <row r="161">
          <cell r="B161" t="str">
            <v>의류</v>
          </cell>
          <cell r="F161" t="str">
            <v>INY1205</v>
          </cell>
          <cell r="G161">
            <v>34</v>
          </cell>
          <cell r="AB161">
            <v>17</v>
          </cell>
          <cell r="AC161">
            <v>1003000</v>
          </cell>
        </row>
        <row r="162">
          <cell r="B162" t="str">
            <v>의류</v>
          </cell>
          <cell r="F162" t="str">
            <v>INY1206</v>
          </cell>
          <cell r="G162">
            <v>41</v>
          </cell>
          <cell r="AB162">
            <v>8</v>
          </cell>
          <cell r="AC162">
            <v>632000</v>
          </cell>
        </row>
        <row r="163">
          <cell r="B163" t="str">
            <v>의류</v>
          </cell>
          <cell r="F163" t="str">
            <v>INY1207</v>
          </cell>
          <cell r="G163">
            <v>34</v>
          </cell>
          <cell r="AB163">
            <v>12</v>
          </cell>
          <cell r="AC163">
            <v>748000</v>
          </cell>
        </row>
        <row r="164">
          <cell r="B164" t="str">
            <v>의류</v>
          </cell>
          <cell r="F164" t="str">
            <v>INY1207</v>
          </cell>
          <cell r="G164">
            <v>41</v>
          </cell>
          <cell r="AB164">
            <v>8</v>
          </cell>
          <cell r="AC164">
            <v>552000</v>
          </cell>
        </row>
        <row r="165">
          <cell r="B165" t="str">
            <v>의류</v>
          </cell>
          <cell r="F165" t="str">
            <v>INY1208</v>
          </cell>
          <cell r="G165">
            <v>37</v>
          </cell>
          <cell r="AB165">
            <v>3</v>
          </cell>
          <cell r="AC165">
            <v>237000</v>
          </cell>
        </row>
        <row r="166">
          <cell r="B166" t="str">
            <v>의류</v>
          </cell>
          <cell r="F166" t="str">
            <v>INY1209</v>
          </cell>
          <cell r="G166">
            <v>31</v>
          </cell>
          <cell r="AB166">
            <v>16</v>
          </cell>
          <cell r="AC166">
            <v>1264000</v>
          </cell>
        </row>
        <row r="167">
          <cell r="B167" t="str">
            <v>의류</v>
          </cell>
          <cell r="F167" t="str">
            <v>INY6101</v>
          </cell>
          <cell r="G167">
            <v>31</v>
          </cell>
          <cell r="AB167">
            <v>1</v>
          </cell>
          <cell r="AC167">
            <v>179000</v>
          </cell>
        </row>
        <row r="168">
          <cell r="B168" t="str">
            <v>의류</v>
          </cell>
          <cell r="F168" t="str">
            <v>INY6102</v>
          </cell>
          <cell r="G168">
            <v>21</v>
          </cell>
          <cell r="AB168">
            <v>1</v>
          </cell>
          <cell r="AC168">
            <v>119000</v>
          </cell>
        </row>
        <row r="169">
          <cell r="B169" t="str">
            <v>의류</v>
          </cell>
          <cell r="F169" t="str">
            <v>INY6102</v>
          </cell>
          <cell r="G169">
            <v>32</v>
          </cell>
          <cell r="AB169">
            <v>3</v>
          </cell>
          <cell r="AC169">
            <v>357000</v>
          </cell>
        </row>
        <row r="170">
          <cell r="B170" t="str">
            <v>의류</v>
          </cell>
          <cell r="F170" t="str">
            <v>INY6103</v>
          </cell>
          <cell r="G170">
            <v>36</v>
          </cell>
          <cell r="AB170">
            <v>1</v>
          </cell>
          <cell r="AC170">
            <v>129000</v>
          </cell>
        </row>
        <row r="171">
          <cell r="B171" t="str">
            <v>의류</v>
          </cell>
          <cell r="F171" t="str">
            <v>INY6103</v>
          </cell>
          <cell r="G171">
            <v>77</v>
          </cell>
        </row>
        <row r="172">
          <cell r="B172" t="str">
            <v>의류</v>
          </cell>
          <cell r="F172" t="str">
            <v>INY6104</v>
          </cell>
          <cell r="G172">
            <v>38</v>
          </cell>
        </row>
        <row r="173">
          <cell r="B173" t="str">
            <v>의류</v>
          </cell>
          <cell r="F173" t="str">
            <v>INY6201</v>
          </cell>
          <cell r="G173">
            <v>31</v>
          </cell>
          <cell r="AB173">
            <v>6</v>
          </cell>
          <cell r="AC173">
            <v>894000</v>
          </cell>
        </row>
        <row r="174">
          <cell r="B174" t="str">
            <v>의류</v>
          </cell>
          <cell r="F174" t="str">
            <v>INY6201</v>
          </cell>
          <cell r="G174">
            <v>41</v>
          </cell>
          <cell r="AB174">
            <v>2</v>
          </cell>
          <cell r="AC174">
            <v>248000</v>
          </cell>
        </row>
        <row r="175">
          <cell r="B175" t="str">
            <v>의류</v>
          </cell>
          <cell r="F175" t="str">
            <v>INY6202</v>
          </cell>
          <cell r="G175">
            <v>38</v>
          </cell>
          <cell r="AB175">
            <v>5</v>
          </cell>
          <cell r="AC175">
            <v>645000</v>
          </cell>
        </row>
        <row r="176">
          <cell r="B176" t="str">
            <v>의류</v>
          </cell>
          <cell r="F176" t="str">
            <v>INY6202</v>
          </cell>
          <cell r="G176">
            <v>77</v>
          </cell>
          <cell r="AB176">
            <v>2</v>
          </cell>
          <cell r="AC176">
            <v>258000</v>
          </cell>
        </row>
        <row r="177">
          <cell r="B177" t="str">
            <v>의류</v>
          </cell>
          <cell r="F177" t="str">
            <v>INY7101</v>
          </cell>
          <cell r="G177">
            <v>31</v>
          </cell>
          <cell r="AB177">
            <v>9</v>
          </cell>
          <cell r="AC177">
            <v>711000</v>
          </cell>
        </row>
        <row r="178">
          <cell r="B178" t="str">
            <v>의류</v>
          </cell>
          <cell r="F178" t="str">
            <v>INY7101</v>
          </cell>
          <cell r="G178">
            <v>39</v>
          </cell>
          <cell r="AB178">
            <v>4</v>
          </cell>
          <cell r="AC178">
            <v>316000</v>
          </cell>
        </row>
        <row r="179">
          <cell r="B179" t="str">
            <v>의류</v>
          </cell>
          <cell r="F179" t="str">
            <v>INY7101</v>
          </cell>
          <cell r="G179">
            <v>76</v>
          </cell>
          <cell r="AB179">
            <v>3</v>
          </cell>
          <cell r="AC179">
            <v>237000</v>
          </cell>
        </row>
        <row r="180">
          <cell r="B180" t="str">
            <v>의류</v>
          </cell>
          <cell r="F180" t="str">
            <v>INY7102</v>
          </cell>
          <cell r="G180">
            <v>31</v>
          </cell>
          <cell r="AB180">
            <v>1</v>
          </cell>
          <cell r="AC180">
            <v>89000</v>
          </cell>
        </row>
        <row r="181">
          <cell r="B181" t="str">
            <v>의류</v>
          </cell>
          <cell r="F181" t="str">
            <v>INY7102</v>
          </cell>
          <cell r="G181">
            <v>39</v>
          </cell>
          <cell r="AB181">
            <v>2</v>
          </cell>
          <cell r="AC181">
            <v>178000</v>
          </cell>
        </row>
        <row r="182">
          <cell r="B182" t="str">
            <v>의류</v>
          </cell>
          <cell r="F182" t="str">
            <v>INY7201</v>
          </cell>
          <cell r="G182">
            <v>31</v>
          </cell>
          <cell r="AB182">
            <v>25</v>
          </cell>
          <cell r="AC182">
            <v>2435400</v>
          </cell>
        </row>
        <row r="183">
          <cell r="B183" t="str">
            <v>의류</v>
          </cell>
          <cell r="F183" t="str">
            <v>INY7201</v>
          </cell>
          <cell r="G183">
            <v>41</v>
          </cell>
          <cell r="AB183">
            <v>5</v>
          </cell>
          <cell r="AC183">
            <v>495000</v>
          </cell>
        </row>
        <row r="184">
          <cell r="B184" t="str">
            <v>의류</v>
          </cell>
          <cell r="F184" t="str">
            <v>INY7202</v>
          </cell>
          <cell r="G184">
            <v>37</v>
          </cell>
          <cell r="AB184">
            <v>13</v>
          </cell>
          <cell r="AC184">
            <v>1417000</v>
          </cell>
        </row>
        <row r="185">
          <cell r="B185" t="str">
            <v>의류</v>
          </cell>
          <cell r="F185" t="str">
            <v>INY7203</v>
          </cell>
          <cell r="G185">
            <v>34</v>
          </cell>
          <cell r="AB185">
            <v>24</v>
          </cell>
          <cell r="AC185">
            <v>2566000</v>
          </cell>
        </row>
        <row r="186">
          <cell r="B186" t="str">
            <v>의류</v>
          </cell>
          <cell r="F186" t="str">
            <v>INY7203</v>
          </cell>
          <cell r="G186">
            <v>39</v>
          </cell>
          <cell r="AB186">
            <v>13</v>
          </cell>
          <cell r="AC186">
            <v>1387000</v>
          </cell>
        </row>
        <row r="187">
          <cell r="B187" t="str">
            <v>의류</v>
          </cell>
          <cell r="F187" t="str">
            <v>ITY1101</v>
          </cell>
          <cell r="G187">
            <v>34</v>
          </cell>
          <cell r="AB187">
            <v>3</v>
          </cell>
          <cell r="AC187">
            <v>177000</v>
          </cell>
        </row>
        <row r="188">
          <cell r="B188" t="str">
            <v>의류</v>
          </cell>
          <cell r="F188" t="str">
            <v>ITY1101</v>
          </cell>
          <cell r="G188">
            <v>43</v>
          </cell>
          <cell r="AB188">
            <v>8</v>
          </cell>
          <cell r="AC188">
            <v>472000</v>
          </cell>
        </row>
        <row r="189">
          <cell r="B189" t="str">
            <v>의류</v>
          </cell>
          <cell r="F189" t="str">
            <v>ITY1102</v>
          </cell>
          <cell r="G189">
            <v>49</v>
          </cell>
          <cell r="AB189">
            <v>8</v>
          </cell>
          <cell r="AC189">
            <v>792000</v>
          </cell>
        </row>
        <row r="190">
          <cell r="B190" t="str">
            <v>의류</v>
          </cell>
          <cell r="F190" t="str">
            <v>ITY1102</v>
          </cell>
          <cell r="G190">
            <v>64</v>
          </cell>
          <cell r="AB190">
            <v>6</v>
          </cell>
          <cell r="AC190">
            <v>594000</v>
          </cell>
        </row>
        <row r="191">
          <cell r="B191" t="str">
            <v>의류</v>
          </cell>
          <cell r="F191" t="str">
            <v>ITY1103</v>
          </cell>
          <cell r="G191">
            <v>34</v>
          </cell>
          <cell r="AB191">
            <v>3</v>
          </cell>
          <cell r="AC191">
            <v>237000</v>
          </cell>
        </row>
        <row r="192">
          <cell r="B192" t="str">
            <v>의류</v>
          </cell>
          <cell r="F192" t="str">
            <v>ITY1103</v>
          </cell>
          <cell r="G192">
            <v>43</v>
          </cell>
        </row>
        <row r="193">
          <cell r="B193" t="str">
            <v>의류</v>
          </cell>
          <cell r="F193" t="str">
            <v>ITY1201</v>
          </cell>
          <cell r="G193">
            <v>37</v>
          </cell>
          <cell r="AB193">
            <v>38</v>
          </cell>
          <cell r="AC193">
            <v>1862000</v>
          </cell>
        </row>
        <row r="194">
          <cell r="B194" t="str">
            <v>의류</v>
          </cell>
          <cell r="F194" t="str">
            <v>ITY1201</v>
          </cell>
          <cell r="G194">
            <v>43</v>
          </cell>
          <cell r="AB194">
            <v>52</v>
          </cell>
          <cell r="AC194">
            <v>2548000</v>
          </cell>
        </row>
        <row r="195">
          <cell r="B195" t="str">
            <v>의류</v>
          </cell>
          <cell r="F195" t="str">
            <v>ITY1201</v>
          </cell>
          <cell r="G195">
            <v>76</v>
          </cell>
          <cell r="AB195">
            <v>45</v>
          </cell>
          <cell r="AC195">
            <v>2205000</v>
          </cell>
        </row>
        <row r="196">
          <cell r="B196" t="str">
            <v>의류</v>
          </cell>
          <cell r="F196" t="str">
            <v>ITY1202</v>
          </cell>
          <cell r="G196">
            <v>34</v>
          </cell>
          <cell r="AB196">
            <v>23</v>
          </cell>
          <cell r="AC196">
            <v>2017000</v>
          </cell>
        </row>
        <row r="197">
          <cell r="B197" t="str">
            <v>의류</v>
          </cell>
          <cell r="F197" t="str">
            <v>ITY1202</v>
          </cell>
          <cell r="G197">
            <v>49</v>
          </cell>
          <cell r="AB197">
            <v>59</v>
          </cell>
          <cell r="AC197">
            <v>5191000</v>
          </cell>
        </row>
        <row r="198">
          <cell r="B198" t="str">
            <v>의류</v>
          </cell>
          <cell r="F198" t="str">
            <v>ITY1202</v>
          </cell>
          <cell r="G198">
            <v>73</v>
          </cell>
          <cell r="AB198">
            <v>31</v>
          </cell>
          <cell r="AC198">
            <v>2729000</v>
          </cell>
        </row>
        <row r="199">
          <cell r="B199" t="str">
            <v>의류</v>
          </cell>
          <cell r="F199" t="str">
            <v>ITY1203</v>
          </cell>
          <cell r="G199">
            <v>49</v>
          </cell>
          <cell r="AB199">
            <v>21</v>
          </cell>
          <cell r="AC199">
            <v>1029000</v>
          </cell>
        </row>
        <row r="200">
          <cell r="B200" t="str">
            <v>의류</v>
          </cell>
          <cell r="F200" t="str">
            <v>ITY1203</v>
          </cell>
          <cell r="G200">
            <v>73</v>
          </cell>
          <cell r="AB200">
            <v>16</v>
          </cell>
          <cell r="AC200">
            <v>784000</v>
          </cell>
        </row>
        <row r="201">
          <cell r="B201" t="str">
            <v>의류</v>
          </cell>
          <cell r="F201" t="str">
            <v>ITY1204</v>
          </cell>
          <cell r="G201">
            <v>34</v>
          </cell>
          <cell r="AB201">
            <v>13</v>
          </cell>
          <cell r="AC201">
            <v>507000</v>
          </cell>
        </row>
        <row r="202">
          <cell r="B202" t="str">
            <v>의류</v>
          </cell>
          <cell r="F202" t="str">
            <v>ITY1204</v>
          </cell>
          <cell r="G202">
            <v>49</v>
          </cell>
          <cell r="AB202">
            <v>15</v>
          </cell>
          <cell r="AC202">
            <v>585000</v>
          </cell>
        </row>
        <row r="203">
          <cell r="B203" t="str">
            <v>의류</v>
          </cell>
          <cell r="F203" t="str">
            <v>ITY1205</v>
          </cell>
          <cell r="G203">
            <v>34</v>
          </cell>
          <cell r="AB203">
            <v>22</v>
          </cell>
          <cell r="AC203">
            <v>638000</v>
          </cell>
        </row>
        <row r="204">
          <cell r="B204" t="str">
            <v>의류</v>
          </cell>
          <cell r="F204" t="str">
            <v>ITY1205</v>
          </cell>
          <cell r="G204">
            <v>43</v>
          </cell>
          <cell r="AB204">
            <v>21</v>
          </cell>
          <cell r="AC204">
            <v>609000</v>
          </cell>
        </row>
        <row r="205">
          <cell r="B205" t="str">
            <v>의류</v>
          </cell>
          <cell r="F205" t="str">
            <v>ITY1205</v>
          </cell>
          <cell r="G205">
            <v>49</v>
          </cell>
          <cell r="AB205">
            <v>46</v>
          </cell>
          <cell r="AC205">
            <v>1334000</v>
          </cell>
        </row>
        <row r="206">
          <cell r="B206" t="str">
            <v>의류</v>
          </cell>
          <cell r="F206" t="str">
            <v>ITY1205</v>
          </cell>
          <cell r="G206">
            <v>73</v>
          </cell>
          <cell r="AB206">
            <v>17</v>
          </cell>
          <cell r="AC206">
            <v>493000</v>
          </cell>
        </row>
        <row r="207">
          <cell r="B207" t="str">
            <v>의류</v>
          </cell>
          <cell r="F207" t="str">
            <v>ITY1205</v>
          </cell>
          <cell r="G207">
            <v>78</v>
          </cell>
          <cell r="AB207">
            <v>28</v>
          </cell>
          <cell r="AC207">
            <v>812000</v>
          </cell>
        </row>
        <row r="208">
          <cell r="B208" t="str">
            <v>의류</v>
          </cell>
          <cell r="F208" t="str">
            <v>ITY6201</v>
          </cell>
          <cell r="G208">
            <v>38</v>
          </cell>
          <cell r="AB208">
            <v>26</v>
          </cell>
          <cell r="AC208">
            <v>3614000</v>
          </cell>
        </row>
        <row r="209">
          <cell r="B209" t="str">
            <v>의류</v>
          </cell>
          <cell r="F209" t="str">
            <v>ITY6201</v>
          </cell>
          <cell r="G209">
            <v>53</v>
          </cell>
          <cell r="AB209">
            <v>23</v>
          </cell>
          <cell r="AC209">
            <v>3197000</v>
          </cell>
        </row>
        <row r="210">
          <cell r="B210" t="str">
            <v>의류</v>
          </cell>
          <cell r="F210" t="str">
            <v>ITY6202</v>
          </cell>
          <cell r="G210">
            <v>38</v>
          </cell>
          <cell r="AB210">
            <v>1</v>
          </cell>
          <cell r="AC210">
            <v>139000</v>
          </cell>
        </row>
        <row r="211">
          <cell r="B211" t="str">
            <v>의류</v>
          </cell>
          <cell r="F211" t="str">
            <v>ITY6202</v>
          </cell>
          <cell r="G211">
            <v>43</v>
          </cell>
          <cell r="AB211">
            <v>10</v>
          </cell>
          <cell r="AC211">
            <v>1360000</v>
          </cell>
        </row>
        <row r="212">
          <cell r="B212" t="str">
            <v>의류</v>
          </cell>
          <cell r="F212" t="str">
            <v>ITY7101</v>
          </cell>
          <cell r="G212">
            <v>49</v>
          </cell>
        </row>
        <row r="213">
          <cell r="B213" t="str">
            <v>의류</v>
          </cell>
          <cell r="F213" t="str">
            <v>ITY7102</v>
          </cell>
          <cell r="G213">
            <v>45</v>
          </cell>
          <cell r="AB213">
            <v>6</v>
          </cell>
          <cell r="AC213">
            <v>414000</v>
          </cell>
        </row>
        <row r="214">
          <cell r="B214" t="str">
            <v>의류</v>
          </cell>
          <cell r="F214" t="str">
            <v>ITY7102</v>
          </cell>
          <cell r="G214">
            <v>49</v>
          </cell>
          <cell r="AB214">
            <v>3</v>
          </cell>
          <cell r="AC214">
            <v>207000</v>
          </cell>
        </row>
        <row r="215">
          <cell r="B215" t="str">
            <v>의류</v>
          </cell>
          <cell r="F215" t="str">
            <v>ITY7103</v>
          </cell>
          <cell r="G215">
            <v>49</v>
          </cell>
          <cell r="AB215">
            <v>15</v>
          </cell>
          <cell r="AC215">
            <v>1485000</v>
          </cell>
        </row>
        <row r="216">
          <cell r="B216" t="str">
            <v>의류</v>
          </cell>
          <cell r="F216" t="str">
            <v>ITY7201</v>
          </cell>
          <cell r="G216">
            <v>49</v>
          </cell>
          <cell r="AB216">
            <v>51</v>
          </cell>
          <cell r="AC216">
            <v>4029000</v>
          </cell>
        </row>
        <row r="217">
          <cell r="B217" t="str">
            <v>의류</v>
          </cell>
          <cell r="F217" t="str">
            <v>ITY7202</v>
          </cell>
          <cell r="G217">
            <v>43</v>
          </cell>
          <cell r="AB217">
            <v>27</v>
          </cell>
          <cell r="AC217">
            <v>2643000</v>
          </cell>
        </row>
        <row r="218">
          <cell r="B218" t="str">
            <v>의류</v>
          </cell>
          <cell r="F218" t="str">
            <v>ITY7202</v>
          </cell>
          <cell r="G218">
            <v>49</v>
          </cell>
          <cell r="AB218">
            <v>28</v>
          </cell>
          <cell r="AC218">
            <v>2772000</v>
          </cell>
        </row>
        <row r="219">
          <cell r="B219" t="str">
            <v>의류</v>
          </cell>
          <cell r="F219" t="str">
            <v>ITY7203</v>
          </cell>
          <cell r="G219">
            <v>49</v>
          </cell>
          <cell r="AB219">
            <v>61</v>
          </cell>
          <cell r="AC219">
            <v>4819000</v>
          </cell>
        </row>
        <row r="220">
          <cell r="B220" t="str">
            <v>의류</v>
          </cell>
          <cell r="F220" t="str">
            <v>ITY7204</v>
          </cell>
          <cell r="G220">
            <v>49</v>
          </cell>
          <cell r="AB220">
            <v>39</v>
          </cell>
          <cell r="AC220">
            <v>3471000</v>
          </cell>
        </row>
        <row r="221">
          <cell r="B221" t="str">
            <v>의류</v>
          </cell>
          <cell r="F221" t="str">
            <v>ITY7205</v>
          </cell>
          <cell r="G221">
            <v>49</v>
          </cell>
          <cell r="AB221">
            <v>46</v>
          </cell>
          <cell r="AC221">
            <v>4524000</v>
          </cell>
        </row>
        <row r="222">
          <cell r="B222" t="str">
            <v>의류</v>
          </cell>
          <cell r="F222" t="str">
            <v>ITY7206</v>
          </cell>
          <cell r="G222">
            <v>37</v>
          </cell>
          <cell r="AB222">
            <v>15</v>
          </cell>
          <cell r="AC222">
            <v>1035000</v>
          </cell>
        </row>
        <row r="223">
          <cell r="B223" t="str">
            <v>의류</v>
          </cell>
          <cell r="F223" t="str">
            <v>ITY7206</v>
          </cell>
          <cell r="G223">
            <v>49</v>
          </cell>
          <cell r="AB223">
            <v>17</v>
          </cell>
          <cell r="AC223">
            <v>1179900</v>
          </cell>
        </row>
        <row r="224">
          <cell r="B224" t="str">
            <v>의류</v>
          </cell>
          <cell r="F224" t="str">
            <v>ITY8102</v>
          </cell>
          <cell r="G224">
            <v>43</v>
          </cell>
          <cell r="AB224">
            <v>1</v>
          </cell>
          <cell r="AC224">
            <v>59000</v>
          </cell>
        </row>
        <row r="225">
          <cell r="B225" t="str">
            <v>의류</v>
          </cell>
          <cell r="F225" t="str">
            <v>ITY8103</v>
          </cell>
          <cell r="G225">
            <v>49</v>
          </cell>
          <cell r="AB225">
            <v>4</v>
          </cell>
          <cell r="AC225">
            <v>236000</v>
          </cell>
        </row>
        <row r="226">
          <cell r="B226" t="str">
            <v>의류</v>
          </cell>
          <cell r="F226" t="str">
            <v>ITY8104</v>
          </cell>
          <cell r="G226">
            <v>79</v>
          </cell>
          <cell r="AB226">
            <v>1</v>
          </cell>
          <cell r="AC226">
            <v>69000</v>
          </cell>
        </row>
        <row r="227">
          <cell r="B227" t="str">
            <v>의류</v>
          </cell>
          <cell r="F227" t="str">
            <v>ITY8201</v>
          </cell>
          <cell r="G227">
            <v>45</v>
          </cell>
          <cell r="AB227">
            <v>27</v>
          </cell>
          <cell r="AC227">
            <v>1863000</v>
          </cell>
        </row>
        <row r="228">
          <cell r="B228" t="str">
            <v>의류</v>
          </cell>
          <cell r="F228" t="str">
            <v>ITY8201</v>
          </cell>
          <cell r="G228">
            <v>73</v>
          </cell>
          <cell r="AB228">
            <v>18</v>
          </cell>
          <cell r="AC228">
            <v>1212000</v>
          </cell>
        </row>
        <row r="229">
          <cell r="B229" t="str">
            <v>의류</v>
          </cell>
          <cell r="F229" t="str">
            <v>ITY8202</v>
          </cell>
          <cell r="G229">
            <v>49</v>
          </cell>
          <cell r="AB229">
            <v>10</v>
          </cell>
          <cell r="AC229">
            <v>690000</v>
          </cell>
        </row>
        <row r="230">
          <cell r="B230" t="str">
            <v>의류</v>
          </cell>
          <cell r="F230" t="str">
            <v>ITY8202</v>
          </cell>
          <cell r="G230">
            <v>76</v>
          </cell>
          <cell r="AB230">
            <v>12</v>
          </cell>
          <cell r="AC230">
            <v>828000</v>
          </cell>
        </row>
        <row r="231">
          <cell r="B231" t="str">
            <v>의류</v>
          </cell>
          <cell r="F231" t="str">
            <v>ITY8203</v>
          </cell>
          <cell r="G231">
            <v>76</v>
          </cell>
          <cell r="AB231">
            <v>32</v>
          </cell>
          <cell r="AC231">
            <v>2448000</v>
          </cell>
        </row>
        <row r="232">
          <cell r="B232" t="str">
            <v>의류</v>
          </cell>
          <cell r="F232" t="str">
            <v>ITY8204</v>
          </cell>
          <cell r="G232">
            <v>43</v>
          </cell>
          <cell r="AB232">
            <v>18</v>
          </cell>
          <cell r="AC232">
            <v>1402000</v>
          </cell>
        </row>
        <row r="233">
          <cell r="B233" t="str">
            <v>의류</v>
          </cell>
          <cell r="F233" t="str">
            <v>ITY8205</v>
          </cell>
          <cell r="G233">
            <v>73</v>
          </cell>
          <cell r="AB233">
            <v>23</v>
          </cell>
          <cell r="AC233">
            <v>1787000</v>
          </cell>
        </row>
        <row r="234">
          <cell r="B234" t="str">
            <v>의류</v>
          </cell>
          <cell r="F234" t="str">
            <v>ITY8206</v>
          </cell>
          <cell r="G234">
            <v>49</v>
          </cell>
          <cell r="AB234">
            <v>27</v>
          </cell>
          <cell r="AC234">
            <v>1863000</v>
          </cell>
        </row>
        <row r="235">
          <cell r="B235" t="str">
            <v>의류</v>
          </cell>
          <cell r="F235" t="str">
            <v>ITY8207</v>
          </cell>
          <cell r="G235">
            <v>49</v>
          </cell>
          <cell r="AB235">
            <v>32</v>
          </cell>
          <cell r="AC235">
            <v>2528000</v>
          </cell>
        </row>
        <row r="236">
          <cell r="B236" t="str">
            <v>의류</v>
          </cell>
          <cell r="F236" t="str">
            <v>ITY8208</v>
          </cell>
          <cell r="G236">
            <v>49</v>
          </cell>
          <cell r="AB236">
            <v>20</v>
          </cell>
          <cell r="AC236">
            <v>1380000</v>
          </cell>
        </row>
        <row r="237">
          <cell r="B237" t="str">
            <v>의류</v>
          </cell>
          <cell r="F237" t="str">
            <v>ITY8209</v>
          </cell>
          <cell r="G237">
            <v>22</v>
          </cell>
          <cell r="AB237">
            <v>14</v>
          </cell>
          <cell r="AC237">
            <v>966000</v>
          </cell>
        </row>
        <row r="238">
          <cell r="B238" t="str">
            <v>의류</v>
          </cell>
          <cell r="F238" t="str">
            <v>ITY9101</v>
          </cell>
          <cell r="G238">
            <v>34</v>
          </cell>
          <cell r="AB238">
            <v>-1</v>
          </cell>
          <cell r="AC238">
            <v>-139000</v>
          </cell>
        </row>
        <row r="239">
          <cell r="B239" t="str">
            <v>의류</v>
          </cell>
          <cell r="F239" t="str">
            <v>ITY9102</v>
          </cell>
          <cell r="G239">
            <v>49</v>
          </cell>
          <cell r="AB239">
            <v>4</v>
          </cell>
          <cell r="AC239">
            <v>716000</v>
          </cell>
        </row>
        <row r="240">
          <cell r="B240" t="str">
            <v>의류</v>
          </cell>
          <cell r="F240" t="str">
            <v>ITY9103</v>
          </cell>
          <cell r="G240">
            <v>37</v>
          </cell>
          <cell r="AB240">
            <v>4</v>
          </cell>
          <cell r="AC240">
            <v>756000</v>
          </cell>
        </row>
        <row r="241">
          <cell r="B241" t="str">
            <v>의류</v>
          </cell>
          <cell r="F241" t="str">
            <v>ITY9104</v>
          </cell>
          <cell r="G241">
            <v>49</v>
          </cell>
          <cell r="AB241">
            <v>-1</v>
          </cell>
          <cell r="AC241">
            <v>-179000</v>
          </cell>
        </row>
        <row r="242">
          <cell r="B242" t="str">
            <v>의류</v>
          </cell>
          <cell r="F242" t="str">
            <v>ITY9104</v>
          </cell>
          <cell r="G242">
            <v>54</v>
          </cell>
          <cell r="AB242">
            <v>1</v>
          </cell>
          <cell r="AC242">
            <v>179000</v>
          </cell>
        </row>
        <row r="243">
          <cell r="B243" t="str">
            <v>의류</v>
          </cell>
          <cell r="F243" t="str">
            <v>ITY9201</v>
          </cell>
          <cell r="G243">
            <v>49</v>
          </cell>
          <cell r="AB243">
            <v>26</v>
          </cell>
          <cell r="AC243">
            <v>4394000</v>
          </cell>
        </row>
        <row r="244">
          <cell r="B244" t="str">
            <v>의류</v>
          </cell>
          <cell r="F244" t="str">
            <v>ITY9202</v>
          </cell>
          <cell r="G244">
            <v>49</v>
          </cell>
          <cell r="AB244">
            <v>26</v>
          </cell>
          <cell r="AC244">
            <v>4654000</v>
          </cell>
        </row>
        <row r="245">
          <cell r="B245" t="str">
            <v>의류</v>
          </cell>
          <cell r="F245" t="str">
            <v>ITY9202</v>
          </cell>
          <cell r="G245">
            <v>73</v>
          </cell>
          <cell r="AB245">
            <v>12</v>
          </cell>
          <cell r="AC245">
            <v>2148000</v>
          </cell>
        </row>
        <row r="246">
          <cell r="B246" t="str">
            <v>의류</v>
          </cell>
          <cell r="F246" t="str">
            <v>ITY9203</v>
          </cell>
          <cell r="G246">
            <v>49</v>
          </cell>
          <cell r="AB246">
            <v>34</v>
          </cell>
          <cell r="AC246">
            <v>6103900</v>
          </cell>
        </row>
        <row r="247">
          <cell r="B247" t="str">
            <v>의류</v>
          </cell>
          <cell r="F247" t="str">
            <v>ITY9204</v>
          </cell>
          <cell r="G247">
            <v>49</v>
          </cell>
          <cell r="AB247">
            <v>48</v>
          </cell>
          <cell r="AC247">
            <v>8490400</v>
          </cell>
        </row>
        <row r="248">
          <cell r="B248" t="str">
            <v>의류</v>
          </cell>
          <cell r="F248" t="str">
            <v>ITY9205</v>
          </cell>
          <cell r="G248">
            <v>34</v>
          </cell>
          <cell r="AB248">
            <v>15</v>
          </cell>
          <cell r="AC248">
            <v>2649200</v>
          </cell>
        </row>
        <row r="249">
          <cell r="B249" t="str">
            <v>의류</v>
          </cell>
          <cell r="F249" t="str">
            <v>ITY9206</v>
          </cell>
          <cell r="G249">
            <v>34</v>
          </cell>
          <cell r="AB249">
            <v>7</v>
          </cell>
          <cell r="AC249">
            <v>1323000</v>
          </cell>
        </row>
        <row r="250">
          <cell r="B250" t="str">
            <v>의류</v>
          </cell>
          <cell r="F250" t="str">
            <v>ITY9206</v>
          </cell>
          <cell r="G250">
            <v>49</v>
          </cell>
          <cell r="AB250">
            <v>6</v>
          </cell>
          <cell r="AC250">
            <v>1171800</v>
          </cell>
        </row>
        <row r="251">
          <cell r="B251" t="str">
            <v>의류</v>
          </cell>
          <cell r="F251" t="str">
            <v>ITYT101</v>
          </cell>
          <cell r="G251">
            <v>22</v>
          </cell>
          <cell r="AB251">
            <v>-1</v>
          </cell>
          <cell r="AC251">
            <v>-179000</v>
          </cell>
        </row>
        <row r="252">
          <cell r="B252" t="str">
            <v>의류</v>
          </cell>
          <cell r="F252" t="str">
            <v>ITYT101</v>
          </cell>
          <cell r="G252">
            <v>49</v>
          </cell>
        </row>
        <row r="253">
          <cell r="B253" t="str">
            <v>의류</v>
          </cell>
          <cell r="F253" t="str">
            <v>P0Y1101</v>
          </cell>
          <cell r="G253">
            <v>22</v>
          </cell>
          <cell r="AB253">
            <v>1</v>
          </cell>
          <cell r="AC253">
            <v>39000</v>
          </cell>
        </row>
        <row r="254">
          <cell r="B254" t="str">
            <v>의류</v>
          </cell>
          <cell r="F254" t="str">
            <v>P0Y1101</v>
          </cell>
          <cell r="G254">
            <v>31</v>
          </cell>
          <cell r="AB254">
            <v>8</v>
          </cell>
          <cell r="AC254">
            <v>312000</v>
          </cell>
        </row>
        <row r="255">
          <cell r="B255" t="str">
            <v>의류</v>
          </cell>
          <cell r="F255" t="str">
            <v>P0Y1101</v>
          </cell>
          <cell r="G255">
            <v>49</v>
          </cell>
          <cell r="AB255">
            <v>-1</v>
          </cell>
          <cell r="AC255">
            <v>-39000</v>
          </cell>
        </row>
        <row r="256">
          <cell r="B256" t="str">
            <v>의류</v>
          </cell>
          <cell r="F256" t="str">
            <v>P0Y1101</v>
          </cell>
          <cell r="G256">
            <v>73</v>
          </cell>
          <cell r="AB256">
            <v>1</v>
          </cell>
          <cell r="AC256">
            <v>39000</v>
          </cell>
        </row>
        <row r="257">
          <cell r="B257" t="str">
            <v>의류</v>
          </cell>
          <cell r="F257" t="str">
            <v>P0Y1101</v>
          </cell>
          <cell r="G257">
            <v>76</v>
          </cell>
          <cell r="AB257">
            <v>2</v>
          </cell>
          <cell r="AC257">
            <v>78000</v>
          </cell>
        </row>
        <row r="258">
          <cell r="B258" t="str">
            <v>의류</v>
          </cell>
          <cell r="F258" t="str">
            <v>P0Y1102</v>
          </cell>
          <cell r="G258">
            <v>31</v>
          </cell>
          <cell r="AB258">
            <v>4</v>
          </cell>
          <cell r="AC258">
            <v>196000</v>
          </cell>
        </row>
        <row r="259">
          <cell r="B259" t="str">
            <v>의류</v>
          </cell>
          <cell r="F259" t="str">
            <v>P0Y1102</v>
          </cell>
          <cell r="G259">
            <v>62</v>
          </cell>
          <cell r="AB259">
            <v>3</v>
          </cell>
          <cell r="AC259">
            <v>147000</v>
          </cell>
        </row>
        <row r="260">
          <cell r="B260" t="str">
            <v>의류</v>
          </cell>
          <cell r="F260" t="str">
            <v>P0Y1103</v>
          </cell>
          <cell r="G260">
            <v>45</v>
          </cell>
          <cell r="AB260">
            <v>3</v>
          </cell>
          <cell r="AC260">
            <v>207000</v>
          </cell>
        </row>
        <row r="261">
          <cell r="B261" t="str">
            <v>의류</v>
          </cell>
          <cell r="F261" t="str">
            <v>P0Y1103</v>
          </cell>
          <cell r="G261">
            <v>73</v>
          </cell>
          <cell r="AB261">
            <v>2</v>
          </cell>
          <cell r="AC261">
            <v>158000</v>
          </cell>
        </row>
        <row r="262">
          <cell r="B262" t="str">
            <v>의류</v>
          </cell>
          <cell r="F262" t="str">
            <v>P0Y1104</v>
          </cell>
          <cell r="G262">
            <v>49</v>
          </cell>
          <cell r="AB262">
            <v>6</v>
          </cell>
          <cell r="AC262">
            <v>474000</v>
          </cell>
        </row>
        <row r="263">
          <cell r="B263" t="str">
            <v>의류</v>
          </cell>
          <cell r="F263" t="str">
            <v>P0Y1104</v>
          </cell>
          <cell r="G263">
            <v>63</v>
          </cell>
        </row>
        <row r="264">
          <cell r="B264" t="str">
            <v>의류</v>
          </cell>
          <cell r="F264" t="str">
            <v>P0Y1105</v>
          </cell>
          <cell r="G264">
            <v>63</v>
          </cell>
          <cell r="AB264">
            <v>-1</v>
          </cell>
          <cell r="AC264">
            <v>-59000</v>
          </cell>
        </row>
        <row r="265">
          <cell r="B265" t="str">
            <v>의류</v>
          </cell>
          <cell r="F265" t="str">
            <v>P0Y1105</v>
          </cell>
          <cell r="G265">
            <v>76</v>
          </cell>
          <cell r="AB265">
            <v>3</v>
          </cell>
          <cell r="AC265">
            <v>177000</v>
          </cell>
        </row>
        <row r="266">
          <cell r="B266" t="str">
            <v>의류</v>
          </cell>
          <cell r="F266" t="str">
            <v>P0Y1106</v>
          </cell>
          <cell r="G266">
            <v>49</v>
          </cell>
          <cell r="AB266">
            <v>2</v>
          </cell>
          <cell r="AC266">
            <v>158000</v>
          </cell>
        </row>
        <row r="267">
          <cell r="B267" t="str">
            <v>의류</v>
          </cell>
          <cell r="F267" t="str">
            <v>P0Y1106</v>
          </cell>
          <cell r="G267">
            <v>63</v>
          </cell>
          <cell r="AB267">
            <v>4</v>
          </cell>
          <cell r="AC267">
            <v>316000</v>
          </cell>
        </row>
        <row r="268">
          <cell r="B268" t="str">
            <v>의류</v>
          </cell>
          <cell r="F268" t="str">
            <v>P0Y1107</v>
          </cell>
          <cell r="G268">
            <v>31</v>
          </cell>
          <cell r="AB268">
            <v>3</v>
          </cell>
          <cell r="AC268">
            <v>237000</v>
          </cell>
        </row>
        <row r="269">
          <cell r="B269" t="str">
            <v>의류</v>
          </cell>
          <cell r="F269" t="str">
            <v>P0Y1107</v>
          </cell>
          <cell r="G269">
            <v>49</v>
          </cell>
          <cell r="AB269">
            <v>1</v>
          </cell>
          <cell r="AC269">
            <v>79000</v>
          </cell>
        </row>
        <row r="270">
          <cell r="B270" t="str">
            <v>의류</v>
          </cell>
          <cell r="F270" t="str">
            <v>P0Y1108</v>
          </cell>
          <cell r="G270">
            <v>22</v>
          </cell>
          <cell r="AB270">
            <v>4</v>
          </cell>
          <cell r="AC270">
            <v>316000</v>
          </cell>
        </row>
        <row r="271">
          <cell r="B271" t="str">
            <v>의류</v>
          </cell>
          <cell r="F271" t="str">
            <v>P0Y1108</v>
          </cell>
          <cell r="G271">
            <v>49</v>
          </cell>
          <cell r="AB271">
            <v>7</v>
          </cell>
          <cell r="AC271">
            <v>553000</v>
          </cell>
        </row>
        <row r="272">
          <cell r="B272" t="str">
            <v>의류</v>
          </cell>
          <cell r="F272" t="str">
            <v>P0Y1109</v>
          </cell>
          <cell r="G272">
            <v>49</v>
          </cell>
          <cell r="AB272">
            <v>2</v>
          </cell>
          <cell r="AC272">
            <v>98000</v>
          </cell>
        </row>
        <row r="273">
          <cell r="B273" t="str">
            <v>의류</v>
          </cell>
          <cell r="F273" t="str">
            <v>P0Y1201</v>
          </cell>
          <cell r="G273">
            <v>22</v>
          </cell>
          <cell r="AB273">
            <v>27</v>
          </cell>
          <cell r="AC273">
            <v>1029600</v>
          </cell>
        </row>
        <row r="274">
          <cell r="B274" t="str">
            <v>의류</v>
          </cell>
          <cell r="F274" t="str">
            <v>P0Y1201</v>
          </cell>
          <cell r="G274">
            <v>31</v>
          </cell>
          <cell r="AB274">
            <v>23</v>
          </cell>
          <cell r="AC274">
            <v>900900</v>
          </cell>
        </row>
        <row r="275">
          <cell r="B275" t="str">
            <v>의류</v>
          </cell>
          <cell r="F275" t="str">
            <v>P0Y1201</v>
          </cell>
          <cell r="G275">
            <v>41</v>
          </cell>
          <cell r="AB275">
            <v>6</v>
          </cell>
          <cell r="AC275">
            <v>214000</v>
          </cell>
        </row>
        <row r="276">
          <cell r="B276" t="str">
            <v>의류</v>
          </cell>
          <cell r="F276" t="str">
            <v>P0Y1201</v>
          </cell>
          <cell r="G276">
            <v>49</v>
          </cell>
          <cell r="AB276">
            <v>20</v>
          </cell>
          <cell r="AC276">
            <v>780000</v>
          </cell>
        </row>
        <row r="277">
          <cell r="B277" t="str">
            <v>의류</v>
          </cell>
          <cell r="F277" t="str">
            <v>P0Y1201</v>
          </cell>
          <cell r="G277">
            <v>73</v>
          </cell>
          <cell r="AB277">
            <v>18</v>
          </cell>
          <cell r="AC277">
            <v>702000</v>
          </cell>
        </row>
        <row r="278">
          <cell r="B278" t="str">
            <v>의류</v>
          </cell>
          <cell r="F278" t="str">
            <v>P0Y1201</v>
          </cell>
          <cell r="G278">
            <v>76</v>
          </cell>
          <cell r="AB278">
            <v>19</v>
          </cell>
          <cell r="AC278">
            <v>721000</v>
          </cell>
        </row>
        <row r="279">
          <cell r="B279" t="str">
            <v>의류</v>
          </cell>
          <cell r="F279" t="str">
            <v>P0Y1202</v>
          </cell>
          <cell r="G279">
            <v>31</v>
          </cell>
          <cell r="AB279">
            <v>2</v>
          </cell>
          <cell r="AC279">
            <v>98000</v>
          </cell>
        </row>
        <row r="280">
          <cell r="B280" t="str">
            <v>의류</v>
          </cell>
          <cell r="F280" t="str">
            <v>P0Y1202</v>
          </cell>
          <cell r="G280">
            <v>32</v>
          </cell>
          <cell r="AB280">
            <v>24</v>
          </cell>
          <cell r="AC280">
            <v>1176000</v>
          </cell>
        </row>
        <row r="281">
          <cell r="B281" t="str">
            <v>의류</v>
          </cell>
          <cell r="F281" t="str">
            <v>P0Y1202</v>
          </cell>
          <cell r="G281">
            <v>45</v>
          </cell>
          <cell r="AB281">
            <v>17</v>
          </cell>
          <cell r="AC281">
            <v>813000</v>
          </cell>
        </row>
        <row r="282">
          <cell r="B282" t="str">
            <v>의류</v>
          </cell>
          <cell r="F282" t="str">
            <v>P0Y1202</v>
          </cell>
          <cell r="G282">
            <v>66</v>
          </cell>
          <cell r="AB282">
            <v>14</v>
          </cell>
          <cell r="AC282">
            <v>686000</v>
          </cell>
        </row>
        <row r="283">
          <cell r="B283" t="str">
            <v>의류</v>
          </cell>
          <cell r="F283" t="str">
            <v>P0Y1203</v>
          </cell>
          <cell r="G283">
            <v>31</v>
          </cell>
          <cell r="AB283">
            <v>11</v>
          </cell>
          <cell r="AC283">
            <v>539000</v>
          </cell>
        </row>
        <row r="284">
          <cell r="B284" t="str">
            <v>의류</v>
          </cell>
          <cell r="F284" t="str">
            <v>P0Y1203</v>
          </cell>
          <cell r="G284">
            <v>32</v>
          </cell>
          <cell r="AB284">
            <v>18</v>
          </cell>
          <cell r="AC284">
            <v>882000</v>
          </cell>
        </row>
        <row r="285">
          <cell r="B285" t="str">
            <v>의류</v>
          </cell>
          <cell r="F285" t="str">
            <v>P0Y1204</v>
          </cell>
          <cell r="G285">
            <v>49</v>
          </cell>
          <cell r="AB285">
            <v>35</v>
          </cell>
          <cell r="AC285">
            <v>1715000</v>
          </cell>
        </row>
        <row r="286">
          <cell r="B286" t="str">
            <v>의류</v>
          </cell>
          <cell r="F286" t="str">
            <v>P0Y1204</v>
          </cell>
          <cell r="G286">
            <v>76</v>
          </cell>
          <cell r="AB286">
            <v>17</v>
          </cell>
          <cell r="AC286">
            <v>833000</v>
          </cell>
        </row>
        <row r="287">
          <cell r="B287" t="str">
            <v>의류</v>
          </cell>
          <cell r="F287" t="str">
            <v>P0Y1205</v>
          </cell>
          <cell r="G287">
            <v>32</v>
          </cell>
          <cell r="AB287">
            <v>24</v>
          </cell>
          <cell r="AC287">
            <v>1656000</v>
          </cell>
        </row>
        <row r="288">
          <cell r="B288" t="str">
            <v>의류</v>
          </cell>
          <cell r="F288" t="str">
            <v>P0Y1205</v>
          </cell>
          <cell r="G288">
            <v>49</v>
          </cell>
          <cell r="AB288">
            <v>34</v>
          </cell>
          <cell r="AC288">
            <v>2326000</v>
          </cell>
        </row>
        <row r="289">
          <cell r="B289" t="str">
            <v>의류</v>
          </cell>
          <cell r="F289" t="str">
            <v>P0Y1206</v>
          </cell>
          <cell r="G289">
            <v>49</v>
          </cell>
          <cell r="AB289">
            <v>34</v>
          </cell>
          <cell r="AC289">
            <v>2006000</v>
          </cell>
        </row>
        <row r="290">
          <cell r="B290" t="str">
            <v>의류</v>
          </cell>
          <cell r="F290" t="str">
            <v>P0Y1206</v>
          </cell>
          <cell r="G290">
            <v>66</v>
          </cell>
          <cell r="AB290">
            <v>12</v>
          </cell>
          <cell r="AC290">
            <v>708000</v>
          </cell>
        </row>
        <row r="291">
          <cell r="B291" t="str">
            <v>의류</v>
          </cell>
          <cell r="F291" t="str">
            <v>P0Y1207</v>
          </cell>
          <cell r="G291">
            <v>49</v>
          </cell>
          <cell r="AB291">
            <v>18</v>
          </cell>
          <cell r="AC291">
            <v>1422000</v>
          </cell>
        </row>
        <row r="292">
          <cell r="B292" t="str">
            <v>의류</v>
          </cell>
          <cell r="F292" t="str">
            <v>P0Y1207</v>
          </cell>
          <cell r="G292">
            <v>63</v>
          </cell>
          <cell r="AB292">
            <v>9</v>
          </cell>
          <cell r="AC292">
            <v>681000</v>
          </cell>
        </row>
        <row r="293">
          <cell r="B293" t="str">
            <v>의류</v>
          </cell>
          <cell r="F293" t="str">
            <v>P0Y1209</v>
          </cell>
          <cell r="G293">
            <v>31</v>
          </cell>
          <cell r="AB293">
            <v>72</v>
          </cell>
          <cell r="AC293">
            <v>5528000</v>
          </cell>
        </row>
        <row r="294">
          <cell r="B294" t="str">
            <v>의류</v>
          </cell>
          <cell r="F294" t="str">
            <v>P0Y1209</v>
          </cell>
          <cell r="G294">
            <v>49</v>
          </cell>
          <cell r="AB294">
            <v>39</v>
          </cell>
          <cell r="AC294">
            <v>3045200</v>
          </cell>
        </row>
        <row r="295">
          <cell r="B295" t="str">
            <v>의류</v>
          </cell>
          <cell r="F295" t="str">
            <v>P0Y1210</v>
          </cell>
          <cell r="G295">
            <v>66</v>
          </cell>
          <cell r="AB295">
            <v>28</v>
          </cell>
          <cell r="AC295">
            <v>1652000</v>
          </cell>
        </row>
        <row r="296">
          <cell r="B296" t="str">
            <v>의류</v>
          </cell>
          <cell r="F296" t="str">
            <v>P0Y1210</v>
          </cell>
          <cell r="G296">
            <v>73</v>
          </cell>
          <cell r="AB296">
            <v>30</v>
          </cell>
          <cell r="AC296">
            <v>1760000</v>
          </cell>
        </row>
        <row r="297">
          <cell r="B297" t="str">
            <v>의류</v>
          </cell>
          <cell r="F297" t="str">
            <v>P0Y1211</v>
          </cell>
          <cell r="G297">
            <v>41</v>
          </cell>
          <cell r="AB297">
            <v>7</v>
          </cell>
          <cell r="AC297">
            <v>483000</v>
          </cell>
        </row>
        <row r="298">
          <cell r="B298" t="str">
            <v>의류</v>
          </cell>
          <cell r="F298" t="str">
            <v>P0Y1211</v>
          </cell>
          <cell r="G298">
            <v>71</v>
          </cell>
          <cell r="AB298">
            <v>8</v>
          </cell>
          <cell r="AC298">
            <v>552000</v>
          </cell>
        </row>
        <row r="299">
          <cell r="B299" t="str">
            <v>의류</v>
          </cell>
          <cell r="F299" t="str">
            <v>P0Y1212</v>
          </cell>
          <cell r="G299">
            <v>31</v>
          </cell>
          <cell r="AB299">
            <v>37</v>
          </cell>
          <cell r="AC299">
            <v>2183000</v>
          </cell>
        </row>
        <row r="300">
          <cell r="B300" t="str">
            <v>의류</v>
          </cell>
          <cell r="F300" t="str">
            <v>P0Y1212</v>
          </cell>
          <cell r="G300">
            <v>66</v>
          </cell>
          <cell r="AB300">
            <v>15</v>
          </cell>
          <cell r="AC300">
            <v>885000</v>
          </cell>
        </row>
        <row r="301">
          <cell r="B301" t="str">
            <v>의류</v>
          </cell>
          <cell r="F301" t="str">
            <v>P0Y1213</v>
          </cell>
          <cell r="G301">
            <v>49</v>
          </cell>
          <cell r="AB301">
            <v>23</v>
          </cell>
          <cell r="AC301">
            <v>1537000</v>
          </cell>
        </row>
        <row r="302">
          <cell r="B302" t="str">
            <v>의류</v>
          </cell>
          <cell r="F302" t="str">
            <v>P0Y1214</v>
          </cell>
          <cell r="G302">
            <v>31</v>
          </cell>
          <cell r="AB302">
            <v>29</v>
          </cell>
          <cell r="AC302">
            <v>2291000</v>
          </cell>
        </row>
        <row r="303">
          <cell r="B303" t="str">
            <v>의류</v>
          </cell>
          <cell r="F303" t="str">
            <v>P0Y1214</v>
          </cell>
          <cell r="G303">
            <v>49</v>
          </cell>
          <cell r="AB303">
            <v>20</v>
          </cell>
          <cell r="AC303">
            <v>1580000</v>
          </cell>
        </row>
        <row r="304">
          <cell r="B304" t="str">
            <v>의류</v>
          </cell>
          <cell r="F304" t="str">
            <v>P0Y1215</v>
          </cell>
          <cell r="G304">
            <v>31</v>
          </cell>
          <cell r="AB304">
            <v>10</v>
          </cell>
          <cell r="AC304">
            <v>790000</v>
          </cell>
        </row>
        <row r="305">
          <cell r="B305" t="str">
            <v>의류</v>
          </cell>
          <cell r="F305" t="str">
            <v>P0Y1215</v>
          </cell>
          <cell r="G305">
            <v>49</v>
          </cell>
          <cell r="AB305">
            <v>26</v>
          </cell>
          <cell r="AC305">
            <v>2014000</v>
          </cell>
        </row>
        <row r="306">
          <cell r="B306" t="str">
            <v>의류</v>
          </cell>
          <cell r="F306" t="str">
            <v>P0Y1216</v>
          </cell>
          <cell r="G306">
            <v>22</v>
          </cell>
          <cell r="AB306">
            <v>16</v>
          </cell>
          <cell r="AC306">
            <v>944000</v>
          </cell>
        </row>
        <row r="307">
          <cell r="B307" t="str">
            <v>의류</v>
          </cell>
          <cell r="F307" t="str">
            <v>P0Y1216</v>
          </cell>
          <cell r="G307">
            <v>76</v>
          </cell>
          <cell r="AB307">
            <v>16</v>
          </cell>
          <cell r="AC307">
            <v>944000</v>
          </cell>
        </row>
        <row r="308">
          <cell r="B308" t="str">
            <v>의류</v>
          </cell>
          <cell r="F308" t="str">
            <v>P0Y1217</v>
          </cell>
          <cell r="G308">
            <v>49</v>
          </cell>
          <cell r="AB308">
            <v>29</v>
          </cell>
          <cell r="AC308">
            <v>1941000</v>
          </cell>
        </row>
        <row r="309">
          <cell r="B309" t="str">
            <v>의류</v>
          </cell>
          <cell r="F309" t="str">
            <v>P0Y1217</v>
          </cell>
          <cell r="G309">
            <v>73</v>
          </cell>
          <cell r="AB309">
            <v>31</v>
          </cell>
          <cell r="AC309">
            <v>2139000</v>
          </cell>
        </row>
        <row r="310">
          <cell r="B310" t="str">
            <v>의류</v>
          </cell>
          <cell r="F310" t="str">
            <v>P0Y1218</v>
          </cell>
          <cell r="G310">
            <v>31</v>
          </cell>
          <cell r="AB310">
            <v>26</v>
          </cell>
          <cell r="AC310">
            <v>1017900</v>
          </cell>
        </row>
        <row r="311">
          <cell r="B311" t="str">
            <v>의류</v>
          </cell>
          <cell r="F311" t="str">
            <v>P0Y1218</v>
          </cell>
          <cell r="G311">
            <v>49</v>
          </cell>
          <cell r="AB311">
            <v>9</v>
          </cell>
          <cell r="AC311">
            <v>351000</v>
          </cell>
        </row>
        <row r="312">
          <cell r="B312" t="str">
            <v>의류</v>
          </cell>
          <cell r="F312" t="str">
            <v>P0Y1219</v>
          </cell>
          <cell r="G312">
            <v>31</v>
          </cell>
          <cell r="AB312">
            <v>18</v>
          </cell>
          <cell r="AC312">
            <v>702000</v>
          </cell>
        </row>
        <row r="313">
          <cell r="B313" t="str">
            <v>의류</v>
          </cell>
          <cell r="F313" t="str">
            <v>P0Y1222</v>
          </cell>
          <cell r="G313">
            <v>49</v>
          </cell>
          <cell r="AB313">
            <v>16</v>
          </cell>
          <cell r="AC313">
            <v>944000</v>
          </cell>
        </row>
        <row r="314">
          <cell r="B314" t="str">
            <v>의류</v>
          </cell>
          <cell r="F314" t="str">
            <v>P0Y1222</v>
          </cell>
          <cell r="G314">
            <v>73</v>
          </cell>
          <cell r="AB314">
            <v>11</v>
          </cell>
          <cell r="AC314">
            <v>649000</v>
          </cell>
        </row>
        <row r="315">
          <cell r="B315" t="str">
            <v>의류</v>
          </cell>
          <cell r="F315" t="str">
            <v>P0Y1223</v>
          </cell>
          <cell r="G315">
            <v>49</v>
          </cell>
          <cell r="AB315">
            <v>17</v>
          </cell>
          <cell r="AC315">
            <v>923000</v>
          </cell>
        </row>
        <row r="316">
          <cell r="B316" t="str">
            <v>의류</v>
          </cell>
          <cell r="F316" t="str">
            <v>P0Y1223</v>
          </cell>
          <cell r="G316">
            <v>73</v>
          </cell>
          <cell r="AB316">
            <v>2</v>
          </cell>
          <cell r="AC316">
            <v>123900</v>
          </cell>
        </row>
        <row r="317">
          <cell r="B317" t="str">
            <v>의류</v>
          </cell>
          <cell r="F317" t="str">
            <v>P0Y1224</v>
          </cell>
          <cell r="G317">
            <v>49</v>
          </cell>
          <cell r="AB317">
            <v>15</v>
          </cell>
          <cell r="AC317">
            <v>1269400</v>
          </cell>
        </row>
        <row r="318">
          <cell r="B318" t="str">
            <v>의류</v>
          </cell>
          <cell r="F318" t="str">
            <v>P0Y1224</v>
          </cell>
          <cell r="G318">
            <v>79</v>
          </cell>
          <cell r="AB318">
            <v>10</v>
          </cell>
          <cell r="AC318">
            <v>890000</v>
          </cell>
        </row>
        <row r="319">
          <cell r="B319" t="str">
            <v>의류</v>
          </cell>
          <cell r="F319" t="str">
            <v>P0Y4101</v>
          </cell>
          <cell r="G319">
            <v>49</v>
          </cell>
          <cell r="AB319">
            <v>1</v>
          </cell>
          <cell r="AC319">
            <v>119000</v>
          </cell>
        </row>
        <row r="320">
          <cell r="B320" t="str">
            <v>의류</v>
          </cell>
          <cell r="F320" t="str">
            <v>P0Y4102</v>
          </cell>
          <cell r="G320">
            <v>76</v>
          </cell>
        </row>
        <row r="321">
          <cell r="B321" t="str">
            <v>의류</v>
          </cell>
          <cell r="F321" t="str">
            <v>P0Y5101</v>
          </cell>
          <cell r="G321">
            <v>31</v>
          </cell>
        </row>
        <row r="322">
          <cell r="B322" t="str">
            <v>의류</v>
          </cell>
          <cell r="F322" t="str">
            <v>P0Y5101</v>
          </cell>
          <cell r="G322">
            <v>49</v>
          </cell>
          <cell r="AB322">
            <v>3</v>
          </cell>
          <cell r="AC322">
            <v>387000</v>
          </cell>
        </row>
        <row r="323">
          <cell r="B323" t="str">
            <v>의류</v>
          </cell>
          <cell r="F323" t="str">
            <v>P0Y6101</v>
          </cell>
          <cell r="G323">
            <v>43</v>
          </cell>
          <cell r="AB323">
            <v>3</v>
          </cell>
          <cell r="AC323">
            <v>417000</v>
          </cell>
        </row>
        <row r="324">
          <cell r="B324" t="str">
            <v>의류</v>
          </cell>
          <cell r="F324" t="str">
            <v>P0Y6101</v>
          </cell>
          <cell r="G324">
            <v>63</v>
          </cell>
        </row>
        <row r="325">
          <cell r="B325" t="str">
            <v>의류</v>
          </cell>
          <cell r="F325" t="str">
            <v>P0Y6101</v>
          </cell>
          <cell r="G325">
            <v>76</v>
          </cell>
          <cell r="AB325">
            <v>2</v>
          </cell>
          <cell r="AC325">
            <v>278000</v>
          </cell>
        </row>
        <row r="326">
          <cell r="B326" t="str">
            <v>의류</v>
          </cell>
          <cell r="F326" t="str">
            <v>P0Y6102</v>
          </cell>
          <cell r="G326">
            <v>31</v>
          </cell>
        </row>
        <row r="327">
          <cell r="B327" t="str">
            <v>의류</v>
          </cell>
          <cell r="F327" t="str">
            <v>P0Y6102</v>
          </cell>
          <cell r="G327">
            <v>49</v>
          </cell>
        </row>
        <row r="328">
          <cell r="B328" t="str">
            <v>의류</v>
          </cell>
          <cell r="F328" t="str">
            <v>P0Y6201</v>
          </cell>
          <cell r="G328">
            <v>31</v>
          </cell>
          <cell r="AB328">
            <v>34</v>
          </cell>
          <cell r="AC328">
            <v>4334400</v>
          </cell>
        </row>
        <row r="329">
          <cell r="B329" t="str">
            <v>의류</v>
          </cell>
          <cell r="F329" t="str">
            <v>P0Y6201</v>
          </cell>
          <cell r="G329">
            <v>49</v>
          </cell>
          <cell r="AB329">
            <v>16</v>
          </cell>
          <cell r="AC329">
            <v>2076900</v>
          </cell>
        </row>
        <row r="330">
          <cell r="B330" t="str">
            <v>의류</v>
          </cell>
          <cell r="F330" t="str">
            <v>P0Y6201</v>
          </cell>
          <cell r="G330">
            <v>74</v>
          </cell>
          <cell r="AB330">
            <v>19</v>
          </cell>
          <cell r="AC330">
            <v>2451000</v>
          </cell>
        </row>
        <row r="331">
          <cell r="B331" t="str">
            <v>의류</v>
          </cell>
          <cell r="F331" t="str">
            <v>P0Y6202</v>
          </cell>
          <cell r="G331">
            <v>27</v>
          </cell>
          <cell r="AB331">
            <v>14</v>
          </cell>
          <cell r="AC331">
            <v>2086000</v>
          </cell>
        </row>
        <row r="332">
          <cell r="B332" t="str">
            <v>의류</v>
          </cell>
          <cell r="F332" t="str">
            <v>P0Y6202</v>
          </cell>
          <cell r="G332">
            <v>76</v>
          </cell>
          <cell r="AB332">
            <v>8</v>
          </cell>
          <cell r="AC332">
            <v>1192000</v>
          </cell>
        </row>
        <row r="333">
          <cell r="B333" t="str">
            <v>의류</v>
          </cell>
          <cell r="F333" t="str">
            <v>P0Y6203</v>
          </cell>
          <cell r="G333">
            <v>43</v>
          </cell>
          <cell r="AB333">
            <v>7</v>
          </cell>
          <cell r="AC333">
            <v>903000</v>
          </cell>
        </row>
        <row r="334">
          <cell r="B334" t="str">
            <v>의류</v>
          </cell>
          <cell r="F334" t="str">
            <v>P0Y6203</v>
          </cell>
          <cell r="G334">
            <v>63</v>
          </cell>
          <cell r="AB334">
            <v>12</v>
          </cell>
          <cell r="AC334">
            <v>1528000</v>
          </cell>
        </row>
        <row r="335">
          <cell r="B335" t="str">
            <v>의류</v>
          </cell>
          <cell r="F335" t="str">
            <v>P0Y6204</v>
          </cell>
          <cell r="G335">
            <v>31</v>
          </cell>
        </row>
        <row r="336">
          <cell r="B336" t="str">
            <v>의류</v>
          </cell>
          <cell r="F336" t="str">
            <v>P0Y6204</v>
          </cell>
          <cell r="G336">
            <v>49</v>
          </cell>
          <cell r="AB336">
            <v>5</v>
          </cell>
          <cell r="AC336">
            <v>745000</v>
          </cell>
        </row>
        <row r="337">
          <cell r="B337" t="str">
            <v>의류</v>
          </cell>
          <cell r="F337" t="str">
            <v>P0Y7101</v>
          </cell>
          <cell r="G337">
            <v>49</v>
          </cell>
          <cell r="AB337">
            <v>1</v>
          </cell>
          <cell r="AC337">
            <v>89000</v>
          </cell>
        </row>
        <row r="338">
          <cell r="B338" t="str">
            <v>의류</v>
          </cell>
          <cell r="F338" t="str">
            <v>P0Y7101</v>
          </cell>
          <cell r="G338">
            <v>53</v>
          </cell>
        </row>
        <row r="339">
          <cell r="B339" t="str">
            <v>의류</v>
          </cell>
          <cell r="F339" t="str">
            <v>P0Y7102</v>
          </cell>
          <cell r="G339">
            <v>27</v>
          </cell>
          <cell r="AB339">
            <v>-1</v>
          </cell>
          <cell r="AC339">
            <v>-79000</v>
          </cell>
        </row>
        <row r="340">
          <cell r="B340" t="str">
            <v>의류</v>
          </cell>
          <cell r="F340" t="str">
            <v>P0Y7102</v>
          </cell>
          <cell r="G340">
            <v>49</v>
          </cell>
          <cell r="AB340">
            <v>-2</v>
          </cell>
          <cell r="AC340">
            <v>-158000</v>
          </cell>
        </row>
        <row r="341">
          <cell r="B341" t="str">
            <v>의류</v>
          </cell>
          <cell r="F341" t="str">
            <v>P0Y7103</v>
          </cell>
          <cell r="G341">
            <v>45</v>
          </cell>
          <cell r="AB341">
            <v>4</v>
          </cell>
          <cell r="AC341">
            <v>276000</v>
          </cell>
        </row>
        <row r="342">
          <cell r="B342" t="str">
            <v>의류</v>
          </cell>
          <cell r="F342" t="str">
            <v>P0Y7103</v>
          </cell>
          <cell r="G342">
            <v>63</v>
          </cell>
        </row>
        <row r="343">
          <cell r="B343" t="str">
            <v>의류</v>
          </cell>
          <cell r="F343" t="str">
            <v>P0Y7103</v>
          </cell>
          <cell r="G343">
            <v>73</v>
          </cell>
        </row>
        <row r="344">
          <cell r="B344" t="str">
            <v>의류</v>
          </cell>
          <cell r="F344" t="str">
            <v>P0Y7104</v>
          </cell>
          <cell r="G344">
            <v>31</v>
          </cell>
          <cell r="AB344">
            <v>5</v>
          </cell>
          <cell r="AC344">
            <v>495000</v>
          </cell>
        </row>
        <row r="345">
          <cell r="B345" t="str">
            <v>의류</v>
          </cell>
          <cell r="F345" t="str">
            <v>P0Y7201</v>
          </cell>
          <cell r="G345">
            <v>49</v>
          </cell>
          <cell r="AB345">
            <v>36</v>
          </cell>
          <cell r="AC345">
            <v>2824000</v>
          </cell>
        </row>
        <row r="346">
          <cell r="B346" t="str">
            <v>의류</v>
          </cell>
          <cell r="F346" t="str">
            <v>P0Y7201</v>
          </cell>
          <cell r="G346">
            <v>53</v>
          </cell>
          <cell r="AB346">
            <v>14</v>
          </cell>
          <cell r="AC346">
            <v>1106000</v>
          </cell>
        </row>
        <row r="347">
          <cell r="B347" t="str">
            <v>의류</v>
          </cell>
          <cell r="F347" t="str">
            <v>P0Y7201</v>
          </cell>
          <cell r="G347">
            <v>76</v>
          </cell>
          <cell r="AB347">
            <v>8</v>
          </cell>
          <cell r="AC347">
            <v>639900</v>
          </cell>
        </row>
        <row r="348">
          <cell r="B348" t="str">
            <v>의류</v>
          </cell>
          <cell r="F348" t="str">
            <v>P0Y7202</v>
          </cell>
          <cell r="G348">
            <v>31</v>
          </cell>
          <cell r="AB348">
            <v>27</v>
          </cell>
          <cell r="AC348">
            <v>2403000</v>
          </cell>
        </row>
        <row r="349">
          <cell r="B349" t="str">
            <v>의류</v>
          </cell>
          <cell r="F349" t="str">
            <v>P0Y7202</v>
          </cell>
          <cell r="G349">
            <v>49</v>
          </cell>
          <cell r="AB349">
            <v>32</v>
          </cell>
          <cell r="AC349">
            <v>2844700</v>
          </cell>
        </row>
        <row r="350">
          <cell r="B350" t="str">
            <v>의류</v>
          </cell>
          <cell r="F350" t="str">
            <v>P0Y7203</v>
          </cell>
          <cell r="G350">
            <v>37</v>
          </cell>
          <cell r="AB350">
            <v>63</v>
          </cell>
          <cell r="AC350">
            <v>5537000</v>
          </cell>
        </row>
        <row r="351">
          <cell r="B351" t="str">
            <v>의류</v>
          </cell>
          <cell r="F351" t="str">
            <v>P0Y7203</v>
          </cell>
          <cell r="G351">
            <v>49</v>
          </cell>
          <cell r="AB351">
            <v>52</v>
          </cell>
          <cell r="AC351">
            <v>4608000</v>
          </cell>
        </row>
        <row r="352">
          <cell r="B352" t="str">
            <v>의류</v>
          </cell>
          <cell r="F352" t="str">
            <v>P0Y7204</v>
          </cell>
          <cell r="G352">
            <v>45</v>
          </cell>
          <cell r="AB352">
            <v>20</v>
          </cell>
          <cell r="AC352">
            <v>1750000</v>
          </cell>
        </row>
        <row r="353">
          <cell r="B353" t="str">
            <v>의류</v>
          </cell>
          <cell r="F353" t="str">
            <v>P0Y7204</v>
          </cell>
          <cell r="G353">
            <v>73</v>
          </cell>
          <cell r="AB353">
            <v>17</v>
          </cell>
          <cell r="AC353">
            <v>1513000</v>
          </cell>
        </row>
        <row r="354">
          <cell r="B354" t="str">
            <v>의류</v>
          </cell>
          <cell r="F354" t="str">
            <v>P0Y7205</v>
          </cell>
          <cell r="G354">
            <v>31</v>
          </cell>
          <cell r="AB354">
            <v>32</v>
          </cell>
          <cell r="AC354">
            <v>2848000</v>
          </cell>
        </row>
        <row r="355">
          <cell r="B355" t="str">
            <v>의류</v>
          </cell>
          <cell r="F355" t="str">
            <v>P0Y7205</v>
          </cell>
          <cell r="G355">
            <v>49</v>
          </cell>
          <cell r="AB355">
            <v>25</v>
          </cell>
          <cell r="AC355">
            <v>2225000</v>
          </cell>
        </row>
        <row r="356">
          <cell r="B356" t="str">
            <v>의류</v>
          </cell>
          <cell r="F356" t="str">
            <v>P0Y7206</v>
          </cell>
          <cell r="G356">
            <v>31</v>
          </cell>
          <cell r="AB356">
            <v>15</v>
          </cell>
          <cell r="AC356">
            <v>1035000</v>
          </cell>
        </row>
        <row r="357">
          <cell r="B357" t="str">
            <v>의류</v>
          </cell>
          <cell r="F357" t="str">
            <v>P0Y7206</v>
          </cell>
          <cell r="G357">
            <v>49</v>
          </cell>
          <cell r="AB357">
            <v>49</v>
          </cell>
          <cell r="AC357">
            <v>3271000</v>
          </cell>
        </row>
        <row r="358">
          <cell r="B358" t="str">
            <v>의류</v>
          </cell>
          <cell r="F358" t="str">
            <v>P0Y7207</v>
          </cell>
          <cell r="G358">
            <v>49</v>
          </cell>
          <cell r="AB358">
            <v>22</v>
          </cell>
          <cell r="AC358">
            <v>1738000</v>
          </cell>
        </row>
        <row r="359">
          <cell r="B359" t="str">
            <v>의류</v>
          </cell>
          <cell r="F359" t="str">
            <v>P0Y7207</v>
          </cell>
          <cell r="G359">
            <v>76</v>
          </cell>
          <cell r="AB359">
            <v>5</v>
          </cell>
          <cell r="AC359">
            <v>395000</v>
          </cell>
        </row>
        <row r="360">
          <cell r="B360" t="str">
            <v>의류</v>
          </cell>
          <cell r="F360" t="str">
            <v>P0Y7208</v>
          </cell>
          <cell r="G360">
            <v>27</v>
          </cell>
          <cell r="AB360">
            <v>2</v>
          </cell>
          <cell r="AC360">
            <v>138000</v>
          </cell>
        </row>
        <row r="361">
          <cell r="B361" t="str">
            <v>의류</v>
          </cell>
          <cell r="F361" t="str">
            <v>P0Y7208</v>
          </cell>
          <cell r="G361">
            <v>45</v>
          </cell>
          <cell r="AB361">
            <v>8</v>
          </cell>
          <cell r="AC361">
            <v>552000</v>
          </cell>
        </row>
        <row r="362">
          <cell r="B362" t="str">
            <v>의류</v>
          </cell>
          <cell r="F362" t="str">
            <v>P0YQ101</v>
          </cell>
          <cell r="G362">
            <v>49</v>
          </cell>
          <cell r="AB362">
            <v>5</v>
          </cell>
          <cell r="AC362">
            <v>495000</v>
          </cell>
        </row>
        <row r="363">
          <cell r="B363" t="str">
            <v>의류</v>
          </cell>
          <cell r="F363" t="str">
            <v>P0YQ102</v>
          </cell>
          <cell r="G363">
            <v>34</v>
          </cell>
          <cell r="AB363">
            <v>3</v>
          </cell>
          <cell r="AC363">
            <v>257400</v>
          </cell>
        </row>
        <row r="364">
          <cell r="B364" t="str">
            <v>의류</v>
          </cell>
          <cell r="F364" t="str">
            <v>P0YQ201</v>
          </cell>
          <cell r="G364">
            <v>31</v>
          </cell>
          <cell r="AB364">
            <v>16</v>
          </cell>
          <cell r="AC364">
            <v>1584000</v>
          </cell>
        </row>
        <row r="365">
          <cell r="B365" t="str">
            <v>의류</v>
          </cell>
          <cell r="F365" t="str">
            <v>P0YQ201</v>
          </cell>
          <cell r="G365">
            <v>49</v>
          </cell>
          <cell r="AB365">
            <v>11</v>
          </cell>
          <cell r="AC365">
            <v>1089000</v>
          </cell>
        </row>
        <row r="366">
          <cell r="B366" t="str">
            <v>의류</v>
          </cell>
          <cell r="F366" t="str">
            <v>P0YQ202</v>
          </cell>
          <cell r="G366">
            <v>49</v>
          </cell>
          <cell r="AB366">
            <v>18</v>
          </cell>
          <cell r="AC366">
            <v>1782000</v>
          </cell>
        </row>
        <row r="367">
          <cell r="B367" t="str">
            <v>의류</v>
          </cell>
          <cell r="F367" t="str">
            <v>P0YQ202</v>
          </cell>
          <cell r="G367">
            <v>63</v>
          </cell>
        </row>
        <row r="368">
          <cell r="B368" t="str">
            <v>의류</v>
          </cell>
          <cell r="F368" t="str">
            <v>P0YQ202</v>
          </cell>
          <cell r="G368">
            <v>76</v>
          </cell>
          <cell r="AB368">
            <v>10</v>
          </cell>
          <cell r="AC368">
            <v>960000</v>
          </cell>
        </row>
        <row r="369">
          <cell r="B369" t="str">
            <v>의류</v>
          </cell>
          <cell r="F369" t="str">
            <v>P0YT101</v>
          </cell>
          <cell r="G369">
            <v>26</v>
          </cell>
          <cell r="AB369">
            <v>-1</v>
          </cell>
          <cell r="AC369">
            <v>-199000</v>
          </cell>
        </row>
        <row r="370">
          <cell r="B370" t="str">
            <v>의류</v>
          </cell>
          <cell r="F370" t="str">
            <v>P0YT101</v>
          </cell>
          <cell r="G370">
            <v>49</v>
          </cell>
        </row>
        <row r="371">
          <cell r="B371" t="str">
            <v>의류</v>
          </cell>
          <cell r="F371" t="str">
            <v>P0YV101</v>
          </cell>
          <cell r="G371">
            <v>27</v>
          </cell>
          <cell r="AB371">
            <v>-1</v>
          </cell>
          <cell r="AC371">
            <v>-149000</v>
          </cell>
        </row>
        <row r="372">
          <cell r="B372" t="str">
            <v>의류</v>
          </cell>
          <cell r="F372" t="str">
            <v>P0YV101</v>
          </cell>
          <cell r="G372">
            <v>75</v>
          </cell>
          <cell r="AB372">
            <v>2</v>
          </cell>
          <cell r="AC372">
            <v>298000</v>
          </cell>
        </row>
        <row r="373">
          <cell r="B373" t="str">
            <v>의류</v>
          </cell>
          <cell r="F373" t="str">
            <v>P0YV201</v>
          </cell>
          <cell r="G373">
            <v>27</v>
          </cell>
          <cell r="AB373">
            <v>7</v>
          </cell>
          <cell r="AC373">
            <v>833000</v>
          </cell>
        </row>
        <row r="374">
          <cell r="B374" t="str">
            <v>의류</v>
          </cell>
          <cell r="F374" t="str">
            <v>P0YV201</v>
          </cell>
          <cell r="G374">
            <v>49</v>
          </cell>
          <cell r="AB374">
            <v>22</v>
          </cell>
          <cell r="AC374">
            <v>2618000</v>
          </cell>
        </row>
        <row r="375">
          <cell r="B375" t="str">
            <v>의류</v>
          </cell>
          <cell r="F375" t="str">
            <v>P0YV202</v>
          </cell>
          <cell r="G375">
            <v>31</v>
          </cell>
          <cell r="AB375">
            <v>11</v>
          </cell>
          <cell r="AC375">
            <v>1309000</v>
          </cell>
        </row>
        <row r="376">
          <cell r="B376" t="str">
            <v>의류</v>
          </cell>
          <cell r="F376" t="str">
            <v>P0YV202</v>
          </cell>
          <cell r="G376">
            <v>66</v>
          </cell>
          <cell r="AB376">
            <v>9</v>
          </cell>
          <cell r="AC376">
            <v>1041000</v>
          </cell>
        </row>
        <row r="377">
          <cell r="B377" t="str">
            <v>의류</v>
          </cell>
          <cell r="F377" t="str">
            <v>P0YV203</v>
          </cell>
          <cell r="G377">
            <v>49</v>
          </cell>
          <cell r="AB377">
            <v>37</v>
          </cell>
          <cell r="AC377">
            <v>4373000</v>
          </cell>
        </row>
        <row r="378">
          <cell r="B378" t="str">
            <v>의류</v>
          </cell>
          <cell r="F378" t="str">
            <v>P0YV203</v>
          </cell>
          <cell r="G378">
            <v>54</v>
          </cell>
          <cell r="AB378">
            <v>11</v>
          </cell>
          <cell r="AC378">
            <v>1309000</v>
          </cell>
        </row>
        <row r="379">
          <cell r="B379" t="str">
            <v>악세</v>
          </cell>
          <cell r="F379" t="str">
            <v>PAYG101</v>
          </cell>
          <cell r="G379">
            <v>41</v>
          </cell>
          <cell r="AB379">
            <v>1</v>
          </cell>
          <cell r="AC379">
            <v>47600</v>
          </cell>
        </row>
        <row r="380">
          <cell r="B380" t="str">
            <v>악세</v>
          </cell>
          <cell r="F380" t="str">
            <v>PAYG102</v>
          </cell>
          <cell r="G380">
            <v>31</v>
          </cell>
          <cell r="AB380">
            <v>2</v>
          </cell>
          <cell r="AC380">
            <v>108800</v>
          </cell>
        </row>
        <row r="381">
          <cell r="B381" t="str">
            <v>악세</v>
          </cell>
          <cell r="F381" t="str">
            <v>PAYT101</v>
          </cell>
          <cell r="G381">
            <v>49</v>
          </cell>
          <cell r="AB381">
            <v>-1</v>
          </cell>
          <cell r="AC381">
            <v>-19900</v>
          </cell>
        </row>
        <row r="382">
          <cell r="B382" t="str">
            <v>악세</v>
          </cell>
          <cell r="F382" t="str">
            <v>PAYT102</v>
          </cell>
          <cell r="G382">
            <v>31</v>
          </cell>
        </row>
        <row r="383">
          <cell r="B383" t="str">
            <v>악세</v>
          </cell>
          <cell r="F383" t="str">
            <v>PAYT102</v>
          </cell>
          <cell r="G383">
            <v>39</v>
          </cell>
          <cell r="AB383">
            <v>1</v>
          </cell>
          <cell r="AC383">
            <v>19900</v>
          </cell>
        </row>
        <row r="384">
          <cell r="B384" t="str">
            <v>악세</v>
          </cell>
          <cell r="F384" t="str">
            <v>PAYV201</v>
          </cell>
          <cell r="G384">
            <v>49</v>
          </cell>
        </row>
        <row r="385">
          <cell r="B385" t="str">
            <v>악세</v>
          </cell>
          <cell r="F385" t="str">
            <v>PAYV201</v>
          </cell>
          <cell r="G385">
            <v>76</v>
          </cell>
          <cell r="AB385">
            <v>6</v>
          </cell>
          <cell r="AC385">
            <v>326400</v>
          </cell>
        </row>
        <row r="386">
          <cell r="B386" t="str">
            <v>악세</v>
          </cell>
          <cell r="F386" t="str">
            <v>PAYW101</v>
          </cell>
          <cell r="G386">
            <v>49</v>
          </cell>
        </row>
        <row r="387">
          <cell r="B387" t="str">
            <v>악세</v>
          </cell>
          <cell r="F387" t="str">
            <v>PAYW102</v>
          </cell>
          <cell r="G387">
            <v>49</v>
          </cell>
        </row>
        <row r="388">
          <cell r="B388" t="str">
            <v>악세</v>
          </cell>
          <cell r="F388" t="str">
            <v>PAYW102</v>
          </cell>
          <cell r="G388">
            <v>76</v>
          </cell>
          <cell r="AB388">
            <v>-2</v>
          </cell>
          <cell r="AC388">
            <v>-122800</v>
          </cell>
        </row>
        <row r="389">
          <cell r="B389" t="str">
            <v>악세</v>
          </cell>
          <cell r="F389" t="str">
            <v>PAYW103</v>
          </cell>
          <cell r="G389">
            <v>31</v>
          </cell>
          <cell r="AB389">
            <v>19</v>
          </cell>
          <cell r="AC389">
            <v>976800</v>
          </cell>
        </row>
        <row r="390">
          <cell r="B390" t="str">
            <v>악세</v>
          </cell>
          <cell r="F390" t="str">
            <v>PAYW103</v>
          </cell>
          <cell r="G390">
            <v>49</v>
          </cell>
          <cell r="AB390">
            <v>-2</v>
          </cell>
          <cell r="AC390">
            <v>-108800</v>
          </cell>
        </row>
        <row r="391">
          <cell r="B391" t="str">
            <v>악세</v>
          </cell>
          <cell r="F391" t="str">
            <v>PAYW104</v>
          </cell>
          <cell r="G391">
            <v>41</v>
          </cell>
          <cell r="AB391">
            <v>1</v>
          </cell>
          <cell r="AC391">
            <v>54400</v>
          </cell>
        </row>
        <row r="392">
          <cell r="B392" t="str">
            <v>악세</v>
          </cell>
          <cell r="F392" t="str">
            <v>PAYW104</v>
          </cell>
          <cell r="G392">
            <v>76</v>
          </cell>
          <cell r="AB392">
            <v>3</v>
          </cell>
          <cell r="AC392">
            <v>163200</v>
          </cell>
        </row>
        <row r="393">
          <cell r="B393" t="str">
            <v>악세</v>
          </cell>
          <cell r="F393" t="str">
            <v>PAYW105</v>
          </cell>
          <cell r="G393">
            <v>31</v>
          </cell>
          <cell r="AB393">
            <v>-1</v>
          </cell>
          <cell r="AC393">
            <v>-84400</v>
          </cell>
        </row>
        <row r="394">
          <cell r="B394" t="str">
            <v>악세</v>
          </cell>
          <cell r="F394" t="str">
            <v>PAYW105</v>
          </cell>
          <cell r="G394">
            <v>49</v>
          </cell>
          <cell r="AB394">
            <v>4</v>
          </cell>
          <cell r="AC394">
            <v>217600</v>
          </cell>
        </row>
        <row r="395">
          <cell r="B395" t="str">
            <v>악세</v>
          </cell>
          <cell r="F395" t="str">
            <v>PAYW106</v>
          </cell>
          <cell r="G395">
            <v>31</v>
          </cell>
          <cell r="AB395">
            <v>2</v>
          </cell>
          <cell r="AC395">
            <v>76800</v>
          </cell>
        </row>
        <row r="396">
          <cell r="B396" t="str">
            <v>악세</v>
          </cell>
          <cell r="F396" t="str">
            <v>PAYW106</v>
          </cell>
          <cell r="G396">
            <v>39</v>
          </cell>
        </row>
        <row r="397">
          <cell r="B397" t="str">
            <v>악세</v>
          </cell>
          <cell r="F397" t="str">
            <v>PAYW201</v>
          </cell>
          <cell r="G397">
            <v>31</v>
          </cell>
          <cell r="AB397">
            <v>5</v>
          </cell>
          <cell r="AC397">
            <v>272000</v>
          </cell>
        </row>
        <row r="398">
          <cell r="B398" t="str">
            <v>악세</v>
          </cell>
          <cell r="F398" t="str">
            <v>PAYW201</v>
          </cell>
          <cell r="G398">
            <v>49</v>
          </cell>
          <cell r="AB398">
            <v>2</v>
          </cell>
          <cell r="AC398">
            <v>108800</v>
          </cell>
        </row>
        <row r="399">
          <cell r="B399" t="str">
            <v>악세</v>
          </cell>
          <cell r="F399" t="str">
            <v>PAYW202</v>
          </cell>
          <cell r="G399">
            <v>31</v>
          </cell>
          <cell r="AB399">
            <v>1</v>
          </cell>
          <cell r="AC399">
            <v>46400</v>
          </cell>
        </row>
        <row r="400">
          <cell r="B400" t="str">
            <v>악세</v>
          </cell>
          <cell r="F400" t="str">
            <v>PAYW202</v>
          </cell>
          <cell r="G400">
            <v>49</v>
          </cell>
          <cell r="AB400">
            <v>4</v>
          </cell>
          <cell r="AC400">
            <v>185600</v>
          </cell>
        </row>
        <row r="401">
          <cell r="B401" t="str">
            <v>악세</v>
          </cell>
          <cell r="F401" t="str">
            <v>PAYW203</v>
          </cell>
          <cell r="G401">
            <v>45</v>
          </cell>
          <cell r="AB401">
            <v>3</v>
          </cell>
          <cell r="AC401">
            <v>139200</v>
          </cell>
        </row>
        <row r="402">
          <cell r="B402" t="str">
            <v>악세</v>
          </cell>
          <cell r="F402" t="str">
            <v>PAYW203</v>
          </cell>
          <cell r="G402">
            <v>74</v>
          </cell>
          <cell r="AB402">
            <v>5</v>
          </cell>
          <cell r="AC402">
            <v>232000</v>
          </cell>
        </row>
        <row r="403">
          <cell r="B403" t="str">
            <v>악세</v>
          </cell>
          <cell r="F403" t="str">
            <v>PAYW204</v>
          </cell>
          <cell r="G403">
            <v>39</v>
          </cell>
          <cell r="AB403">
            <v>5</v>
          </cell>
          <cell r="AC403">
            <v>232000</v>
          </cell>
        </row>
        <row r="404">
          <cell r="B404" t="str">
            <v>악세</v>
          </cell>
          <cell r="F404" t="str">
            <v>PAYW204</v>
          </cell>
          <cell r="G404">
            <v>76</v>
          </cell>
          <cell r="AB404">
            <v>2</v>
          </cell>
          <cell r="AC404">
            <v>92800</v>
          </cell>
        </row>
        <row r="405">
          <cell r="B405" t="str">
            <v>악세</v>
          </cell>
          <cell r="F405" t="str">
            <v>PAYW206</v>
          </cell>
          <cell r="G405">
            <v>49</v>
          </cell>
          <cell r="AB405">
            <v>6</v>
          </cell>
          <cell r="AC405">
            <v>326400</v>
          </cell>
        </row>
        <row r="406">
          <cell r="B406" t="str">
            <v>악세</v>
          </cell>
          <cell r="F406" t="str">
            <v>PAYW206</v>
          </cell>
          <cell r="G406">
            <v>76</v>
          </cell>
          <cell r="AB406">
            <v>6</v>
          </cell>
          <cell r="AC406">
            <v>326400</v>
          </cell>
        </row>
        <row r="407">
          <cell r="B407" t="str">
            <v>악세</v>
          </cell>
          <cell r="F407" t="str">
            <v>PAYW207</v>
          </cell>
          <cell r="G407">
            <v>49</v>
          </cell>
          <cell r="AB407">
            <v>5</v>
          </cell>
          <cell r="AC407">
            <v>272000</v>
          </cell>
        </row>
        <row r="408">
          <cell r="B408" t="str">
            <v>악세</v>
          </cell>
          <cell r="F408" t="str">
            <v>PAYW207</v>
          </cell>
          <cell r="G408">
            <v>63</v>
          </cell>
          <cell r="AB408">
            <v>3</v>
          </cell>
          <cell r="AC408">
            <v>163200</v>
          </cell>
        </row>
        <row r="409">
          <cell r="B409" t="str">
            <v>악세</v>
          </cell>
          <cell r="F409" t="str">
            <v>PAYW208</v>
          </cell>
          <cell r="G409">
            <v>22</v>
          </cell>
          <cell r="AB409">
            <v>2</v>
          </cell>
          <cell r="AC409">
            <v>108800</v>
          </cell>
        </row>
        <row r="410">
          <cell r="B410" t="str">
            <v>악세</v>
          </cell>
          <cell r="F410" t="str">
            <v>PAYW208</v>
          </cell>
          <cell r="G410">
            <v>49</v>
          </cell>
          <cell r="AB410">
            <v>10</v>
          </cell>
          <cell r="AC410">
            <v>544000</v>
          </cell>
        </row>
        <row r="411">
          <cell r="B411" t="str">
            <v>악세</v>
          </cell>
          <cell r="F411" t="str">
            <v>PAYW209</v>
          </cell>
          <cell r="G411">
            <v>31</v>
          </cell>
          <cell r="AB411">
            <v>5</v>
          </cell>
          <cell r="AC411">
            <v>272000</v>
          </cell>
        </row>
        <row r="412">
          <cell r="B412" t="str">
            <v>악세</v>
          </cell>
          <cell r="F412" t="str">
            <v>PAYW209</v>
          </cell>
          <cell r="G412">
            <v>49</v>
          </cell>
          <cell r="AB412">
            <v>6</v>
          </cell>
          <cell r="AC412">
            <v>326400</v>
          </cell>
        </row>
        <row r="413">
          <cell r="B413" t="str">
            <v>악세</v>
          </cell>
          <cell r="F413" t="str">
            <v>PAYW210</v>
          </cell>
          <cell r="G413">
            <v>32</v>
          </cell>
          <cell r="AB413">
            <v>3</v>
          </cell>
          <cell r="AC413">
            <v>163200</v>
          </cell>
        </row>
        <row r="414">
          <cell r="B414" t="str">
            <v>악세</v>
          </cell>
          <cell r="F414" t="str">
            <v>PAYW210</v>
          </cell>
          <cell r="G414">
            <v>49</v>
          </cell>
          <cell r="AB414">
            <v>3</v>
          </cell>
          <cell r="AC414">
            <v>163200</v>
          </cell>
        </row>
        <row r="415">
          <cell r="B415" t="str">
            <v>악세</v>
          </cell>
          <cell r="F415" t="str">
            <v>PAYW211</v>
          </cell>
          <cell r="G415">
            <v>31</v>
          </cell>
          <cell r="AB415">
            <v>6</v>
          </cell>
          <cell r="AC415">
            <v>278400</v>
          </cell>
        </row>
        <row r="416">
          <cell r="B416" t="str">
            <v>악세</v>
          </cell>
          <cell r="F416" t="str">
            <v>PAYW211</v>
          </cell>
          <cell r="G416">
            <v>49</v>
          </cell>
          <cell r="AB416">
            <v>5</v>
          </cell>
          <cell r="AC416">
            <v>232000</v>
          </cell>
        </row>
        <row r="417">
          <cell r="B417" t="str">
            <v>악세</v>
          </cell>
          <cell r="F417" t="str">
            <v>PAYW212</v>
          </cell>
          <cell r="G417">
            <v>49</v>
          </cell>
          <cell r="AB417">
            <v>6</v>
          </cell>
          <cell r="AC417">
            <v>326400</v>
          </cell>
        </row>
        <row r="418">
          <cell r="B418" t="str">
            <v>악세</v>
          </cell>
          <cell r="F418" t="str">
            <v>PAYW212</v>
          </cell>
          <cell r="G418">
            <v>53</v>
          </cell>
          <cell r="AB418">
            <v>4</v>
          </cell>
          <cell r="AC418">
            <v>217600</v>
          </cell>
        </row>
        <row r="419">
          <cell r="B419" t="str">
            <v>악세</v>
          </cell>
          <cell r="F419" t="str">
            <v>PAYW213</v>
          </cell>
          <cell r="G419">
            <v>31</v>
          </cell>
          <cell r="AB419">
            <v>5</v>
          </cell>
          <cell r="AC419">
            <v>232000</v>
          </cell>
        </row>
        <row r="420">
          <cell r="B420" t="str">
            <v>악세</v>
          </cell>
          <cell r="F420" t="str">
            <v>PAYW214</v>
          </cell>
          <cell r="G420">
            <v>39</v>
          </cell>
          <cell r="AB420">
            <v>10</v>
          </cell>
          <cell r="AC420">
            <v>464000</v>
          </cell>
        </row>
        <row r="421">
          <cell r="B421" t="str">
            <v>악세</v>
          </cell>
          <cell r="F421" t="str">
            <v>PAYW214</v>
          </cell>
          <cell r="G421">
            <v>76</v>
          </cell>
          <cell r="AB421">
            <v>4</v>
          </cell>
          <cell r="AC421">
            <v>185600</v>
          </cell>
        </row>
        <row r="422">
          <cell r="B422" t="str">
            <v>악세</v>
          </cell>
          <cell r="F422" t="str">
            <v>PAYW215</v>
          </cell>
          <cell r="G422">
            <v>31</v>
          </cell>
          <cell r="AB422">
            <v>11</v>
          </cell>
          <cell r="AC422">
            <v>510400</v>
          </cell>
        </row>
        <row r="423">
          <cell r="B423" t="str">
            <v>악세</v>
          </cell>
          <cell r="F423" t="str">
            <v>PAYW215</v>
          </cell>
          <cell r="G423">
            <v>49</v>
          </cell>
          <cell r="AB423">
            <v>7</v>
          </cell>
          <cell r="AC423">
            <v>324800</v>
          </cell>
        </row>
        <row r="424">
          <cell r="B424" t="str">
            <v>악세</v>
          </cell>
          <cell r="F424" t="str">
            <v>PAYX101</v>
          </cell>
          <cell r="G424">
            <v>49</v>
          </cell>
          <cell r="AB424">
            <v>4</v>
          </cell>
          <cell r="AC424">
            <v>365800</v>
          </cell>
        </row>
        <row r="425">
          <cell r="B425" t="str">
            <v>악세</v>
          </cell>
          <cell r="F425" t="str">
            <v>PAYX201</v>
          </cell>
          <cell r="G425">
            <v>49</v>
          </cell>
        </row>
        <row r="426">
          <cell r="B426" t="str">
            <v>악세</v>
          </cell>
          <cell r="F426" t="str">
            <v>PAYX202</v>
          </cell>
          <cell r="G426">
            <v>49</v>
          </cell>
          <cell r="AB426">
            <v>1</v>
          </cell>
          <cell r="AC426">
            <v>254400</v>
          </cell>
        </row>
        <row r="427">
          <cell r="B427" t="str">
            <v>악세</v>
          </cell>
          <cell r="F427" t="str">
            <v>PAYX203</v>
          </cell>
          <cell r="G427">
            <v>49</v>
          </cell>
          <cell r="AB427">
            <v>8</v>
          </cell>
          <cell r="AC427">
            <v>759200</v>
          </cell>
        </row>
        <row r="428">
          <cell r="B428" t="str">
            <v>악세</v>
          </cell>
          <cell r="F428" t="str">
            <v>PAYY101</v>
          </cell>
          <cell r="G428">
            <v>39</v>
          </cell>
          <cell r="AB428">
            <v>1</v>
          </cell>
          <cell r="AC428">
            <v>9600</v>
          </cell>
        </row>
        <row r="429">
          <cell r="B429" t="str">
            <v>의류</v>
          </cell>
          <cell r="F429" t="str">
            <v>PNY1101</v>
          </cell>
          <cell r="G429">
            <v>31</v>
          </cell>
          <cell r="AB429">
            <v>6</v>
          </cell>
          <cell r="AC429">
            <v>294000</v>
          </cell>
        </row>
        <row r="430">
          <cell r="B430" t="str">
            <v>의류</v>
          </cell>
          <cell r="F430" t="str">
            <v>PNY1101</v>
          </cell>
          <cell r="G430">
            <v>39</v>
          </cell>
          <cell r="AB430">
            <v>6</v>
          </cell>
          <cell r="AC430">
            <v>294000</v>
          </cell>
        </row>
        <row r="431">
          <cell r="B431" t="str">
            <v>의류</v>
          </cell>
          <cell r="F431" t="str">
            <v>PNY1102</v>
          </cell>
          <cell r="G431">
            <v>31</v>
          </cell>
          <cell r="AB431">
            <v>1</v>
          </cell>
          <cell r="AC431">
            <v>49000</v>
          </cell>
        </row>
        <row r="432">
          <cell r="B432" t="str">
            <v>의류</v>
          </cell>
          <cell r="F432" t="str">
            <v>PNY1102</v>
          </cell>
          <cell r="G432">
            <v>76</v>
          </cell>
        </row>
        <row r="433">
          <cell r="B433" t="str">
            <v>의류</v>
          </cell>
          <cell r="F433" t="str">
            <v>PNY1103</v>
          </cell>
          <cell r="G433">
            <v>31</v>
          </cell>
          <cell r="AB433">
            <v>3</v>
          </cell>
          <cell r="AC433">
            <v>147000</v>
          </cell>
        </row>
        <row r="434">
          <cell r="B434" t="str">
            <v>의류</v>
          </cell>
          <cell r="F434" t="str">
            <v>PNY1103</v>
          </cell>
          <cell r="G434">
            <v>39</v>
          </cell>
        </row>
        <row r="435">
          <cell r="B435" t="str">
            <v>의류</v>
          </cell>
          <cell r="F435" t="str">
            <v>PNY1201</v>
          </cell>
          <cell r="G435">
            <v>23</v>
          </cell>
          <cell r="AB435">
            <v>3</v>
          </cell>
          <cell r="AC435">
            <v>177000</v>
          </cell>
        </row>
        <row r="436">
          <cell r="B436" t="str">
            <v>의류</v>
          </cell>
          <cell r="F436" t="str">
            <v>PNY1201</v>
          </cell>
          <cell r="G436">
            <v>39</v>
          </cell>
          <cell r="AB436">
            <v>8</v>
          </cell>
          <cell r="AC436">
            <v>472000</v>
          </cell>
        </row>
        <row r="437">
          <cell r="B437" t="str">
            <v>의류</v>
          </cell>
          <cell r="F437" t="str">
            <v>PNY1201</v>
          </cell>
          <cell r="G437">
            <v>71</v>
          </cell>
          <cell r="AB437">
            <v>2</v>
          </cell>
          <cell r="AC437">
            <v>118000</v>
          </cell>
        </row>
        <row r="438">
          <cell r="B438" t="str">
            <v>의류</v>
          </cell>
          <cell r="F438" t="str">
            <v>PNY1202</v>
          </cell>
          <cell r="G438">
            <v>23</v>
          </cell>
          <cell r="AB438">
            <v>6</v>
          </cell>
          <cell r="AC438">
            <v>414000</v>
          </cell>
        </row>
        <row r="439">
          <cell r="B439" t="str">
            <v>의류</v>
          </cell>
          <cell r="F439" t="str">
            <v>PNY1202</v>
          </cell>
          <cell r="G439">
            <v>76</v>
          </cell>
          <cell r="AB439">
            <v>11</v>
          </cell>
          <cell r="AC439">
            <v>745200</v>
          </cell>
        </row>
        <row r="440">
          <cell r="B440" t="str">
            <v>의류</v>
          </cell>
          <cell r="F440" t="str">
            <v>PNY1203</v>
          </cell>
          <cell r="G440">
            <v>31</v>
          </cell>
          <cell r="AB440">
            <v>3</v>
          </cell>
          <cell r="AC440">
            <v>177000</v>
          </cell>
        </row>
        <row r="441">
          <cell r="B441" t="str">
            <v>의류</v>
          </cell>
          <cell r="F441" t="str">
            <v>PNY1203</v>
          </cell>
          <cell r="G441">
            <v>39</v>
          </cell>
          <cell r="AB441">
            <v>5</v>
          </cell>
          <cell r="AC441">
            <v>295000</v>
          </cell>
        </row>
        <row r="442">
          <cell r="B442" t="str">
            <v>의류</v>
          </cell>
          <cell r="F442" t="str">
            <v>PNY1204</v>
          </cell>
          <cell r="G442">
            <v>23</v>
          </cell>
          <cell r="AB442">
            <v>14</v>
          </cell>
          <cell r="AC442">
            <v>966000</v>
          </cell>
        </row>
        <row r="443">
          <cell r="B443" t="str">
            <v>의류</v>
          </cell>
          <cell r="F443" t="str">
            <v>PNY1205</v>
          </cell>
          <cell r="G443">
            <v>31</v>
          </cell>
          <cell r="AB443">
            <v>9</v>
          </cell>
          <cell r="AC443">
            <v>591000</v>
          </cell>
        </row>
        <row r="444">
          <cell r="B444" t="str">
            <v>의류</v>
          </cell>
          <cell r="F444" t="str">
            <v>PNY6101</v>
          </cell>
          <cell r="G444">
            <v>39</v>
          </cell>
          <cell r="AB444">
            <v>2</v>
          </cell>
          <cell r="AC444">
            <v>298000</v>
          </cell>
        </row>
        <row r="445">
          <cell r="B445" t="str">
            <v>의류</v>
          </cell>
          <cell r="F445" t="str">
            <v>PNY6101</v>
          </cell>
          <cell r="G445">
            <v>76</v>
          </cell>
          <cell r="AB445">
            <v>1</v>
          </cell>
          <cell r="AC445">
            <v>149000</v>
          </cell>
        </row>
        <row r="446">
          <cell r="B446" t="str">
            <v>의류</v>
          </cell>
          <cell r="F446" t="str">
            <v>PNY6102</v>
          </cell>
          <cell r="G446">
            <v>39</v>
          </cell>
          <cell r="AB446">
            <v>4</v>
          </cell>
          <cell r="AC446">
            <v>556000</v>
          </cell>
        </row>
        <row r="447">
          <cell r="B447" t="str">
            <v>의류</v>
          </cell>
          <cell r="F447" t="str">
            <v>PNY6201</v>
          </cell>
          <cell r="G447">
            <v>31</v>
          </cell>
          <cell r="AB447">
            <v>5</v>
          </cell>
          <cell r="AC447">
            <v>575000</v>
          </cell>
        </row>
        <row r="448">
          <cell r="B448" t="str">
            <v>의류</v>
          </cell>
          <cell r="F448" t="str">
            <v>PNY6201</v>
          </cell>
          <cell r="G448">
            <v>39</v>
          </cell>
          <cell r="AB448">
            <v>4</v>
          </cell>
          <cell r="AC448">
            <v>446000</v>
          </cell>
        </row>
        <row r="449">
          <cell r="B449" t="str">
            <v>의류</v>
          </cell>
          <cell r="F449" t="str">
            <v>PNY7101</v>
          </cell>
          <cell r="G449">
            <v>31</v>
          </cell>
          <cell r="AB449">
            <v>9</v>
          </cell>
          <cell r="AC449">
            <v>801000</v>
          </cell>
        </row>
        <row r="450">
          <cell r="B450" t="str">
            <v>의류</v>
          </cell>
          <cell r="F450" t="str">
            <v>PNY7101</v>
          </cell>
          <cell r="G450">
            <v>39</v>
          </cell>
          <cell r="AB450">
            <v>9</v>
          </cell>
          <cell r="AC450">
            <v>801000</v>
          </cell>
        </row>
        <row r="451">
          <cell r="B451" t="str">
            <v>의류</v>
          </cell>
          <cell r="F451" t="str">
            <v>PNY7101</v>
          </cell>
          <cell r="G451">
            <v>76</v>
          </cell>
          <cell r="AB451">
            <v>1</v>
          </cell>
          <cell r="AC451">
            <v>89000</v>
          </cell>
        </row>
        <row r="452">
          <cell r="B452" t="str">
            <v>의류</v>
          </cell>
          <cell r="F452" t="str">
            <v>PNY7102</v>
          </cell>
          <cell r="G452">
            <v>31</v>
          </cell>
        </row>
        <row r="453">
          <cell r="B453" t="str">
            <v>의류</v>
          </cell>
          <cell r="F453" t="str">
            <v>PNY7102</v>
          </cell>
          <cell r="G453">
            <v>39</v>
          </cell>
          <cell r="AB453">
            <v>4</v>
          </cell>
          <cell r="AC453">
            <v>426000</v>
          </cell>
        </row>
        <row r="454">
          <cell r="B454" t="str">
            <v>의류</v>
          </cell>
          <cell r="F454" t="str">
            <v>PNY7201</v>
          </cell>
          <cell r="G454">
            <v>32</v>
          </cell>
          <cell r="AB454">
            <v>4</v>
          </cell>
          <cell r="AC454">
            <v>356000</v>
          </cell>
        </row>
        <row r="455">
          <cell r="B455" t="str">
            <v>의류</v>
          </cell>
          <cell r="F455" t="str">
            <v>PNY7201</v>
          </cell>
          <cell r="G455">
            <v>39</v>
          </cell>
          <cell r="AB455">
            <v>19</v>
          </cell>
          <cell r="AC455">
            <v>1671000</v>
          </cell>
        </row>
        <row r="456">
          <cell r="B456" t="str">
            <v>의류</v>
          </cell>
          <cell r="F456" t="str">
            <v>PNY7202</v>
          </cell>
          <cell r="G456">
            <v>31</v>
          </cell>
          <cell r="AB456">
            <v>10</v>
          </cell>
          <cell r="AC456">
            <v>1046400</v>
          </cell>
        </row>
        <row r="457">
          <cell r="B457" t="str">
            <v>의류</v>
          </cell>
          <cell r="F457" t="str">
            <v>PNY7202</v>
          </cell>
          <cell r="G457">
            <v>34</v>
          </cell>
          <cell r="AB457">
            <v>6</v>
          </cell>
          <cell r="AC457">
            <v>634000</v>
          </cell>
        </row>
        <row r="458">
          <cell r="B458" t="str">
            <v>의류</v>
          </cell>
          <cell r="F458" t="str">
            <v>PNY7203</v>
          </cell>
          <cell r="G458">
            <v>39</v>
          </cell>
          <cell r="AB458">
            <v>6</v>
          </cell>
          <cell r="AC458">
            <v>414000</v>
          </cell>
        </row>
        <row r="459">
          <cell r="B459" t="str">
            <v>의류</v>
          </cell>
          <cell r="F459" t="str">
            <v>PNY7203</v>
          </cell>
          <cell r="G459">
            <v>76</v>
          </cell>
          <cell r="AB459">
            <v>2</v>
          </cell>
          <cell r="AC459">
            <v>138000</v>
          </cell>
        </row>
        <row r="460">
          <cell r="B460" t="str">
            <v>의류</v>
          </cell>
          <cell r="F460" t="str">
            <v>PNY7204</v>
          </cell>
          <cell r="G460">
            <v>31</v>
          </cell>
        </row>
        <row r="461">
          <cell r="B461" t="str">
            <v>의류</v>
          </cell>
          <cell r="F461" t="str">
            <v>PNY7204</v>
          </cell>
          <cell r="G461">
            <v>41</v>
          </cell>
          <cell r="AB461">
            <v>1</v>
          </cell>
          <cell r="AC461">
            <v>69000</v>
          </cell>
        </row>
        <row r="462">
          <cell r="B462" t="str">
            <v>의류</v>
          </cell>
          <cell r="F462" t="str">
            <v>PNYC101</v>
          </cell>
          <cell r="G462">
            <v>39</v>
          </cell>
          <cell r="AB462">
            <v>7</v>
          </cell>
          <cell r="AC462">
            <v>1743000</v>
          </cell>
        </row>
        <row r="463">
          <cell r="B463" t="str">
            <v>의류</v>
          </cell>
          <cell r="F463" t="str">
            <v>PNYC101</v>
          </cell>
          <cell r="G463">
            <v>76</v>
          </cell>
          <cell r="AB463">
            <v>9</v>
          </cell>
          <cell r="AC463">
            <v>2191000</v>
          </cell>
        </row>
        <row r="464">
          <cell r="B464" t="str">
            <v>의류</v>
          </cell>
          <cell r="F464" t="str">
            <v>PNYQ101</v>
          </cell>
          <cell r="G464">
            <v>31</v>
          </cell>
          <cell r="AB464">
            <v>1</v>
          </cell>
          <cell r="AC464">
            <v>99000</v>
          </cell>
        </row>
        <row r="465">
          <cell r="B465" t="str">
            <v>의류</v>
          </cell>
          <cell r="F465" t="str">
            <v>PNYQ101</v>
          </cell>
          <cell r="G465">
            <v>39</v>
          </cell>
          <cell r="AB465">
            <v>3</v>
          </cell>
          <cell r="AC465">
            <v>277000</v>
          </cell>
        </row>
        <row r="466">
          <cell r="B466" t="str">
            <v>의류</v>
          </cell>
          <cell r="F466" t="str">
            <v>PNYQ201</v>
          </cell>
          <cell r="G466">
            <v>31</v>
          </cell>
          <cell r="AB466">
            <v>7</v>
          </cell>
          <cell r="AC466">
            <v>693000</v>
          </cell>
        </row>
        <row r="467">
          <cell r="B467" t="str">
            <v>의류</v>
          </cell>
          <cell r="F467" t="str">
            <v>PNYQ201</v>
          </cell>
          <cell r="G467">
            <v>41</v>
          </cell>
          <cell r="AB467">
            <v>4</v>
          </cell>
          <cell r="AC467">
            <v>376000</v>
          </cell>
        </row>
        <row r="468">
          <cell r="B468" t="str">
            <v>의류</v>
          </cell>
          <cell r="F468" t="str">
            <v>PNYQ202</v>
          </cell>
          <cell r="G468">
            <v>37</v>
          </cell>
          <cell r="AB468">
            <v>15</v>
          </cell>
          <cell r="AC468">
            <v>1485000</v>
          </cell>
        </row>
        <row r="469">
          <cell r="B469" t="str">
            <v>의류</v>
          </cell>
          <cell r="F469" t="str">
            <v>PNYV101</v>
          </cell>
          <cell r="G469">
            <v>31</v>
          </cell>
          <cell r="AB469">
            <v>1</v>
          </cell>
          <cell r="AC469">
            <v>119000</v>
          </cell>
        </row>
        <row r="470">
          <cell r="B470" t="str">
            <v>의류</v>
          </cell>
          <cell r="F470" t="str">
            <v>PNYV101</v>
          </cell>
          <cell r="G470">
            <v>39</v>
          </cell>
          <cell r="AB470">
            <v>2</v>
          </cell>
          <cell r="AC470">
            <v>238000</v>
          </cell>
        </row>
        <row r="471">
          <cell r="B471" t="str">
            <v>의류</v>
          </cell>
          <cell r="F471" t="str">
            <v>PTY1101</v>
          </cell>
          <cell r="G471">
            <v>45</v>
          </cell>
          <cell r="AB471">
            <v>15</v>
          </cell>
          <cell r="AC471">
            <v>1165000</v>
          </cell>
        </row>
        <row r="472">
          <cell r="B472" t="str">
            <v>의류</v>
          </cell>
          <cell r="F472" t="str">
            <v>PTY1101</v>
          </cell>
          <cell r="G472">
            <v>73</v>
          </cell>
          <cell r="AB472">
            <v>4</v>
          </cell>
          <cell r="AC472">
            <v>316000</v>
          </cell>
        </row>
        <row r="473">
          <cell r="B473" t="str">
            <v>의류</v>
          </cell>
          <cell r="F473" t="str">
            <v>PTY1202</v>
          </cell>
          <cell r="G473">
            <v>49</v>
          </cell>
          <cell r="AB473">
            <v>69</v>
          </cell>
          <cell r="AC473">
            <v>3351000</v>
          </cell>
        </row>
        <row r="474">
          <cell r="B474" t="str">
            <v>의류</v>
          </cell>
          <cell r="F474" t="str">
            <v>PTY1202</v>
          </cell>
          <cell r="G474">
            <v>76</v>
          </cell>
          <cell r="AB474">
            <v>24</v>
          </cell>
          <cell r="AC474">
            <v>1156000</v>
          </cell>
        </row>
        <row r="475">
          <cell r="B475" t="str">
            <v>의류</v>
          </cell>
          <cell r="F475" t="str">
            <v>PTY1203</v>
          </cell>
          <cell r="G475">
            <v>49</v>
          </cell>
          <cell r="AB475">
            <v>43</v>
          </cell>
          <cell r="AC475">
            <v>1677000</v>
          </cell>
        </row>
        <row r="476">
          <cell r="B476" t="str">
            <v>의류</v>
          </cell>
          <cell r="F476" t="str">
            <v>PTY1203</v>
          </cell>
          <cell r="G476">
            <v>76</v>
          </cell>
          <cell r="AB476">
            <v>30</v>
          </cell>
          <cell r="AC476">
            <v>1170000</v>
          </cell>
        </row>
        <row r="477">
          <cell r="B477" t="str">
            <v>의류</v>
          </cell>
          <cell r="F477" t="str">
            <v>PTY1205</v>
          </cell>
          <cell r="G477">
            <v>31</v>
          </cell>
          <cell r="AB477">
            <v>21</v>
          </cell>
          <cell r="AC477">
            <v>819000</v>
          </cell>
        </row>
        <row r="478">
          <cell r="B478" t="str">
            <v>의류</v>
          </cell>
          <cell r="F478" t="str">
            <v>PTY1205</v>
          </cell>
          <cell r="G478">
            <v>49</v>
          </cell>
          <cell r="AB478">
            <v>47</v>
          </cell>
          <cell r="AC478">
            <v>1833000</v>
          </cell>
        </row>
        <row r="479">
          <cell r="B479" t="str">
            <v>의류</v>
          </cell>
          <cell r="F479" t="str">
            <v>PTY6201</v>
          </cell>
          <cell r="G479">
            <v>27</v>
          </cell>
          <cell r="AB479">
            <v>16</v>
          </cell>
          <cell r="AC479">
            <v>1854000</v>
          </cell>
        </row>
        <row r="480">
          <cell r="B480" t="str">
            <v>의류</v>
          </cell>
          <cell r="F480" t="str">
            <v>PTY6201</v>
          </cell>
          <cell r="G480">
            <v>49</v>
          </cell>
          <cell r="AB480">
            <v>12</v>
          </cell>
          <cell r="AC480">
            <v>1428000</v>
          </cell>
        </row>
        <row r="481">
          <cell r="B481" t="str">
            <v>의류</v>
          </cell>
          <cell r="F481" t="str">
            <v>PTY6201</v>
          </cell>
          <cell r="G481">
            <v>54</v>
          </cell>
          <cell r="AB481">
            <v>10</v>
          </cell>
          <cell r="AC481">
            <v>1140000</v>
          </cell>
        </row>
        <row r="482">
          <cell r="B482" t="str">
            <v>의류</v>
          </cell>
          <cell r="F482" t="str">
            <v>PTY7101</v>
          </cell>
          <cell r="G482">
            <v>34</v>
          </cell>
          <cell r="AB482">
            <v>21</v>
          </cell>
          <cell r="AC482">
            <v>819000</v>
          </cell>
        </row>
        <row r="483">
          <cell r="B483" t="str">
            <v>의류</v>
          </cell>
          <cell r="F483" t="str">
            <v>PTY7101</v>
          </cell>
          <cell r="G483">
            <v>39</v>
          </cell>
          <cell r="AB483">
            <v>24</v>
          </cell>
          <cell r="AC483">
            <v>936000</v>
          </cell>
        </row>
        <row r="484">
          <cell r="B484" t="str">
            <v>의류</v>
          </cell>
          <cell r="F484" t="str">
            <v>PTY7102</v>
          </cell>
          <cell r="G484">
            <v>49</v>
          </cell>
          <cell r="AB484">
            <v>3</v>
          </cell>
          <cell r="AC484">
            <v>297000</v>
          </cell>
        </row>
        <row r="485">
          <cell r="B485" t="str">
            <v>의류</v>
          </cell>
          <cell r="F485" t="str">
            <v>PTY7201</v>
          </cell>
          <cell r="G485">
            <v>49</v>
          </cell>
          <cell r="AB485">
            <v>16</v>
          </cell>
          <cell r="AC485">
            <v>944000</v>
          </cell>
        </row>
        <row r="486">
          <cell r="B486" t="str">
            <v>의류</v>
          </cell>
          <cell r="F486" t="str">
            <v>PTY7201</v>
          </cell>
          <cell r="G486">
            <v>54</v>
          </cell>
          <cell r="AB486">
            <v>8</v>
          </cell>
          <cell r="AC486">
            <v>472000</v>
          </cell>
        </row>
        <row r="487">
          <cell r="B487" t="str">
            <v>의류</v>
          </cell>
          <cell r="F487" t="str">
            <v>PTY7202</v>
          </cell>
          <cell r="G487">
            <v>39</v>
          </cell>
          <cell r="AB487">
            <v>17</v>
          </cell>
          <cell r="AC487">
            <v>1173000</v>
          </cell>
        </row>
        <row r="488">
          <cell r="B488" t="str">
            <v>의류</v>
          </cell>
          <cell r="F488" t="str">
            <v>PTY7202</v>
          </cell>
          <cell r="G488">
            <v>49</v>
          </cell>
          <cell r="AB488">
            <v>39</v>
          </cell>
          <cell r="AC488">
            <v>2691000</v>
          </cell>
        </row>
        <row r="489">
          <cell r="B489" t="str">
            <v>의류</v>
          </cell>
          <cell r="F489" t="str">
            <v>PTY7202</v>
          </cell>
          <cell r="G489">
            <v>54</v>
          </cell>
          <cell r="AB489">
            <v>9</v>
          </cell>
          <cell r="AC489">
            <v>621000</v>
          </cell>
        </row>
        <row r="490">
          <cell r="B490" t="str">
            <v>의류</v>
          </cell>
          <cell r="F490" t="str">
            <v>PTY7203</v>
          </cell>
          <cell r="G490">
            <v>34</v>
          </cell>
          <cell r="AB490">
            <v>8</v>
          </cell>
          <cell r="AC490">
            <v>472000</v>
          </cell>
        </row>
        <row r="491">
          <cell r="B491" t="str">
            <v>의류</v>
          </cell>
          <cell r="F491" t="str">
            <v>PTY7203</v>
          </cell>
          <cell r="G491">
            <v>39</v>
          </cell>
          <cell r="AB491">
            <v>19</v>
          </cell>
          <cell r="AC491">
            <v>1091000</v>
          </cell>
        </row>
        <row r="492">
          <cell r="B492" t="str">
            <v>의류</v>
          </cell>
          <cell r="F492" t="str">
            <v>PTY7204</v>
          </cell>
          <cell r="G492">
            <v>43</v>
          </cell>
          <cell r="AB492">
            <v>21</v>
          </cell>
          <cell r="AC492">
            <v>2059000</v>
          </cell>
        </row>
        <row r="493">
          <cell r="B493" t="str">
            <v>의류</v>
          </cell>
          <cell r="F493" t="str">
            <v>PTY7205</v>
          </cell>
          <cell r="G493">
            <v>39</v>
          </cell>
          <cell r="AB493">
            <v>11</v>
          </cell>
          <cell r="AC493">
            <v>739000</v>
          </cell>
        </row>
        <row r="494">
          <cell r="B494" t="str">
            <v>의류</v>
          </cell>
          <cell r="F494" t="str">
            <v>PTY8101</v>
          </cell>
          <cell r="G494">
            <v>43</v>
          </cell>
          <cell r="AB494">
            <v>8</v>
          </cell>
          <cell r="AC494">
            <v>712000</v>
          </cell>
        </row>
        <row r="495">
          <cell r="B495" t="str">
            <v>의류</v>
          </cell>
          <cell r="F495" t="str">
            <v>PTY8101</v>
          </cell>
          <cell r="G495">
            <v>49</v>
          </cell>
          <cell r="AB495">
            <v>11</v>
          </cell>
          <cell r="AC495">
            <v>979000</v>
          </cell>
        </row>
        <row r="496">
          <cell r="B496" t="str">
            <v>의류</v>
          </cell>
          <cell r="F496" t="str">
            <v>PTY8101</v>
          </cell>
          <cell r="G496">
            <v>73</v>
          </cell>
          <cell r="AB496">
            <v>26</v>
          </cell>
          <cell r="AC496">
            <v>2314000</v>
          </cell>
        </row>
        <row r="497">
          <cell r="B497" t="str">
            <v>의류</v>
          </cell>
          <cell r="F497" t="str">
            <v>PTY8102</v>
          </cell>
          <cell r="G497">
            <v>49</v>
          </cell>
          <cell r="AB497">
            <v>4</v>
          </cell>
          <cell r="AC497">
            <v>356000</v>
          </cell>
        </row>
        <row r="498">
          <cell r="B498" t="str">
            <v>의류</v>
          </cell>
          <cell r="F498" t="str">
            <v>PTY8102</v>
          </cell>
          <cell r="G498">
            <v>73</v>
          </cell>
          <cell r="AB498">
            <v>1</v>
          </cell>
          <cell r="AC498">
            <v>89000</v>
          </cell>
        </row>
        <row r="499">
          <cell r="B499" t="str">
            <v>의류</v>
          </cell>
          <cell r="F499" t="str">
            <v>PTY8201</v>
          </cell>
          <cell r="G499">
            <v>49</v>
          </cell>
          <cell r="AB499">
            <v>18</v>
          </cell>
          <cell r="AC499">
            <v>1752000</v>
          </cell>
        </row>
        <row r="500">
          <cell r="B500" t="str">
            <v>의류</v>
          </cell>
          <cell r="F500" t="str">
            <v>PTY8201</v>
          </cell>
          <cell r="G500">
            <v>73</v>
          </cell>
          <cell r="AB500">
            <v>18</v>
          </cell>
          <cell r="AC500">
            <v>1752000</v>
          </cell>
        </row>
        <row r="501">
          <cell r="B501" t="str">
            <v>의류</v>
          </cell>
          <cell r="F501" t="str">
            <v>PTY8202</v>
          </cell>
          <cell r="G501">
            <v>49</v>
          </cell>
          <cell r="AB501">
            <v>39</v>
          </cell>
          <cell r="AC501">
            <v>3391000</v>
          </cell>
        </row>
        <row r="502">
          <cell r="B502" t="str">
            <v>의류</v>
          </cell>
          <cell r="F502" t="str">
            <v>PTY8202</v>
          </cell>
          <cell r="G502">
            <v>76</v>
          </cell>
          <cell r="AB502">
            <v>21</v>
          </cell>
          <cell r="AC502">
            <v>1849000</v>
          </cell>
        </row>
        <row r="503">
          <cell r="B503" t="str">
            <v>의류</v>
          </cell>
          <cell r="F503" t="str">
            <v>PTY8203</v>
          </cell>
          <cell r="G503">
            <v>31</v>
          </cell>
          <cell r="AB503">
            <v>24</v>
          </cell>
          <cell r="AC503">
            <v>2106000</v>
          </cell>
        </row>
        <row r="504">
          <cell r="B504" t="str">
            <v>의류</v>
          </cell>
          <cell r="F504" t="str">
            <v>PTY8203</v>
          </cell>
          <cell r="G504">
            <v>49</v>
          </cell>
          <cell r="AB504">
            <v>15</v>
          </cell>
          <cell r="AC504">
            <v>1315000</v>
          </cell>
        </row>
        <row r="505">
          <cell r="B505" t="str">
            <v>의류</v>
          </cell>
          <cell r="F505" t="str">
            <v>PTY8204</v>
          </cell>
          <cell r="G505">
            <v>27</v>
          </cell>
          <cell r="AB505">
            <v>3</v>
          </cell>
          <cell r="AC505">
            <v>297000</v>
          </cell>
        </row>
        <row r="506">
          <cell r="B506" t="str">
            <v>의류</v>
          </cell>
          <cell r="F506" t="str">
            <v>PTY8205</v>
          </cell>
          <cell r="G506">
            <v>49</v>
          </cell>
          <cell r="AB506">
            <v>19</v>
          </cell>
          <cell r="AC506">
            <v>1641000</v>
          </cell>
        </row>
        <row r="507">
          <cell r="B507" t="str">
            <v>의류</v>
          </cell>
          <cell r="F507" t="str">
            <v>PTY8205</v>
          </cell>
          <cell r="G507">
            <v>61</v>
          </cell>
          <cell r="AB507">
            <v>11</v>
          </cell>
          <cell r="AC507">
            <v>959000</v>
          </cell>
        </row>
        <row r="508">
          <cell r="B508" t="str">
            <v>의류</v>
          </cell>
          <cell r="F508" t="str">
            <v>PTY8206</v>
          </cell>
          <cell r="G508">
            <v>49</v>
          </cell>
          <cell r="AB508">
            <v>31</v>
          </cell>
          <cell r="AC508">
            <v>2699000</v>
          </cell>
        </row>
        <row r="509">
          <cell r="B509" t="str">
            <v>의류</v>
          </cell>
          <cell r="F509" t="str">
            <v>PTY9201</v>
          </cell>
          <cell r="G509">
            <v>36</v>
          </cell>
        </row>
        <row r="510">
          <cell r="B510" t="str">
            <v>의류</v>
          </cell>
          <cell r="F510" t="str">
            <v>PTY9201</v>
          </cell>
          <cell r="G510">
            <v>49</v>
          </cell>
          <cell r="AB510">
            <v>6</v>
          </cell>
          <cell r="AC510">
            <v>1044000</v>
          </cell>
        </row>
        <row r="511">
          <cell r="B511" t="str">
            <v>의류</v>
          </cell>
          <cell r="F511" t="str">
            <v>PTYT101</v>
          </cell>
          <cell r="G511">
            <v>45</v>
          </cell>
          <cell r="AB511">
            <v>-1</v>
          </cell>
          <cell r="AC511">
            <v>-159000</v>
          </cell>
        </row>
        <row r="512">
          <cell r="B512" t="str">
            <v>의류</v>
          </cell>
          <cell r="F512" t="str">
            <v>PTYT101</v>
          </cell>
          <cell r="G512">
            <v>74</v>
          </cell>
          <cell r="AB512">
            <v>-2</v>
          </cell>
          <cell r="AC512">
            <v>-318000</v>
          </cell>
        </row>
        <row r="513">
          <cell r="B513" t="str">
            <v>의류</v>
          </cell>
          <cell r="F513" t="str">
            <v>PTYT102</v>
          </cell>
          <cell r="G513">
            <v>26</v>
          </cell>
        </row>
        <row r="514">
          <cell r="B514" t="str">
            <v>의류</v>
          </cell>
          <cell r="F514" t="str">
            <v>PTYT102</v>
          </cell>
          <cell r="G514">
            <v>39</v>
          </cell>
          <cell r="AB514">
            <v>-1</v>
          </cell>
          <cell r="AC514">
            <v>-159000</v>
          </cell>
        </row>
        <row r="515">
          <cell r="B515" t="str">
            <v>의류</v>
          </cell>
          <cell r="F515" t="str">
            <v>PTYV101</v>
          </cell>
          <cell r="G515">
            <v>31</v>
          </cell>
          <cell r="AB515">
            <v>3</v>
          </cell>
          <cell r="AC515">
            <v>447000</v>
          </cell>
        </row>
        <row r="516">
          <cell r="B516" t="str">
            <v>의류</v>
          </cell>
          <cell r="F516" t="str">
            <v>PTYV101</v>
          </cell>
          <cell r="G516">
            <v>49</v>
          </cell>
          <cell r="AB516">
            <v>2</v>
          </cell>
          <cell r="AC516">
            <v>298000</v>
          </cell>
        </row>
      </sheetData>
      <sheetData sheetId="4">
        <row r="3">
          <cell r="B3" t="str">
            <v>의류</v>
          </cell>
          <cell r="C3">
            <v>2</v>
          </cell>
          <cell r="F3" t="str">
            <v>I0Y7201</v>
          </cell>
          <cell r="G3">
            <v>49</v>
          </cell>
          <cell r="AB3">
            <v>80</v>
          </cell>
          <cell r="AC3">
            <v>4800000</v>
          </cell>
        </row>
        <row r="4">
          <cell r="B4" t="str">
            <v>의류</v>
          </cell>
          <cell r="C4">
            <v>1</v>
          </cell>
          <cell r="F4" t="str">
            <v>I0Y7207</v>
          </cell>
          <cell r="G4">
            <v>49</v>
          </cell>
          <cell r="AB4">
            <v>90</v>
          </cell>
          <cell r="AC4">
            <v>5270000</v>
          </cell>
        </row>
        <row r="5">
          <cell r="B5" t="str">
            <v>의류</v>
          </cell>
          <cell r="C5">
            <v>4</v>
          </cell>
          <cell r="F5" t="str">
            <v>P0Y7203</v>
          </cell>
          <cell r="G5">
            <v>37</v>
          </cell>
          <cell r="AB5">
            <v>72</v>
          </cell>
          <cell r="AC5">
            <v>6275750</v>
          </cell>
        </row>
        <row r="6">
          <cell r="B6" t="str">
            <v>의류</v>
          </cell>
          <cell r="C6">
            <v>3</v>
          </cell>
          <cell r="F6" t="str">
            <v>PTY1202</v>
          </cell>
          <cell r="G6">
            <v>49</v>
          </cell>
          <cell r="AB6">
            <v>74</v>
          </cell>
          <cell r="AC6">
            <v>3596200</v>
          </cell>
        </row>
        <row r="7">
          <cell r="B7" t="str">
            <v>의류</v>
          </cell>
          <cell r="C7">
            <v>5</v>
          </cell>
          <cell r="F7" t="str">
            <v>I0Y7207</v>
          </cell>
          <cell r="G7">
            <v>43</v>
          </cell>
          <cell r="AB7">
            <v>71</v>
          </cell>
          <cell r="AC7">
            <v>4169000</v>
          </cell>
        </row>
        <row r="8">
          <cell r="B8" t="str">
            <v>의류</v>
          </cell>
          <cell r="C8">
            <v>6</v>
          </cell>
          <cell r="F8" t="str">
            <v>I0Y1211</v>
          </cell>
          <cell r="G8">
            <v>73</v>
          </cell>
          <cell r="AB8">
            <v>61</v>
          </cell>
          <cell r="AC8">
            <v>4789000</v>
          </cell>
        </row>
        <row r="9">
          <cell r="B9" t="str">
            <v>의류</v>
          </cell>
          <cell r="C9">
            <v>7</v>
          </cell>
          <cell r="F9" t="str">
            <v>ITY7203</v>
          </cell>
          <cell r="G9">
            <v>49</v>
          </cell>
          <cell r="AB9">
            <v>58</v>
          </cell>
          <cell r="AC9">
            <v>4692200</v>
          </cell>
        </row>
        <row r="10">
          <cell r="B10" t="str">
            <v>의류</v>
          </cell>
          <cell r="C10">
            <v>7</v>
          </cell>
          <cell r="F10" t="str">
            <v>P0Y1209</v>
          </cell>
          <cell r="G10">
            <v>31</v>
          </cell>
          <cell r="AB10">
            <v>58</v>
          </cell>
          <cell r="AC10">
            <v>4502000</v>
          </cell>
        </row>
        <row r="11">
          <cell r="B11" t="str">
            <v>의류</v>
          </cell>
          <cell r="C11">
            <v>9</v>
          </cell>
          <cell r="F11" t="str">
            <v>P0Y7203</v>
          </cell>
          <cell r="G11">
            <v>49</v>
          </cell>
          <cell r="AB11">
            <v>57</v>
          </cell>
          <cell r="AC11">
            <v>4898550</v>
          </cell>
        </row>
        <row r="12">
          <cell r="B12" t="str">
            <v>의류</v>
          </cell>
          <cell r="C12">
            <v>11</v>
          </cell>
          <cell r="F12" t="str">
            <v>ITY1202</v>
          </cell>
          <cell r="G12">
            <v>49</v>
          </cell>
          <cell r="AB12">
            <v>52</v>
          </cell>
          <cell r="AC12">
            <v>4568000</v>
          </cell>
        </row>
        <row r="13">
          <cell r="B13" t="str">
            <v>의류</v>
          </cell>
          <cell r="C13">
            <v>10</v>
          </cell>
          <cell r="F13" t="str">
            <v>PTY1205</v>
          </cell>
          <cell r="G13">
            <v>49</v>
          </cell>
          <cell r="AB13">
            <v>54</v>
          </cell>
          <cell r="AC13">
            <v>2106000</v>
          </cell>
        </row>
        <row r="14">
          <cell r="B14" t="str">
            <v>의류</v>
          </cell>
          <cell r="C14">
            <v>12</v>
          </cell>
          <cell r="F14" t="str">
            <v>I0Y1216</v>
          </cell>
          <cell r="G14">
            <v>31</v>
          </cell>
          <cell r="AB14">
            <v>50</v>
          </cell>
          <cell r="AC14">
            <v>1950000</v>
          </cell>
        </row>
        <row r="15">
          <cell r="B15" t="str">
            <v>의류</v>
          </cell>
          <cell r="C15">
            <v>12</v>
          </cell>
          <cell r="F15" t="str">
            <v>ITY9203</v>
          </cell>
          <cell r="G15">
            <v>49</v>
          </cell>
          <cell r="AB15">
            <v>50</v>
          </cell>
          <cell r="AC15">
            <v>8967900</v>
          </cell>
        </row>
        <row r="16">
          <cell r="B16" t="str">
            <v>의류</v>
          </cell>
          <cell r="C16">
            <v>14</v>
          </cell>
          <cell r="F16" t="str">
            <v>P0Y1218</v>
          </cell>
          <cell r="G16">
            <v>31</v>
          </cell>
          <cell r="AB16">
            <v>48</v>
          </cell>
          <cell r="AC16">
            <v>1852000</v>
          </cell>
        </row>
        <row r="17">
          <cell r="B17" t="str">
            <v>의류</v>
          </cell>
          <cell r="C17">
            <v>14</v>
          </cell>
          <cell r="F17" t="str">
            <v>P0Y6201</v>
          </cell>
          <cell r="G17">
            <v>31</v>
          </cell>
          <cell r="AB17">
            <v>48</v>
          </cell>
          <cell r="AC17">
            <v>5968500</v>
          </cell>
        </row>
        <row r="18">
          <cell r="B18" t="str">
            <v>의류</v>
          </cell>
          <cell r="C18">
            <v>14</v>
          </cell>
          <cell r="F18" t="str">
            <v>PTY1203</v>
          </cell>
          <cell r="G18">
            <v>49</v>
          </cell>
          <cell r="AB18">
            <v>48</v>
          </cell>
          <cell r="AC18">
            <v>1852000</v>
          </cell>
        </row>
        <row r="19">
          <cell r="B19" t="str">
            <v>의류</v>
          </cell>
          <cell r="C19">
            <v>17</v>
          </cell>
          <cell r="F19" t="str">
            <v>I0Y7203</v>
          </cell>
          <cell r="G19">
            <v>49</v>
          </cell>
          <cell r="AB19">
            <v>47</v>
          </cell>
          <cell r="AC19">
            <v>3733000</v>
          </cell>
        </row>
        <row r="20">
          <cell r="B20" t="str">
            <v>의류</v>
          </cell>
          <cell r="C20">
            <v>17</v>
          </cell>
          <cell r="F20" t="str">
            <v>P0Y7202</v>
          </cell>
          <cell r="G20">
            <v>49</v>
          </cell>
          <cell r="AB20">
            <v>47</v>
          </cell>
          <cell r="AC20">
            <v>4123000</v>
          </cell>
        </row>
        <row r="21">
          <cell r="B21" t="str">
            <v>의류</v>
          </cell>
          <cell r="C21">
            <v>19</v>
          </cell>
          <cell r="F21" t="str">
            <v>ITY7201</v>
          </cell>
          <cell r="G21">
            <v>49</v>
          </cell>
          <cell r="AB21">
            <v>46</v>
          </cell>
          <cell r="AC21">
            <v>3694000</v>
          </cell>
        </row>
        <row r="22">
          <cell r="B22" t="str">
            <v>의류</v>
          </cell>
          <cell r="C22">
            <v>20</v>
          </cell>
          <cell r="F22" t="str">
            <v>I0Y7207</v>
          </cell>
          <cell r="G22">
            <v>37</v>
          </cell>
          <cell r="AB22">
            <v>45</v>
          </cell>
          <cell r="AC22">
            <v>2655000</v>
          </cell>
        </row>
        <row r="23">
          <cell r="B23" t="str">
            <v>의류</v>
          </cell>
          <cell r="C23">
            <v>20</v>
          </cell>
          <cell r="F23" t="str">
            <v>P0Y7202</v>
          </cell>
          <cell r="G23">
            <v>31</v>
          </cell>
          <cell r="AB23">
            <v>45</v>
          </cell>
          <cell r="AC23">
            <v>3985000</v>
          </cell>
        </row>
        <row r="24">
          <cell r="B24" t="str">
            <v>의류</v>
          </cell>
          <cell r="C24">
            <v>23</v>
          </cell>
          <cell r="F24" t="str">
            <v>ITY1201</v>
          </cell>
          <cell r="G24">
            <v>43</v>
          </cell>
          <cell r="AB24">
            <v>40</v>
          </cell>
          <cell r="AC24">
            <v>1960000</v>
          </cell>
        </row>
        <row r="25">
          <cell r="B25" t="str">
            <v>의류</v>
          </cell>
          <cell r="C25">
            <v>24</v>
          </cell>
          <cell r="F25" t="str">
            <v>ITY1205</v>
          </cell>
          <cell r="G25">
            <v>49</v>
          </cell>
          <cell r="AB25">
            <v>39</v>
          </cell>
          <cell r="AC25">
            <v>1131000</v>
          </cell>
        </row>
        <row r="26">
          <cell r="B26" t="str">
            <v>의류</v>
          </cell>
          <cell r="C26">
            <v>22</v>
          </cell>
          <cell r="F26" t="str">
            <v>P0Y1217</v>
          </cell>
          <cell r="G26">
            <v>49</v>
          </cell>
          <cell r="AB26">
            <v>42</v>
          </cell>
          <cell r="AC26">
            <v>2861100</v>
          </cell>
        </row>
        <row r="27">
          <cell r="B27" t="str">
            <v>의류</v>
          </cell>
          <cell r="C27">
            <v>24</v>
          </cell>
          <cell r="F27" t="str">
            <v>P0YV203</v>
          </cell>
          <cell r="G27">
            <v>49</v>
          </cell>
          <cell r="AB27">
            <v>39</v>
          </cell>
          <cell r="AC27">
            <v>4521250</v>
          </cell>
        </row>
        <row r="28">
          <cell r="B28" t="str">
            <v>의류</v>
          </cell>
          <cell r="C28">
            <v>26</v>
          </cell>
          <cell r="F28" t="str">
            <v>I0Y1211</v>
          </cell>
          <cell r="G28">
            <v>22</v>
          </cell>
          <cell r="AB28">
            <v>38</v>
          </cell>
          <cell r="AC28">
            <v>2972000</v>
          </cell>
        </row>
        <row r="29">
          <cell r="B29" t="str">
            <v>의류</v>
          </cell>
          <cell r="C29">
            <v>26</v>
          </cell>
          <cell r="F29" t="str">
            <v>ITY1201</v>
          </cell>
          <cell r="G29">
            <v>76</v>
          </cell>
          <cell r="AB29">
            <v>38</v>
          </cell>
          <cell r="AC29">
            <v>1862000</v>
          </cell>
        </row>
        <row r="30">
          <cell r="B30" t="str">
            <v>의류</v>
          </cell>
          <cell r="C30">
            <v>26</v>
          </cell>
          <cell r="F30" t="str">
            <v>PTY8202</v>
          </cell>
          <cell r="G30">
            <v>49</v>
          </cell>
          <cell r="AB30">
            <v>38</v>
          </cell>
          <cell r="AC30">
            <v>3214200</v>
          </cell>
        </row>
        <row r="31">
          <cell r="B31" t="str">
            <v>의류</v>
          </cell>
          <cell r="C31">
            <v>29</v>
          </cell>
          <cell r="F31" t="str">
            <v>I0Y1201</v>
          </cell>
          <cell r="G31">
            <v>76</v>
          </cell>
          <cell r="AB31">
            <v>37</v>
          </cell>
          <cell r="AC31">
            <v>1341600</v>
          </cell>
        </row>
        <row r="32">
          <cell r="B32" t="str">
            <v>의류</v>
          </cell>
          <cell r="C32">
            <v>29</v>
          </cell>
          <cell r="F32" t="str">
            <v>I0Y7201</v>
          </cell>
          <cell r="G32">
            <v>43</v>
          </cell>
          <cell r="AB32">
            <v>37</v>
          </cell>
          <cell r="AC32">
            <v>2203000</v>
          </cell>
        </row>
        <row r="33">
          <cell r="B33" t="str">
            <v>의류</v>
          </cell>
          <cell r="C33">
            <v>29</v>
          </cell>
          <cell r="F33" t="str">
            <v>ITY7204</v>
          </cell>
          <cell r="G33">
            <v>49</v>
          </cell>
          <cell r="AB33">
            <v>37</v>
          </cell>
          <cell r="AC33">
            <v>3310800</v>
          </cell>
        </row>
        <row r="34">
          <cell r="B34" t="str">
            <v>의류</v>
          </cell>
          <cell r="C34">
            <v>29</v>
          </cell>
          <cell r="F34" t="str">
            <v>ITY8205</v>
          </cell>
          <cell r="G34">
            <v>73</v>
          </cell>
          <cell r="AB34">
            <v>37</v>
          </cell>
          <cell r="AC34">
            <v>2863000</v>
          </cell>
        </row>
        <row r="35">
          <cell r="B35" t="str">
            <v>의류</v>
          </cell>
          <cell r="C35">
            <v>29</v>
          </cell>
          <cell r="F35" t="str">
            <v>P0Y7201</v>
          </cell>
          <cell r="G35">
            <v>49</v>
          </cell>
          <cell r="AB35">
            <v>37</v>
          </cell>
          <cell r="AC35">
            <v>2875100</v>
          </cell>
        </row>
        <row r="36">
          <cell r="B36" t="str">
            <v>의류</v>
          </cell>
          <cell r="C36">
            <v>34</v>
          </cell>
          <cell r="F36" t="str">
            <v>I0Y1213</v>
          </cell>
          <cell r="G36">
            <v>49</v>
          </cell>
          <cell r="AB36">
            <v>36</v>
          </cell>
          <cell r="AC36">
            <v>2184000</v>
          </cell>
        </row>
        <row r="37">
          <cell r="B37" t="str">
            <v>의류</v>
          </cell>
          <cell r="C37">
            <v>35</v>
          </cell>
          <cell r="F37" t="str">
            <v>ITY1201</v>
          </cell>
          <cell r="G37">
            <v>37</v>
          </cell>
          <cell r="AB37">
            <v>35</v>
          </cell>
          <cell r="AC37">
            <v>1685000</v>
          </cell>
        </row>
        <row r="38">
          <cell r="B38" t="str">
            <v>의류</v>
          </cell>
          <cell r="C38">
            <v>36</v>
          </cell>
          <cell r="F38" t="str">
            <v>ITY7205</v>
          </cell>
          <cell r="G38">
            <v>49</v>
          </cell>
          <cell r="AB38">
            <v>34</v>
          </cell>
          <cell r="AC38">
            <v>3211050</v>
          </cell>
        </row>
        <row r="39">
          <cell r="B39" t="str">
            <v>의류</v>
          </cell>
          <cell r="C39">
            <v>36</v>
          </cell>
          <cell r="F39" t="str">
            <v>P0Y1209</v>
          </cell>
          <cell r="G39">
            <v>49</v>
          </cell>
          <cell r="AB39">
            <v>34</v>
          </cell>
          <cell r="AC39">
            <v>2626000</v>
          </cell>
        </row>
        <row r="40">
          <cell r="B40" t="str">
            <v>의류</v>
          </cell>
          <cell r="C40">
            <v>36</v>
          </cell>
          <cell r="F40" t="str">
            <v>PTY7101</v>
          </cell>
          <cell r="G40">
            <v>39</v>
          </cell>
          <cell r="AB40">
            <v>34</v>
          </cell>
          <cell r="AC40">
            <v>1326000</v>
          </cell>
        </row>
        <row r="41">
          <cell r="B41" t="str">
            <v>의류</v>
          </cell>
          <cell r="C41">
            <v>36</v>
          </cell>
          <cell r="F41" t="str">
            <v>PTY7202</v>
          </cell>
          <cell r="G41">
            <v>49</v>
          </cell>
          <cell r="AB41">
            <v>34</v>
          </cell>
          <cell r="AC41">
            <v>2282550</v>
          </cell>
        </row>
        <row r="42">
          <cell r="B42" t="str">
            <v>의류</v>
          </cell>
          <cell r="C42">
            <v>41</v>
          </cell>
          <cell r="F42" t="str">
            <v>INY7201</v>
          </cell>
          <cell r="G42">
            <v>31</v>
          </cell>
          <cell r="AB42">
            <v>32</v>
          </cell>
          <cell r="AC42">
            <v>3168000</v>
          </cell>
        </row>
        <row r="43">
          <cell r="B43" t="str">
            <v>의류</v>
          </cell>
          <cell r="C43">
            <v>41</v>
          </cell>
          <cell r="F43" t="str">
            <v>ITY1205</v>
          </cell>
          <cell r="G43">
            <v>43</v>
          </cell>
          <cell r="AB43">
            <v>32</v>
          </cell>
          <cell r="AC43">
            <v>928000</v>
          </cell>
        </row>
        <row r="44">
          <cell r="B44" t="str">
            <v>의류</v>
          </cell>
          <cell r="C44">
            <v>41</v>
          </cell>
          <cell r="F44" t="str">
            <v>P0Y1201</v>
          </cell>
          <cell r="G44">
            <v>31</v>
          </cell>
          <cell r="AB44">
            <v>32</v>
          </cell>
          <cell r="AC44">
            <v>1248000</v>
          </cell>
        </row>
        <row r="45">
          <cell r="B45" t="str">
            <v>의류</v>
          </cell>
          <cell r="C45">
            <v>41</v>
          </cell>
          <cell r="F45" t="str">
            <v>P0Y1214</v>
          </cell>
          <cell r="G45">
            <v>31</v>
          </cell>
          <cell r="AB45">
            <v>32</v>
          </cell>
          <cell r="AC45">
            <v>2492450</v>
          </cell>
        </row>
        <row r="46">
          <cell r="B46" t="str">
            <v>의류</v>
          </cell>
          <cell r="C46">
            <v>40</v>
          </cell>
          <cell r="F46" t="str">
            <v>PTY8206</v>
          </cell>
          <cell r="G46">
            <v>49</v>
          </cell>
          <cell r="AB46">
            <v>33</v>
          </cell>
          <cell r="AC46">
            <v>2827000</v>
          </cell>
        </row>
        <row r="47">
          <cell r="B47" t="str">
            <v>의류</v>
          </cell>
          <cell r="C47">
            <v>45</v>
          </cell>
          <cell r="F47" t="str">
            <v>P0Y7206</v>
          </cell>
          <cell r="G47">
            <v>49</v>
          </cell>
          <cell r="AB47">
            <v>31</v>
          </cell>
          <cell r="AC47">
            <v>2139000</v>
          </cell>
        </row>
        <row r="48">
          <cell r="B48" t="str">
            <v>의류</v>
          </cell>
          <cell r="C48">
            <v>46</v>
          </cell>
          <cell r="F48" t="str">
            <v>ITY9201</v>
          </cell>
          <cell r="G48">
            <v>49</v>
          </cell>
          <cell r="AB48">
            <v>30</v>
          </cell>
          <cell r="AC48">
            <v>5048450</v>
          </cell>
        </row>
        <row r="49">
          <cell r="B49" t="str">
            <v>의류</v>
          </cell>
          <cell r="C49">
            <v>46</v>
          </cell>
          <cell r="F49" t="str">
            <v>P0Y1204</v>
          </cell>
          <cell r="G49">
            <v>49</v>
          </cell>
          <cell r="AB49">
            <v>30</v>
          </cell>
          <cell r="AC49">
            <v>1490000</v>
          </cell>
        </row>
        <row r="50">
          <cell r="B50" t="str">
            <v>의류</v>
          </cell>
          <cell r="C50">
            <v>46</v>
          </cell>
          <cell r="F50" t="str">
            <v>P0Y1212</v>
          </cell>
          <cell r="G50">
            <v>31</v>
          </cell>
          <cell r="AB50">
            <v>30</v>
          </cell>
          <cell r="AC50">
            <v>1780000</v>
          </cell>
        </row>
        <row r="51">
          <cell r="B51" t="str">
            <v>의류</v>
          </cell>
          <cell r="C51">
            <v>46</v>
          </cell>
          <cell r="F51" t="str">
            <v>PTY1203</v>
          </cell>
          <cell r="G51">
            <v>76</v>
          </cell>
          <cell r="AB51">
            <v>30</v>
          </cell>
          <cell r="AC51">
            <v>1162200</v>
          </cell>
        </row>
        <row r="52">
          <cell r="B52" t="str">
            <v>의류</v>
          </cell>
          <cell r="C52">
            <v>50</v>
          </cell>
          <cell r="F52" t="str">
            <v>ITY9204</v>
          </cell>
          <cell r="G52">
            <v>49</v>
          </cell>
          <cell r="AB52">
            <v>29</v>
          </cell>
          <cell r="AC52">
            <v>5086250</v>
          </cell>
        </row>
        <row r="53">
          <cell r="B53" t="str">
            <v>의류</v>
          </cell>
          <cell r="C53">
            <v>51</v>
          </cell>
          <cell r="F53" t="str">
            <v>I0Y6201</v>
          </cell>
          <cell r="G53">
            <v>49</v>
          </cell>
          <cell r="AB53">
            <v>28</v>
          </cell>
          <cell r="AC53">
            <v>3933700</v>
          </cell>
        </row>
        <row r="54">
          <cell r="B54" t="str">
            <v>의류</v>
          </cell>
          <cell r="C54">
            <v>51</v>
          </cell>
          <cell r="F54" t="str">
            <v>I0Y7202</v>
          </cell>
          <cell r="G54">
            <v>53</v>
          </cell>
          <cell r="AB54">
            <v>28</v>
          </cell>
          <cell r="AC54">
            <v>2199900</v>
          </cell>
        </row>
        <row r="55">
          <cell r="B55" t="str">
            <v>의류</v>
          </cell>
          <cell r="C55">
            <v>51</v>
          </cell>
          <cell r="F55" t="str">
            <v>I0Y7205</v>
          </cell>
          <cell r="G55">
            <v>49</v>
          </cell>
          <cell r="AB55">
            <v>28</v>
          </cell>
          <cell r="AC55">
            <v>1372000</v>
          </cell>
        </row>
        <row r="56">
          <cell r="B56" t="str">
            <v>의류</v>
          </cell>
          <cell r="C56">
            <v>51</v>
          </cell>
          <cell r="F56" t="str">
            <v>PTY8203</v>
          </cell>
          <cell r="G56">
            <v>31</v>
          </cell>
          <cell r="AB56">
            <v>28</v>
          </cell>
          <cell r="AC56">
            <v>2472000</v>
          </cell>
        </row>
        <row r="57">
          <cell r="B57" t="str">
            <v>의류</v>
          </cell>
          <cell r="C57">
            <v>55</v>
          </cell>
          <cell r="F57" t="str">
            <v>I0Y1201</v>
          </cell>
          <cell r="G57">
            <v>31</v>
          </cell>
          <cell r="AB57">
            <v>27</v>
          </cell>
          <cell r="AC57">
            <v>1053000</v>
          </cell>
        </row>
        <row r="58">
          <cell r="B58" t="str">
            <v>의류</v>
          </cell>
          <cell r="C58">
            <v>55</v>
          </cell>
          <cell r="F58" t="str">
            <v>I0Y1201</v>
          </cell>
          <cell r="G58">
            <v>49</v>
          </cell>
          <cell r="AB58">
            <v>27</v>
          </cell>
          <cell r="AC58">
            <v>1053000</v>
          </cell>
        </row>
        <row r="59">
          <cell r="B59" t="str">
            <v>의류</v>
          </cell>
          <cell r="C59">
            <v>55</v>
          </cell>
          <cell r="F59" t="str">
            <v>I0Y1202</v>
          </cell>
          <cell r="G59">
            <v>31</v>
          </cell>
          <cell r="AB59">
            <v>27</v>
          </cell>
          <cell r="AC59">
            <v>2083000</v>
          </cell>
        </row>
        <row r="60">
          <cell r="B60" t="str">
            <v>의류</v>
          </cell>
          <cell r="C60">
            <v>55</v>
          </cell>
          <cell r="F60" t="str">
            <v>I0Y1202</v>
          </cell>
          <cell r="G60">
            <v>49</v>
          </cell>
          <cell r="AB60">
            <v>27</v>
          </cell>
          <cell r="AC60">
            <v>2110900</v>
          </cell>
        </row>
        <row r="61">
          <cell r="B61" t="str">
            <v>의류</v>
          </cell>
          <cell r="C61">
            <v>55</v>
          </cell>
          <cell r="F61" t="str">
            <v>I0Y7208</v>
          </cell>
          <cell r="G61">
            <v>49</v>
          </cell>
          <cell r="AB61">
            <v>27</v>
          </cell>
          <cell r="AC61">
            <v>1593000</v>
          </cell>
        </row>
        <row r="62">
          <cell r="B62" t="str">
            <v>의류</v>
          </cell>
          <cell r="C62">
            <v>55</v>
          </cell>
          <cell r="F62" t="str">
            <v>ITY1205</v>
          </cell>
          <cell r="G62">
            <v>34</v>
          </cell>
          <cell r="AB62">
            <v>27</v>
          </cell>
          <cell r="AC62">
            <v>777200</v>
          </cell>
        </row>
        <row r="63">
          <cell r="B63" t="str">
            <v>의류</v>
          </cell>
          <cell r="C63">
            <v>61</v>
          </cell>
          <cell r="F63" t="str">
            <v>I0Y1201</v>
          </cell>
          <cell r="G63">
            <v>22</v>
          </cell>
          <cell r="AB63">
            <v>26</v>
          </cell>
          <cell r="AC63">
            <v>1014000</v>
          </cell>
        </row>
        <row r="64">
          <cell r="B64" t="str">
            <v>의류</v>
          </cell>
          <cell r="C64">
            <v>61</v>
          </cell>
          <cell r="F64" t="str">
            <v>INY1204</v>
          </cell>
          <cell r="G64">
            <v>39</v>
          </cell>
          <cell r="AB64">
            <v>26</v>
          </cell>
          <cell r="AC64">
            <v>1354000</v>
          </cell>
        </row>
        <row r="65">
          <cell r="B65" t="str">
            <v>의류</v>
          </cell>
          <cell r="C65">
            <v>61</v>
          </cell>
          <cell r="F65" t="str">
            <v>P0Y1207</v>
          </cell>
          <cell r="G65">
            <v>49</v>
          </cell>
          <cell r="AB65">
            <v>26</v>
          </cell>
          <cell r="AC65">
            <v>2038200</v>
          </cell>
        </row>
        <row r="66">
          <cell r="B66" t="str">
            <v>의류</v>
          </cell>
          <cell r="C66">
            <v>61</v>
          </cell>
          <cell r="F66" t="str">
            <v>PTY8201</v>
          </cell>
          <cell r="G66">
            <v>49</v>
          </cell>
          <cell r="AB66">
            <v>26</v>
          </cell>
          <cell r="AC66">
            <v>2574000</v>
          </cell>
        </row>
        <row r="67">
          <cell r="B67" t="str">
            <v>의류</v>
          </cell>
          <cell r="C67">
            <v>65</v>
          </cell>
          <cell r="F67" t="str">
            <v>I0Y7201</v>
          </cell>
          <cell r="G67">
            <v>32</v>
          </cell>
          <cell r="AB67">
            <v>25</v>
          </cell>
          <cell r="AC67">
            <v>1535000</v>
          </cell>
        </row>
        <row r="68">
          <cell r="B68" t="str">
            <v>의류</v>
          </cell>
          <cell r="C68">
            <v>65</v>
          </cell>
          <cell r="F68" t="str">
            <v>INY1201</v>
          </cell>
          <cell r="G68">
            <v>31</v>
          </cell>
          <cell r="AB68">
            <v>25</v>
          </cell>
          <cell r="AC68">
            <v>1725000</v>
          </cell>
        </row>
        <row r="69">
          <cell r="B69" t="str">
            <v>의류</v>
          </cell>
          <cell r="C69">
            <v>65</v>
          </cell>
          <cell r="F69" t="str">
            <v>ITY8204</v>
          </cell>
          <cell r="G69">
            <v>43</v>
          </cell>
          <cell r="AB69">
            <v>25</v>
          </cell>
          <cell r="AC69">
            <v>1909200</v>
          </cell>
        </row>
        <row r="70">
          <cell r="B70" t="str">
            <v>의류</v>
          </cell>
          <cell r="C70">
            <v>65</v>
          </cell>
          <cell r="F70" t="str">
            <v>P0Y1201</v>
          </cell>
          <cell r="G70">
            <v>22</v>
          </cell>
          <cell r="AB70">
            <v>25</v>
          </cell>
          <cell r="AC70">
            <v>975000</v>
          </cell>
        </row>
        <row r="71">
          <cell r="B71" t="str">
            <v>의류</v>
          </cell>
          <cell r="C71">
            <v>65</v>
          </cell>
          <cell r="F71" t="str">
            <v>P0Y1201</v>
          </cell>
          <cell r="G71">
            <v>73</v>
          </cell>
          <cell r="AB71">
            <v>25</v>
          </cell>
          <cell r="AC71">
            <v>858000</v>
          </cell>
        </row>
        <row r="72">
          <cell r="B72" t="str">
            <v>의류</v>
          </cell>
          <cell r="C72">
            <v>65</v>
          </cell>
          <cell r="F72" t="str">
            <v>P0Y1203</v>
          </cell>
          <cell r="G72">
            <v>32</v>
          </cell>
          <cell r="AB72">
            <v>25</v>
          </cell>
          <cell r="AC72">
            <v>1245000</v>
          </cell>
        </row>
        <row r="73">
          <cell r="B73" t="str">
            <v>의류</v>
          </cell>
          <cell r="C73">
            <v>65</v>
          </cell>
          <cell r="F73" t="str">
            <v>P0Y1205</v>
          </cell>
          <cell r="G73">
            <v>32</v>
          </cell>
          <cell r="AB73">
            <v>25</v>
          </cell>
          <cell r="AC73">
            <v>1705000</v>
          </cell>
        </row>
        <row r="74">
          <cell r="B74" t="str">
            <v>의류</v>
          </cell>
          <cell r="C74">
            <v>65</v>
          </cell>
          <cell r="F74" t="str">
            <v>P0Y1205</v>
          </cell>
          <cell r="G74">
            <v>49</v>
          </cell>
          <cell r="AB74">
            <v>25</v>
          </cell>
          <cell r="AC74">
            <v>1681200</v>
          </cell>
        </row>
        <row r="75">
          <cell r="B75" t="str">
            <v>의류</v>
          </cell>
          <cell r="C75">
            <v>65</v>
          </cell>
          <cell r="F75" t="str">
            <v>P0Y7205</v>
          </cell>
          <cell r="G75">
            <v>49</v>
          </cell>
          <cell r="AB75">
            <v>25</v>
          </cell>
          <cell r="AC75">
            <v>2175000</v>
          </cell>
        </row>
        <row r="76">
          <cell r="B76" t="str">
            <v>의류</v>
          </cell>
          <cell r="C76">
            <v>74</v>
          </cell>
          <cell r="F76" t="str">
            <v>I0Y1208</v>
          </cell>
          <cell r="G76">
            <v>34</v>
          </cell>
          <cell r="AB76">
            <v>24</v>
          </cell>
          <cell r="AC76">
            <v>1866000</v>
          </cell>
        </row>
        <row r="77">
          <cell r="B77" t="str">
            <v>의류</v>
          </cell>
          <cell r="C77">
            <v>74</v>
          </cell>
          <cell r="F77" t="str">
            <v>I0Y6201</v>
          </cell>
          <cell r="G77">
            <v>22</v>
          </cell>
          <cell r="AB77">
            <v>24</v>
          </cell>
          <cell r="AC77">
            <v>3349900</v>
          </cell>
        </row>
        <row r="78">
          <cell r="B78" t="str">
            <v>의류</v>
          </cell>
          <cell r="C78">
            <v>74</v>
          </cell>
          <cell r="F78" t="str">
            <v>ITY1202</v>
          </cell>
          <cell r="G78">
            <v>73</v>
          </cell>
          <cell r="AB78">
            <v>24</v>
          </cell>
          <cell r="AC78">
            <v>2136000</v>
          </cell>
        </row>
        <row r="79">
          <cell r="B79" t="str">
            <v>의류</v>
          </cell>
          <cell r="C79">
            <v>74</v>
          </cell>
          <cell r="F79" t="str">
            <v>ITY7202</v>
          </cell>
          <cell r="G79">
            <v>49</v>
          </cell>
          <cell r="AB79">
            <v>24</v>
          </cell>
          <cell r="AC79">
            <v>2376000</v>
          </cell>
        </row>
        <row r="80">
          <cell r="B80" t="str">
            <v>의류</v>
          </cell>
          <cell r="C80">
            <v>74</v>
          </cell>
          <cell r="F80" t="str">
            <v>ITY8203</v>
          </cell>
          <cell r="G80">
            <v>76</v>
          </cell>
          <cell r="AB80">
            <v>24</v>
          </cell>
          <cell r="AC80">
            <v>1866000</v>
          </cell>
        </row>
        <row r="81">
          <cell r="B81" t="str">
            <v>의류</v>
          </cell>
          <cell r="C81">
            <v>74</v>
          </cell>
          <cell r="F81" t="str">
            <v>ITY8206</v>
          </cell>
          <cell r="G81">
            <v>49</v>
          </cell>
          <cell r="AB81">
            <v>24</v>
          </cell>
          <cell r="AC81">
            <v>1656000</v>
          </cell>
        </row>
        <row r="82">
          <cell r="B82" t="str">
            <v>의류</v>
          </cell>
          <cell r="C82">
            <v>74</v>
          </cell>
          <cell r="F82" t="str">
            <v>P0Y1206</v>
          </cell>
          <cell r="G82">
            <v>49</v>
          </cell>
          <cell r="AB82">
            <v>24</v>
          </cell>
          <cell r="AC82">
            <v>1396000</v>
          </cell>
        </row>
        <row r="83">
          <cell r="B83" t="str">
            <v>의류</v>
          </cell>
          <cell r="C83">
            <v>74</v>
          </cell>
          <cell r="F83" t="str">
            <v>P0Y1210</v>
          </cell>
          <cell r="G83">
            <v>66</v>
          </cell>
          <cell r="AB83">
            <v>24</v>
          </cell>
          <cell r="AC83">
            <v>1432200</v>
          </cell>
        </row>
        <row r="84">
          <cell r="B84" t="str">
            <v>의류</v>
          </cell>
          <cell r="C84">
            <v>74</v>
          </cell>
          <cell r="F84" t="str">
            <v>P0Y1217</v>
          </cell>
          <cell r="G84">
            <v>73</v>
          </cell>
          <cell r="AB84">
            <v>24</v>
          </cell>
          <cell r="AC84">
            <v>1636000</v>
          </cell>
        </row>
        <row r="85">
          <cell r="B85" t="str">
            <v>의류</v>
          </cell>
          <cell r="C85">
            <v>74</v>
          </cell>
          <cell r="F85" t="str">
            <v>PTY7202</v>
          </cell>
          <cell r="G85">
            <v>39</v>
          </cell>
          <cell r="AB85">
            <v>24</v>
          </cell>
          <cell r="AC85">
            <v>1592550</v>
          </cell>
        </row>
        <row r="86">
          <cell r="B86" t="str">
            <v>의류</v>
          </cell>
          <cell r="C86">
            <v>84</v>
          </cell>
          <cell r="F86" t="str">
            <v>I0Y1216</v>
          </cell>
          <cell r="G86">
            <v>49</v>
          </cell>
          <cell r="AB86">
            <v>23</v>
          </cell>
          <cell r="AC86">
            <v>897000</v>
          </cell>
        </row>
        <row r="87">
          <cell r="B87" t="str">
            <v>의류</v>
          </cell>
          <cell r="C87">
            <v>84</v>
          </cell>
          <cell r="F87" t="str">
            <v>ITY6201</v>
          </cell>
          <cell r="G87">
            <v>38</v>
          </cell>
          <cell r="AB87">
            <v>23</v>
          </cell>
          <cell r="AC87">
            <v>3197000</v>
          </cell>
        </row>
        <row r="88">
          <cell r="B88" t="str">
            <v>의류</v>
          </cell>
          <cell r="C88">
            <v>84</v>
          </cell>
          <cell r="F88" t="str">
            <v>P0Y1201</v>
          </cell>
          <cell r="G88">
            <v>49</v>
          </cell>
          <cell r="AB88">
            <v>23</v>
          </cell>
          <cell r="AC88">
            <v>897000</v>
          </cell>
        </row>
        <row r="89">
          <cell r="B89" t="str">
            <v>의류</v>
          </cell>
          <cell r="C89">
            <v>84</v>
          </cell>
          <cell r="F89" t="str">
            <v>P0Y1222</v>
          </cell>
          <cell r="G89">
            <v>49</v>
          </cell>
          <cell r="AB89">
            <v>23</v>
          </cell>
          <cell r="AC89">
            <v>1357000</v>
          </cell>
        </row>
        <row r="90">
          <cell r="B90" t="str">
            <v>의류</v>
          </cell>
          <cell r="C90">
            <v>88</v>
          </cell>
          <cell r="F90" t="str">
            <v>ITY7202</v>
          </cell>
          <cell r="G90">
            <v>43</v>
          </cell>
          <cell r="AB90">
            <v>22</v>
          </cell>
          <cell r="AC90">
            <v>2178000</v>
          </cell>
        </row>
        <row r="91">
          <cell r="B91" t="str">
            <v>의류</v>
          </cell>
          <cell r="C91">
            <v>88</v>
          </cell>
          <cell r="F91" t="str">
            <v>P0Y1219</v>
          </cell>
          <cell r="G91">
            <v>31</v>
          </cell>
          <cell r="AB91">
            <v>22</v>
          </cell>
          <cell r="AC91">
            <v>858000</v>
          </cell>
        </row>
        <row r="92">
          <cell r="B92" t="str">
            <v>의류</v>
          </cell>
          <cell r="C92">
            <v>88</v>
          </cell>
          <cell r="F92" t="str">
            <v>P0Y7207</v>
          </cell>
          <cell r="G92">
            <v>49</v>
          </cell>
          <cell r="AB92">
            <v>22</v>
          </cell>
          <cell r="AC92">
            <v>1718000</v>
          </cell>
        </row>
        <row r="93">
          <cell r="B93" t="str">
            <v>의류</v>
          </cell>
          <cell r="C93">
            <v>88</v>
          </cell>
          <cell r="F93" t="str">
            <v>PTY8201</v>
          </cell>
          <cell r="G93">
            <v>73</v>
          </cell>
          <cell r="AB93">
            <v>22</v>
          </cell>
          <cell r="AC93">
            <v>2158000</v>
          </cell>
        </row>
        <row r="94">
          <cell r="B94" t="str">
            <v>의류</v>
          </cell>
          <cell r="C94">
            <v>92</v>
          </cell>
          <cell r="F94" t="str">
            <v>I0Y1201</v>
          </cell>
          <cell r="G94">
            <v>34</v>
          </cell>
          <cell r="AB94">
            <v>21</v>
          </cell>
          <cell r="AC94">
            <v>819000</v>
          </cell>
        </row>
        <row r="95">
          <cell r="B95" t="str">
            <v>의류</v>
          </cell>
          <cell r="C95">
            <v>92</v>
          </cell>
          <cell r="F95" t="str">
            <v>I0Y1201</v>
          </cell>
          <cell r="G95">
            <v>39</v>
          </cell>
          <cell r="AB95">
            <v>21</v>
          </cell>
          <cell r="AC95">
            <v>819000</v>
          </cell>
        </row>
        <row r="96">
          <cell r="B96" t="str">
            <v>의류</v>
          </cell>
          <cell r="C96">
            <v>92</v>
          </cell>
          <cell r="F96" t="str">
            <v>I0Y1208</v>
          </cell>
          <cell r="G96">
            <v>49</v>
          </cell>
          <cell r="AB96">
            <v>21</v>
          </cell>
          <cell r="AC96">
            <v>1643200</v>
          </cell>
        </row>
        <row r="97">
          <cell r="B97" t="str">
            <v>의류</v>
          </cell>
          <cell r="C97">
            <v>92</v>
          </cell>
          <cell r="F97" t="str">
            <v>I0Y1212</v>
          </cell>
          <cell r="G97">
            <v>22</v>
          </cell>
          <cell r="AB97">
            <v>21</v>
          </cell>
          <cell r="AC97">
            <v>1259000</v>
          </cell>
        </row>
        <row r="98">
          <cell r="B98" t="str">
            <v>의류</v>
          </cell>
          <cell r="C98">
            <v>92</v>
          </cell>
          <cell r="F98" t="str">
            <v>INY1205</v>
          </cell>
          <cell r="G98">
            <v>34</v>
          </cell>
          <cell r="AB98">
            <v>21</v>
          </cell>
          <cell r="AC98">
            <v>1279000</v>
          </cell>
        </row>
        <row r="99">
          <cell r="B99" t="str">
            <v>의류</v>
          </cell>
          <cell r="C99">
            <v>92</v>
          </cell>
          <cell r="F99" t="str">
            <v>ITY7206</v>
          </cell>
          <cell r="G99">
            <v>49</v>
          </cell>
          <cell r="AB99">
            <v>21</v>
          </cell>
          <cell r="AC99">
            <v>1449000</v>
          </cell>
        </row>
        <row r="100">
          <cell r="B100" t="str">
            <v>의류</v>
          </cell>
          <cell r="C100">
            <v>92</v>
          </cell>
          <cell r="F100" t="str">
            <v>P0Y1207</v>
          </cell>
          <cell r="G100">
            <v>63</v>
          </cell>
          <cell r="AB100">
            <v>21</v>
          </cell>
          <cell r="AC100">
            <v>1643200</v>
          </cell>
        </row>
        <row r="101">
          <cell r="B101" t="str">
            <v>의류</v>
          </cell>
          <cell r="C101">
            <v>99</v>
          </cell>
          <cell r="F101" t="str">
            <v>I0Y1203</v>
          </cell>
          <cell r="G101">
            <v>49</v>
          </cell>
          <cell r="AB101">
            <v>20</v>
          </cell>
          <cell r="AC101">
            <v>1580000</v>
          </cell>
        </row>
        <row r="102">
          <cell r="B102" t="str">
            <v>의류</v>
          </cell>
          <cell r="C102">
            <v>99</v>
          </cell>
          <cell r="F102" t="str">
            <v>ITY1205</v>
          </cell>
          <cell r="G102">
            <v>73</v>
          </cell>
          <cell r="AB102">
            <v>20</v>
          </cell>
          <cell r="AC102">
            <v>580000</v>
          </cell>
        </row>
        <row r="103">
          <cell r="B103" t="str">
            <v>의류</v>
          </cell>
          <cell r="C103">
            <v>99</v>
          </cell>
          <cell r="F103" t="str">
            <v>ITY1205</v>
          </cell>
          <cell r="G103">
            <v>78</v>
          </cell>
          <cell r="AB103">
            <v>20</v>
          </cell>
          <cell r="AC103">
            <v>580000</v>
          </cell>
        </row>
        <row r="104">
          <cell r="B104" t="str">
            <v>의류</v>
          </cell>
          <cell r="C104">
            <v>99</v>
          </cell>
          <cell r="F104" t="str">
            <v>ITY8201</v>
          </cell>
          <cell r="G104">
            <v>45</v>
          </cell>
          <cell r="AB104">
            <v>20</v>
          </cell>
          <cell r="AC104">
            <v>1380000</v>
          </cell>
        </row>
        <row r="105">
          <cell r="B105" t="str">
            <v>의류</v>
          </cell>
          <cell r="C105">
            <v>99</v>
          </cell>
          <cell r="F105" t="str">
            <v>P0Y1216</v>
          </cell>
          <cell r="G105">
            <v>22</v>
          </cell>
          <cell r="AB105">
            <v>20</v>
          </cell>
          <cell r="AC105">
            <v>1200000</v>
          </cell>
        </row>
        <row r="106">
          <cell r="B106" t="str">
            <v>의류</v>
          </cell>
          <cell r="C106">
            <v>104</v>
          </cell>
          <cell r="F106" t="str">
            <v>I0Y7203</v>
          </cell>
          <cell r="G106">
            <v>34</v>
          </cell>
          <cell r="AB106">
            <v>19</v>
          </cell>
          <cell r="AC106">
            <v>1541000</v>
          </cell>
        </row>
        <row r="107">
          <cell r="B107" t="str">
            <v>의류</v>
          </cell>
          <cell r="C107">
            <v>104</v>
          </cell>
          <cell r="F107" t="str">
            <v>P0Y1210</v>
          </cell>
          <cell r="G107">
            <v>73</v>
          </cell>
          <cell r="AB107">
            <v>19</v>
          </cell>
          <cell r="AC107">
            <v>1131000</v>
          </cell>
        </row>
        <row r="108">
          <cell r="B108" t="str">
            <v>의류</v>
          </cell>
          <cell r="C108">
            <v>104</v>
          </cell>
          <cell r="F108" t="str">
            <v>P0Y1213</v>
          </cell>
          <cell r="G108">
            <v>49</v>
          </cell>
          <cell r="AB108">
            <v>19</v>
          </cell>
          <cell r="AC108">
            <v>1311000</v>
          </cell>
        </row>
        <row r="109">
          <cell r="B109" t="str">
            <v>의류</v>
          </cell>
          <cell r="C109">
            <v>104</v>
          </cell>
          <cell r="F109" t="str">
            <v>P0Y7205</v>
          </cell>
          <cell r="G109">
            <v>31</v>
          </cell>
          <cell r="AB109">
            <v>19</v>
          </cell>
          <cell r="AC109">
            <v>1649900</v>
          </cell>
        </row>
        <row r="110">
          <cell r="B110" t="str">
            <v>의류</v>
          </cell>
          <cell r="C110">
            <v>108</v>
          </cell>
          <cell r="F110" t="str">
            <v>I0Y1215</v>
          </cell>
          <cell r="G110">
            <v>49</v>
          </cell>
          <cell r="AB110">
            <v>18</v>
          </cell>
          <cell r="AC110">
            <v>882000</v>
          </cell>
        </row>
        <row r="111">
          <cell r="B111" t="str">
            <v>의류</v>
          </cell>
          <cell r="C111">
            <v>108</v>
          </cell>
          <cell r="F111" t="str">
            <v>ITY6201</v>
          </cell>
          <cell r="G111">
            <v>53</v>
          </cell>
          <cell r="AB111">
            <v>18</v>
          </cell>
          <cell r="AC111">
            <v>2502000</v>
          </cell>
        </row>
        <row r="112">
          <cell r="B112" t="str">
            <v>의류</v>
          </cell>
          <cell r="C112">
            <v>108</v>
          </cell>
          <cell r="F112" t="str">
            <v>ITY8207</v>
          </cell>
          <cell r="G112">
            <v>49</v>
          </cell>
          <cell r="AB112">
            <v>18</v>
          </cell>
          <cell r="AC112">
            <v>1422000</v>
          </cell>
        </row>
        <row r="113">
          <cell r="B113" t="str">
            <v>의류</v>
          </cell>
          <cell r="C113">
            <v>108</v>
          </cell>
          <cell r="F113" t="str">
            <v>ITY8208</v>
          </cell>
          <cell r="G113">
            <v>49</v>
          </cell>
          <cell r="AB113">
            <v>18</v>
          </cell>
          <cell r="AC113">
            <v>1242000</v>
          </cell>
        </row>
        <row r="114">
          <cell r="B114" t="str">
            <v>의류</v>
          </cell>
          <cell r="C114">
            <v>108</v>
          </cell>
          <cell r="F114" t="str">
            <v>ITY9206</v>
          </cell>
          <cell r="G114">
            <v>34</v>
          </cell>
          <cell r="AB114">
            <v>18</v>
          </cell>
          <cell r="AC114">
            <v>3372000</v>
          </cell>
        </row>
        <row r="115">
          <cell r="B115" t="str">
            <v>의류</v>
          </cell>
          <cell r="C115">
            <v>108</v>
          </cell>
          <cell r="F115" t="str">
            <v>P0YV201</v>
          </cell>
          <cell r="G115">
            <v>49</v>
          </cell>
          <cell r="AB115">
            <v>18</v>
          </cell>
          <cell r="AC115">
            <v>2142000</v>
          </cell>
        </row>
        <row r="116">
          <cell r="B116" t="str">
            <v>의류</v>
          </cell>
          <cell r="C116">
            <v>114</v>
          </cell>
          <cell r="F116" t="str">
            <v>I0Y1204</v>
          </cell>
          <cell r="G116">
            <v>49</v>
          </cell>
          <cell r="AB116">
            <v>17</v>
          </cell>
          <cell r="AC116">
            <v>833000</v>
          </cell>
        </row>
        <row r="117">
          <cell r="B117" t="str">
            <v>의류</v>
          </cell>
          <cell r="C117">
            <v>114</v>
          </cell>
          <cell r="F117" t="str">
            <v>INY1209</v>
          </cell>
          <cell r="G117">
            <v>31</v>
          </cell>
          <cell r="AB117">
            <v>17</v>
          </cell>
          <cell r="AC117">
            <v>1323000</v>
          </cell>
        </row>
        <row r="118">
          <cell r="B118" t="str">
            <v>의류</v>
          </cell>
          <cell r="C118">
            <v>114</v>
          </cell>
          <cell r="F118" t="str">
            <v>P0Y1223</v>
          </cell>
          <cell r="G118">
            <v>49</v>
          </cell>
          <cell r="AB118">
            <v>17</v>
          </cell>
          <cell r="AC118">
            <v>1003000</v>
          </cell>
        </row>
        <row r="119">
          <cell r="B119" t="str">
            <v>의류</v>
          </cell>
          <cell r="C119">
            <v>117</v>
          </cell>
          <cell r="F119" t="str">
            <v>I0Y1214</v>
          </cell>
          <cell r="G119">
            <v>73</v>
          </cell>
          <cell r="AB119">
            <v>16</v>
          </cell>
          <cell r="AC119">
            <v>1248200</v>
          </cell>
        </row>
        <row r="120">
          <cell r="B120" t="str">
            <v>의류</v>
          </cell>
          <cell r="C120">
            <v>117</v>
          </cell>
          <cell r="F120" t="str">
            <v>I0Y6201</v>
          </cell>
          <cell r="G120">
            <v>77</v>
          </cell>
          <cell r="AB120">
            <v>16</v>
          </cell>
          <cell r="AC120">
            <v>2194000</v>
          </cell>
        </row>
        <row r="121">
          <cell r="B121" t="str">
            <v>의류</v>
          </cell>
          <cell r="C121">
            <v>117</v>
          </cell>
          <cell r="F121" t="str">
            <v>I0Y7204</v>
          </cell>
          <cell r="G121">
            <v>37</v>
          </cell>
          <cell r="AB121">
            <v>16</v>
          </cell>
          <cell r="AC121">
            <v>1124000</v>
          </cell>
        </row>
        <row r="122">
          <cell r="B122" t="str">
            <v>의류</v>
          </cell>
          <cell r="C122">
            <v>117</v>
          </cell>
          <cell r="F122" t="str">
            <v>I0Y7206</v>
          </cell>
          <cell r="G122">
            <v>49</v>
          </cell>
          <cell r="AB122">
            <v>16</v>
          </cell>
          <cell r="AC122">
            <v>1100550</v>
          </cell>
        </row>
        <row r="123">
          <cell r="B123" t="str">
            <v>의류</v>
          </cell>
          <cell r="C123">
            <v>117</v>
          </cell>
          <cell r="F123" t="str">
            <v>P0Y1215</v>
          </cell>
          <cell r="G123">
            <v>49</v>
          </cell>
          <cell r="AB123">
            <v>16</v>
          </cell>
          <cell r="AC123">
            <v>1264000</v>
          </cell>
        </row>
        <row r="124">
          <cell r="B124" t="str">
            <v>의류</v>
          </cell>
          <cell r="C124">
            <v>117</v>
          </cell>
          <cell r="F124" t="str">
            <v>P0Y6201</v>
          </cell>
          <cell r="G124">
            <v>74</v>
          </cell>
          <cell r="AB124">
            <v>16</v>
          </cell>
          <cell r="AC124">
            <v>2064000</v>
          </cell>
        </row>
        <row r="125">
          <cell r="B125" t="str">
            <v>의류</v>
          </cell>
          <cell r="C125">
            <v>117</v>
          </cell>
          <cell r="F125" t="str">
            <v>P0Y7204</v>
          </cell>
          <cell r="G125">
            <v>45</v>
          </cell>
          <cell r="AB125">
            <v>16</v>
          </cell>
          <cell r="AC125">
            <v>1394000</v>
          </cell>
        </row>
        <row r="126">
          <cell r="B126" t="str">
            <v>의류</v>
          </cell>
          <cell r="C126">
            <v>117</v>
          </cell>
          <cell r="F126" t="str">
            <v>PNY7101</v>
          </cell>
          <cell r="G126">
            <v>31</v>
          </cell>
          <cell r="AB126">
            <v>16</v>
          </cell>
          <cell r="AC126">
            <v>1344000</v>
          </cell>
        </row>
        <row r="127">
          <cell r="B127" t="str">
            <v>의류</v>
          </cell>
          <cell r="C127">
            <v>117</v>
          </cell>
          <cell r="F127" t="str">
            <v>PNY7201</v>
          </cell>
          <cell r="G127">
            <v>39</v>
          </cell>
          <cell r="AB127">
            <v>16</v>
          </cell>
          <cell r="AC127">
            <v>1384000</v>
          </cell>
        </row>
        <row r="128">
          <cell r="B128" t="str">
            <v>의류</v>
          </cell>
          <cell r="C128">
            <v>117</v>
          </cell>
          <cell r="F128" t="str">
            <v>PTY7203</v>
          </cell>
          <cell r="G128">
            <v>39</v>
          </cell>
          <cell r="AB128">
            <v>16</v>
          </cell>
          <cell r="AC128">
            <v>894000</v>
          </cell>
        </row>
        <row r="129">
          <cell r="B129" t="str">
            <v>의류</v>
          </cell>
          <cell r="C129">
            <v>117</v>
          </cell>
          <cell r="F129" t="str">
            <v>PTY7204</v>
          </cell>
          <cell r="G129">
            <v>43</v>
          </cell>
          <cell r="AB129">
            <v>16</v>
          </cell>
          <cell r="AC129">
            <v>1504000</v>
          </cell>
        </row>
        <row r="130">
          <cell r="B130" t="str">
            <v>의류</v>
          </cell>
          <cell r="C130">
            <v>128</v>
          </cell>
          <cell r="F130" t="str">
            <v>I0Y1201</v>
          </cell>
          <cell r="G130">
            <v>43</v>
          </cell>
          <cell r="AB130">
            <v>15</v>
          </cell>
          <cell r="AC130">
            <v>565000</v>
          </cell>
        </row>
        <row r="131">
          <cell r="B131" t="str">
            <v>의류</v>
          </cell>
          <cell r="C131">
            <v>128</v>
          </cell>
          <cell r="F131" t="str">
            <v>I0Y1208</v>
          </cell>
          <cell r="G131">
            <v>31</v>
          </cell>
          <cell r="AB131">
            <v>15</v>
          </cell>
          <cell r="AC131">
            <v>1155000</v>
          </cell>
        </row>
        <row r="132">
          <cell r="B132" t="str">
            <v>의류</v>
          </cell>
          <cell r="C132">
            <v>128</v>
          </cell>
          <cell r="F132" t="str">
            <v>I0Y7202</v>
          </cell>
          <cell r="G132">
            <v>49</v>
          </cell>
          <cell r="AB132">
            <v>15</v>
          </cell>
          <cell r="AC132">
            <v>1162900</v>
          </cell>
        </row>
        <row r="133">
          <cell r="B133" t="str">
            <v>의류</v>
          </cell>
          <cell r="C133">
            <v>128</v>
          </cell>
          <cell r="F133" t="str">
            <v>I0Y7205</v>
          </cell>
          <cell r="G133">
            <v>53</v>
          </cell>
          <cell r="AB133">
            <v>15</v>
          </cell>
          <cell r="AC133">
            <v>735000</v>
          </cell>
        </row>
        <row r="134">
          <cell r="B134" t="str">
            <v>의류</v>
          </cell>
          <cell r="C134">
            <v>128</v>
          </cell>
          <cell r="F134" t="str">
            <v>INY1207</v>
          </cell>
          <cell r="G134">
            <v>41</v>
          </cell>
          <cell r="AB134">
            <v>15</v>
          </cell>
          <cell r="AC134">
            <v>985000</v>
          </cell>
        </row>
        <row r="135">
          <cell r="B135" t="str">
            <v>의류</v>
          </cell>
          <cell r="C135">
            <v>128</v>
          </cell>
          <cell r="F135" t="str">
            <v>INY7203</v>
          </cell>
          <cell r="G135">
            <v>34</v>
          </cell>
          <cell r="AB135">
            <v>15</v>
          </cell>
          <cell r="AC135">
            <v>1583200</v>
          </cell>
        </row>
        <row r="136">
          <cell r="B136" t="str">
            <v>의류</v>
          </cell>
          <cell r="C136">
            <v>128</v>
          </cell>
          <cell r="F136" t="str">
            <v>ITY7206</v>
          </cell>
          <cell r="G136">
            <v>37</v>
          </cell>
          <cell r="AB136">
            <v>15</v>
          </cell>
          <cell r="AC136">
            <v>1035000</v>
          </cell>
        </row>
        <row r="137">
          <cell r="B137" t="str">
            <v>의류</v>
          </cell>
          <cell r="C137">
            <v>128</v>
          </cell>
          <cell r="F137" t="str">
            <v>ITY8209</v>
          </cell>
          <cell r="G137">
            <v>22</v>
          </cell>
          <cell r="AB137">
            <v>15</v>
          </cell>
          <cell r="AC137">
            <v>1005000</v>
          </cell>
        </row>
        <row r="138">
          <cell r="B138" t="str">
            <v>의류</v>
          </cell>
          <cell r="C138">
            <v>128</v>
          </cell>
          <cell r="F138" t="str">
            <v>ITY9205</v>
          </cell>
          <cell r="G138">
            <v>34</v>
          </cell>
          <cell r="AB138">
            <v>15</v>
          </cell>
          <cell r="AC138">
            <v>2685000</v>
          </cell>
        </row>
        <row r="139">
          <cell r="B139" t="str">
            <v>의류</v>
          </cell>
          <cell r="C139">
            <v>128</v>
          </cell>
          <cell r="F139" t="str">
            <v>P0Y1203</v>
          </cell>
          <cell r="G139">
            <v>31</v>
          </cell>
          <cell r="AB139">
            <v>15</v>
          </cell>
          <cell r="AC139">
            <v>725000</v>
          </cell>
        </row>
        <row r="140">
          <cell r="B140" t="str">
            <v>의류</v>
          </cell>
          <cell r="C140">
            <v>128</v>
          </cell>
          <cell r="F140" t="str">
            <v>P0Y1204</v>
          </cell>
          <cell r="G140">
            <v>76</v>
          </cell>
          <cell r="AB140">
            <v>15</v>
          </cell>
          <cell r="AC140">
            <v>735000</v>
          </cell>
        </row>
        <row r="141">
          <cell r="B141" t="str">
            <v>의류</v>
          </cell>
          <cell r="C141">
            <v>128</v>
          </cell>
          <cell r="F141" t="str">
            <v>PTY1202</v>
          </cell>
          <cell r="G141">
            <v>76</v>
          </cell>
          <cell r="AB141">
            <v>15</v>
          </cell>
          <cell r="AC141">
            <v>735000</v>
          </cell>
        </row>
        <row r="142">
          <cell r="B142" t="str">
            <v>의류</v>
          </cell>
          <cell r="C142">
            <v>128</v>
          </cell>
          <cell r="F142" t="str">
            <v>PTY7201</v>
          </cell>
          <cell r="G142">
            <v>49</v>
          </cell>
          <cell r="AB142">
            <v>15</v>
          </cell>
          <cell r="AC142">
            <v>853200</v>
          </cell>
        </row>
        <row r="143">
          <cell r="B143" t="str">
            <v>의류</v>
          </cell>
          <cell r="C143">
            <v>128</v>
          </cell>
          <cell r="F143" t="str">
            <v>PTY8202</v>
          </cell>
          <cell r="G143">
            <v>76</v>
          </cell>
          <cell r="AB143">
            <v>15</v>
          </cell>
          <cell r="AC143">
            <v>1275000</v>
          </cell>
        </row>
        <row r="144">
          <cell r="B144" t="str">
            <v>의류</v>
          </cell>
          <cell r="C144">
            <v>142</v>
          </cell>
          <cell r="F144" t="str">
            <v>I0Y1203</v>
          </cell>
          <cell r="G144">
            <v>34</v>
          </cell>
          <cell r="AB144">
            <v>14</v>
          </cell>
          <cell r="AC144">
            <v>1106000</v>
          </cell>
        </row>
        <row r="145">
          <cell r="B145" t="str">
            <v>의류</v>
          </cell>
          <cell r="C145">
            <v>142</v>
          </cell>
          <cell r="F145" t="str">
            <v>I0Y1213</v>
          </cell>
          <cell r="G145">
            <v>76</v>
          </cell>
          <cell r="AB145">
            <v>14</v>
          </cell>
          <cell r="AC145">
            <v>846000</v>
          </cell>
        </row>
        <row r="146">
          <cell r="B146" t="str">
            <v>의류</v>
          </cell>
          <cell r="C146">
            <v>142</v>
          </cell>
          <cell r="F146" t="str">
            <v>I0Y1216</v>
          </cell>
          <cell r="G146">
            <v>32</v>
          </cell>
          <cell r="AB146">
            <v>14</v>
          </cell>
          <cell r="AC146">
            <v>546000</v>
          </cell>
        </row>
        <row r="147">
          <cell r="B147" t="str">
            <v>의류</v>
          </cell>
          <cell r="C147">
            <v>142</v>
          </cell>
          <cell r="F147" t="str">
            <v>I0Y7102</v>
          </cell>
          <cell r="G147">
            <v>49</v>
          </cell>
          <cell r="AB147">
            <v>14</v>
          </cell>
          <cell r="AC147">
            <v>1106000</v>
          </cell>
        </row>
        <row r="148">
          <cell r="B148" t="str">
            <v>의류</v>
          </cell>
          <cell r="C148">
            <v>142</v>
          </cell>
          <cell r="F148" t="str">
            <v>I0YV201</v>
          </cell>
          <cell r="G148">
            <v>36</v>
          </cell>
          <cell r="AB148">
            <v>14</v>
          </cell>
          <cell r="AC148">
            <v>1606000</v>
          </cell>
        </row>
        <row r="149">
          <cell r="B149" t="str">
            <v>의류</v>
          </cell>
          <cell r="C149">
            <v>142</v>
          </cell>
          <cell r="F149" t="str">
            <v>INY1207</v>
          </cell>
          <cell r="G149">
            <v>34</v>
          </cell>
          <cell r="AB149">
            <v>14</v>
          </cell>
          <cell r="AC149">
            <v>936000</v>
          </cell>
        </row>
        <row r="150">
          <cell r="B150" t="str">
            <v>의류</v>
          </cell>
          <cell r="C150">
            <v>142</v>
          </cell>
          <cell r="F150" t="str">
            <v>ITY1204</v>
          </cell>
          <cell r="G150">
            <v>34</v>
          </cell>
          <cell r="AB150">
            <v>14</v>
          </cell>
          <cell r="AC150">
            <v>546000</v>
          </cell>
        </row>
        <row r="151">
          <cell r="B151" t="str">
            <v>의류</v>
          </cell>
          <cell r="C151">
            <v>142</v>
          </cell>
          <cell r="F151" t="str">
            <v>ITY8202</v>
          </cell>
          <cell r="G151">
            <v>76</v>
          </cell>
          <cell r="AB151">
            <v>14</v>
          </cell>
          <cell r="AC151">
            <v>966000</v>
          </cell>
        </row>
        <row r="152">
          <cell r="B152" t="str">
            <v>의류</v>
          </cell>
          <cell r="C152">
            <v>142</v>
          </cell>
          <cell r="F152" t="str">
            <v>P0Y1206</v>
          </cell>
          <cell r="G152">
            <v>66</v>
          </cell>
          <cell r="AB152">
            <v>14</v>
          </cell>
          <cell r="AC152">
            <v>846000</v>
          </cell>
        </row>
        <row r="153">
          <cell r="B153" t="str">
            <v>의류</v>
          </cell>
          <cell r="C153">
            <v>142</v>
          </cell>
          <cell r="F153" t="str">
            <v>P0YQ202</v>
          </cell>
          <cell r="G153">
            <v>49</v>
          </cell>
          <cell r="AB153">
            <v>14</v>
          </cell>
          <cell r="AC153">
            <v>1395900</v>
          </cell>
        </row>
        <row r="154">
          <cell r="B154" t="str">
            <v>의류</v>
          </cell>
          <cell r="C154">
            <v>142</v>
          </cell>
          <cell r="F154" t="str">
            <v>PTY8101</v>
          </cell>
          <cell r="G154">
            <v>49</v>
          </cell>
          <cell r="AB154">
            <v>14</v>
          </cell>
          <cell r="AC154">
            <v>1246000</v>
          </cell>
        </row>
        <row r="155">
          <cell r="B155" t="str">
            <v>의류</v>
          </cell>
          <cell r="C155">
            <v>153</v>
          </cell>
          <cell r="F155" t="str">
            <v>I0Y1201</v>
          </cell>
          <cell r="G155">
            <v>73</v>
          </cell>
          <cell r="AB155">
            <v>13</v>
          </cell>
          <cell r="AC155">
            <v>487000</v>
          </cell>
        </row>
        <row r="156">
          <cell r="B156" t="str">
            <v>의류</v>
          </cell>
          <cell r="C156">
            <v>153</v>
          </cell>
          <cell r="F156" t="str">
            <v>I0Y1205</v>
          </cell>
          <cell r="G156">
            <v>34</v>
          </cell>
          <cell r="AB156">
            <v>13</v>
          </cell>
          <cell r="AC156">
            <v>767000</v>
          </cell>
        </row>
        <row r="157">
          <cell r="B157" t="str">
            <v>의류</v>
          </cell>
          <cell r="C157">
            <v>153</v>
          </cell>
          <cell r="F157" t="str">
            <v>I0Y1210</v>
          </cell>
          <cell r="G157">
            <v>49</v>
          </cell>
          <cell r="AB157">
            <v>13</v>
          </cell>
          <cell r="AC157">
            <v>897000</v>
          </cell>
        </row>
        <row r="158">
          <cell r="B158" t="str">
            <v>의류</v>
          </cell>
          <cell r="C158">
            <v>153</v>
          </cell>
          <cell r="F158" t="str">
            <v>I0Y1214</v>
          </cell>
          <cell r="G158">
            <v>34</v>
          </cell>
          <cell r="AB158">
            <v>13</v>
          </cell>
          <cell r="AC158">
            <v>1027000</v>
          </cell>
        </row>
        <row r="159">
          <cell r="B159" t="str">
            <v>의류</v>
          </cell>
          <cell r="C159">
            <v>153</v>
          </cell>
          <cell r="F159" t="str">
            <v>I0Y7105</v>
          </cell>
          <cell r="G159">
            <v>39</v>
          </cell>
          <cell r="AB159">
            <v>13</v>
          </cell>
          <cell r="AC159">
            <v>1417000</v>
          </cell>
        </row>
        <row r="160">
          <cell r="B160" t="str">
            <v>의류</v>
          </cell>
          <cell r="C160">
            <v>153</v>
          </cell>
          <cell r="F160" t="str">
            <v>ITY1204</v>
          </cell>
          <cell r="G160">
            <v>49</v>
          </cell>
          <cell r="AB160">
            <v>13</v>
          </cell>
          <cell r="AC160">
            <v>507000</v>
          </cell>
        </row>
        <row r="161">
          <cell r="B161" t="str">
            <v>의류</v>
          </cell>
          <cell r="C161">
            <v>153</v>
          </cell>
          <cell r="F161" t="str">
            <v>P0Y1201</v>
          </cell>
          <cell r="G161">
            <v>76</v>
          </cell>
          <cell r="AB161">
            <v>13</v>
          </cell>
          <cell r="AC161">
            <v>487000</v>
          </cell>
        </row>
        <row r="162">
          <cell r="B162" t="str">
            <v>의류</v>
          </cell>
          <cell r="C162">
            <v>153</v>
          </cell>
          <cell r="F162" t="str">
            <v>P0Y1202</v>
          </cell>
          <cell r="G162">
            <v>66</v>
          </cell>
          <cell r="AB162">
            <v>13</v>
          </cell>
          <cell r="AC162">
            <v>637000</v>
          </cell>
        </row>
        <row r="163">
          <cell r="B163" t="str">
            <v>의류</v>
          </cell>
          <cell r="C163">
            <v>153</v>
          </cell>
          <cell r="F163" t="str">
            <v>P0Y1214</v>
          </cell>
          <cell r="G163">
            <v>49</v>
          </cell>
          <cell r="AB163">
            <v>13</v>
          </cell>
          <cell r="AC163">
            <v>997000</v>
          </cell>
        </row>
        <row r="164">
          <cell r="B164" t="str">
            <v>의류</v>
          </cell>
          <cell r="C164">
            <v>153</v>
          </cell>
          <cell r="F164" t="str">
            <v>P0Y1224</v>
          </cell>
          <cell r="G164">
            <v>49</v>
          </cell>
          <cell r="AB164">
            <v>13</v>
          </cell>
          <cell r="AC164">
            <v>1157000</v>
          </cell>
        </row>
        <row r="165">
          <cell r="B165" t="str">
            <v>의류</v>
          </cell>
          <cell r="C165">
            <v>153</v>
          </cell>
          <cell r="F165" t="str">
            <v>P0Y7201</v>
          </cell>
          <cell r="G165">
            <v>53</v>
          </cell>
          <cell r="AB165">
            <v>13</v>
          </cell>
          <cell r="AC165">
            <v>1011200</v>
          </cell>
        </row>
        <row r="166">
          <cell r="B166" t="str">
            <v>의류</v>
          </cell>
          <cell r="C166">
            <v>153</v>
          </cell>
          <cell r="F166" t="str">
            <v>P0YQ201</v>
          </cell>
          <cell r="G166">
            <v>49</v>
          </cell>
          <cell r="AB166">
            <v>13</v>
          </cell>
          <cell r="AC166">
            <v>1247400</v>
          </cell>
        </row>
        <row r="167">
          <cell r="B167" t="str">
            <v>의류</v>
          </cell>
          <cell r="C167">
            <v>153</v>
          </cell>
          <cell r="F167" t="str">
            <v>P0YV202</v>
          </cell>
          <cell r="G167">
            <v>66</v>
          </cell>
          <cell r="AB167">
            <v>13</v>
          </cell>
          <cell r="AC167">
            <v>1503200</v>
          </cell>
        </row>
        <row r="168">
          <cell r="B168" t="str">
            <v>의류</v>
          </cell>
          <cell r="C168">
            <v>166</v>
          </cell>
          <cell r="F168" t="str">
            <v>I0YV201</v>
          </cell>
          <cell r="G168">
            <v>49</v>
          </cell>
          <cell r="AB168">
            <v>12</v>
          </cell>
          <cell r="AC168">
            <v>1428000</v>
          </cell>
        </row>
        <row r="169">
          <cell r="B169" t="str">
            <v>의류</v>
          </cell>
          <cell r="C169">
            <v>166</v>
          </cell>
          <cell r="F169" t="str">
            <v>ITY8201</v>
          </cell>
          <cell r="G169">
            <v>73</v>
          </cell>
          <cell r="AB169">
            <v>12</v>
          </cell>
          <cell r="AC169">
            <v>808000</v>
          </cell>
        </row>
        <row r="170">
          <cell r="B170" t="str">
            <v>의류</v>
          </cell>
          <cell r="C170">
            <v>166</v>
          </cell>
          <cell r="F170" t="str">
            <v>P0Y1218</v>
          </cell>
          <cell r="G170">
            <v>49</v>
          </cell>
          <cell r="AB170">
            <v>12</v>
          </cell>
          <cell r="AC170">
            <v>466050</v>
          </cell>
        </row>
        <row r="171">
          <cell r="B171" t="str">
            <v>의류</v>
          </cell>
          <cell r="C171">
            <v>166</v>
          </cell>
          <cell r="F171" t="str">
            <v>P0YV201</v>
          </cell>
          <cell r="G171">
            <v>27</v>
          </cell>
          <cell r="AB171">
            <v>12</v>
          </cell>
          <cell r="AC171">
            <v>1398000</v>
          </cell>
        </row>
        <row r="172">
          <cell r="B172" t="str">
            <v>의류</v>
          </cell>
          <cell r="C172">
            <v>166</v>
          </cell>
          <cell r="F172" t="str">
            <v>PNY1204</v>
          </cell>
          <cell r="G172">
            <v>23</v>
          </cell>
          <cell r="AB172">
            <v>12</v>
          </cell>
          <cell r="AC172">
            <v>828000</v>
          </cell>
        </row>
        <row r="173">
          <cell r="B173" t="str">
            <v>의류</v>
          </cell>
          <cell r="C173">
            <v>166</v>
          </cell>
          <cell r="F173" t="str">
            <v>PNYQ201</v>
          </cell>
          <cell r="G173">
            <v>41</v>
          </cell>
          <cell r="AB173">
            <v>12</v>
          </cell>
          <cell r="AC173">
            <v>1188000</v>
          </cell>
        </row>
        <row r="174">
          <cell r="B174" t="str">
            <v>의류</v>
          </cell>
          <cell r="C174">
            <v>166</v>
          </cell>
          <cell r="F174" t="str">
            <v>PTY7101</v>
          </cell>
          <cell r="G174">
            <v>34</v>
          </cell>
          <cell r="AB174">
            <v>12</v>
          </cell>
          <cell r="AC174">
            <v>468000</v>
          </cell>
        </row>
        <row r="175">
          <cell r="B175" t="str">
            <v>의류</v>
          </cell>
          <cell r="C175">
            <v>166</v>
          </cell>
          <cell r="F175" t="str">
            <v>PTY8203</v>
          </cell>
          <cell r="G175">
            <v>49</v>
          </cell>
          <cell r="AB175">
            <v>12</v>
          </cell>
          <cell r="AC175">
            <v>1018000</v>
          </cell>
        </row>
        <row r="176">
          <cell r="B176" t="str">
            <v>의류</v>
          </cell>
          <cell r="C176">
            <v>174</v>
          </cell>
          <cell r="F176" t="str">
            <v>I0Y1206</v>
          </cell>
          <cell r="G176">
            <v>31</v>
          </cell>
          <cell r="AB176">
            <v>11</v>
          </cell>
          <cell r="AC176">
            <v>869000</v>
          </cell>
        </row>
        <row r="177">
          <cell r="B177" t="str">
            <v>의류</v>
          </cell>
          <cell r="C177">
            <v>174</v>
          </cell>
          <cell r="F177" t="str">
            <v>I0Y1209</v>
          </cell>
          <cell r="G177">
            <v>49</v>
          </cell>
          <cell r="AB177">
            <v>11</v>
          </cell>
          <cell r="AC177">
            <v>809000</v>
          </cell>
        </row>
        <row r="178">
          <cell r="B178" t="str">
            <v>의류</v>
          </cell>
          <cell r="C178">
            <v>174</v>
          </cell>
          <cell r="F178" t="str">
            <v>I0Y7206</v>
          </cell>
          <cell r="G178">
            <v>45</v>
          </cell>
          <cell r="AB178">
            <v>11</v>
          </cell>
          <cell r="AC178">
            <v>759000</v>
          </cell>
        </row>
        <row r="179">
          <cell r="B179" t="str">
            <v>의류</v>
          </cell>
          <cell r="C179">
            <v>174</v>
          </cell>
          <cell r="F179" t="str">
            <v>ITY1202</v>
          </cell>
          <cell r="G179">
            <v>34</v>
          </cell>
          <cell r="AB179">
            <v>11</v>
          </cell>
          <cell r="AC179">
            <v>979000</v>
          </cell>
        </row>
        <row r="180">
          <cell r="B180" t="str">
            <v>의류</v>
          </cell>
          <cell r="C180">
            <v>174</v>
          </cell>
          <cell r="F180" t="str">
            <v>P0YQ201</v>
          </cell>
          <cell r="G180">
            <v>31</v>
          </cell>
          <cell r="AB180">
            <v>11</v>
          </cell>
          <cell r="AC180">
            <v>1049200</v>
          </cell>
        </row>
        <row r="181">
          <cell r="B181" t="str">
            <v>의류</v>
          </cell>
          <cell r="C181">
            <v>174</v>
          </cell>
          <cell r="F181" t="str">
            <v>PTY8101</v>
          </cell>
          <cell r="G181">
            <v>43</v>
          </cell>
          <cell r="AB181">
            <v>11</v>
          </cell>
          <cell r="AC181">
            <v>979000</v>
          </cell>
        </row>
        <row r="182">
          <cell r="B182" t="str">
            <v>의류</v>
          </cell>
          <cell r="C182">
            <v>174</v>
          </cell>
          <cell r="F182" t="str">
            <v>PTY8101</v>
          </cell>
          <cell r="G182">
            <v>73</v>
          </cell>
          <cell r="AB182">
            <v>11</v>
          </cell>
          <cell r="AC182">
            <v>979000</v>
          </cell>
        </row>
        <row r="183">
          <cell r="B183" t="str">
            <v>의류</v>
          </cell>
          <cell r="C183">
            <v>174</v>
          </cell>
          <cell r="F183" t="str">
            <v>PTY8205</v>
          </cell>
          <cell r="G183">
            <v>49</v>
          </cell>
          <cell r="AB183">
            <v>11</v>
          </cell>
          <cell r="AC183">
            <v>961200</v>
          </cell>
        </row>
        <row r="184">
          <cell r="B184" t="str">
            <v>의류</v>
          </cell>
          <cell r="C184">
            <v>182</v>
          </cell>
          <cell r="F184" t="str">
            <v>I0Y1210</v>
          </cell>
          <cell r="G184">
            <v>73</v>
          </cell>
          <cell r="AB184">
            <v>10</v>
          </cell>
          <cell r="AC184">
            <v>676200</v>
          </cell>
        </row>
        <row r="185">
          <cell r="B185" t="str">
            <v>의류</v>
          </cell>
          <cell r="C185">
            <v>182</v>
          </cell>
          <cell r="F185" t="str">
            <v>I0Y1212</v>
          </cell>
          <cell r="G185">
            <v>45</v>
          </cell>
          <cell r="AB185">
            <v>10</v>
          </cell>
          <cell r="AC185">
            <v>590000</v>
          </cell>
        </row>
        <row r="186">
          <cell r="B186" t="str">
            <v>의류</v>
          </cell>
          <cell r="C186">
            <v>182</v>
          </cell>
          <cell r="F186" t="str">
            <v>INY1201</v>
          </cell>
          <cell r="G186">
            <v>76</v>
          </cell>
          <cell r="AB186">
            <v>10</v>
          </cell>
          <cell r="AC186">
            <v>690000</v>
          </cell>
        </row>
        <row r="187">
          <cell r="B187" t="str">
            <v>의류</v>
          </cell>
          <cell r="C187">
            <v>182</v>
          </cell>
          <cell r="F187" t="str">
            <v>INY1204</v>
          </cell>
          <cell r="G187">
            <v>31</v>
          </cell>
          <cell r="AB187">
            <v>10</v>
          </cell>
          <cell r="AC187">
            <v>496900</v>
          </cell>
        </row>
        <row r="188">
          <cell r="B188" t="str">
            <v>의류</v>
          </cell>
          <cell r="C188">
            <v>182</v>
          </cell>
          <cell r="F188" t="str">
            <v>ITY9202</v>
          </cell>
          <cell r="G188">
            <v>49</v>
          </cell>
          <cell r="AB188">
            <v>10</v>
          </cell>
          <cell r="AC188">
            <v>1754200</v>
          </cell>
        </row>
        <row r="189">
          <cell r="B189" t="str">
            <v>의류</v>
          </cell>
          <cell r="C189">
            <v>182</v>
          </cell>
          <cell r="F189" t="str">
            <v>P0Y7208</v>
          </cell>
          <cell r="G189">
            <v>27</v>
          </cell>
          <cell r="AB189">
            <v>10</v>
          </cell>
          <cell r="AC189">
            <v>690000</v>
          </cell>
        </row>
        <row r="190">
          <cell r="B190" t="str">
            <v>의류</v>
          </cell>
          <cell r="C190">
            <v>182</v>
          </cell>
          <cell r="F190" t="str">
            <v>PNY7201</v>
          </cell>
          <cell r="G190">
            <v>32</v>
          </cell>
          <cell r="AB190">
            <v>10</v>
          </cell>
          <cell r="AC190">
            <v>890000</v>
          </cell>
        </row>
        <row r="191">
          <cell r="B191" t="str">
            <v>의류</v>
          </cell>
          <cell r="C191">
            <v>182</v>
          </cell>
          <cell r="F191" t="str">
            <v>PTY6201</v>
          </cell>
          <cell r="G191">
            <v>27</v>
          </cell>
          <cell r="AB191">
            <v>10</v>
          </cell>
          <cell r="AC191">
            <v>1190000</v>
          </cell>
        </row>
        <row r="192">
          <cell r="B192" t="str">
            <v>의류</v>
          </cell>
          <cell r="C192">
            <v>190</v>
          </cell>
          <cell r="F192" t="str">
            <v>I0Y1203</v>
          </cell>
          <cell r="G192">
            <v>22</v>
          </cell>
          <cell r="AB192">
            <v>9</v>
          </cell>
          <cell r="AC192">
            <v>681000</v>
          </cell>
        </row>
        <row r="193">
          <cell r="B193" t="str">
            <v>의류</v>
          </cell>
          <cell r="C193">
            <v>190</v>
          </cell>
          <cell r="F193" t="str">
            <v>I0Y1206</v>
          </cell>
          <cell r="G193">
            <v>39</v>
          </cell>
          <cell r="AB193">
            <v>9</v>
          </cell>
          <cell r="AC193">
            <v>698900</v>
          </cell>
        </row>
        <row r="194">
          <cell r="B194" t="str">
            <v>의류</v>
          </cell>
          <cell r="C194">
            <v>190</v>
          </cell>
          <cell r="F194" t="str">
            <v>ITY1203</v>
          </cell>
          <cell r="G194">
            <v>49</v>
          </cell>
          <cell r="AB194">
            <v>9</v>
          </cell>
          <cell r="AC194">
            <v>421000</v>
          </cell>
        </row>
        <row r="195">
          <cell r="B195" t="str">
            <v>의류</v>
          </cell>
          <cell r="C195">
            <v>190</v>
          </cell>
          <cell r="F195" t="str">
            <v>ITY7102</v>
          </cell>
          <cell r="G195">
            <v>45</v>
          </cell>
          <cell r="AB195">
            <v>9</v>
          </cell>
          <cell r="AC195">
            <v>621000</v>
          </cell>
        </row>
        <row r="196">
          <cell r="B196" t="str">
            <v>의류</v>
          </cell>
          <cell r="C196">
            <v>190</v>
          </cell>
          <cell r="F196" t="str">
            <v>ITY8202</v>
          </cell>
          <cell r="G196">
            <v>49</v>
          </cell>
          <cell r="AB196">
            <v>9</v>
          </cell>
          <cell r="AC196">
            <v>621000</v>
          </cell>
        </row>
        <row r="197">
          <cell r="B197" t="str">
            <v>의류</v>
          </cell>
          <cell r="C197">
            <v>190</v>
          </cell>
          <cell r="F197" t="str">
            <v>P0Y1201</v>
          </cell>
          <cell r="G197">
            <v>41</v>
          </cell>
          <cell r="AB197">
            <v>9</v>
          </cell>
          <cell r="AC197">
            <v>351000</v>
          </cell>
        </row>
        <row r="198">
          <cell r="B198" t="str">
            <v>의류</v>
          </cell>
          <cell r="C198">
            <v>190</v>
          </cell>
          <cell r="F198" t="str">
            <v>P0Y7206</v>
          </cell>
          <cell r="G198">
            <v>31</v>
          </cell>
          <cell r="AB198">
            <v>9</v>
          </cell>
          <cell r="AC198">
            <v>597900</v>
          </cell>
        </row>
        <row r="199">
          <cell r="B199" t="str">
            <v>의류</v>
          </cell>
          <cell r="C199">
            <v>190</v>
          </cell>
          <cell r="F199" t="str">
            <v>P0Y7208</v>
          </cell>
          <cell r="G199">
            <v>45</v>
          </cell>
          <cell r="AB199">
            <v>9</v>
          </cell>
          <cell r="AC199">
            <v>621000</v>
          </cell>
        </row>
        <row r="200">
          <cell r="B200" t="str">
            <v>의류</v>
          </cell>
          <cell r="C200">
            <v>190</v>
          </cell>
          <cell r="F200" t="str">
            <v>P0YV202</v>
          </cell>
          <cell r="G200">
            <v>31</v>
          </cell>
          <cell r="AB200">
            <v>9</v>
          </cell>
          <cell r="AC200">
            <v>1071000</v>
          </cell>
        </row>
        <row r="201">
          <cell r="B201" t="str">
            <v>의류</v>
          </cell>
          <cell r="C201">
            <v>190</v>
          </cell>
          <cell r="F201" t="str">
            <v>PNY1201</v>
          </cell>
          <cell r="G201">
            <v>39</v>
          </cell>
          <cell r="AB201">
            <v>9</v>
          </cell>
          <cell r="AC201">
            <v>531000</v>
          </cell>
        </row>
        <row r="202">
          <cell r="B202" t="str">
            <v>의류</v>
          </cell>
          <cell r="C202">
            <v>190</v>
          </cell>
          <cell r="F202" t="str">
            <v>PNY7202</v>
          </cell>
          <cell r="G202">
            <v>31</v>
          </cell>
          <cell r="AB202">
            <v>9</v>
          </cell>
          <cell r="AC202">
            <v>981000</v>
          </cell>
        </row>
        <row r="203">
          <cell r="B203" t="str">
            <v>의류</v>
          </cell>
          <cell r="C203">
            <v>190</v>
          </cell>
          <cell r="F203" t="str">
            <v>PTY7201</v>
          </cell>
          <cell r="G203">
            <v>54</v>
          </cell>
          <cell r="AB203">
            <v>9</v>
          </cell>
          <cell r="AC203">
            <v>501000</v>
          </cell>
        </row>
        <row r="204">
          <cell r="B204" t="str">
            <v>의류</v>
          </cell>
          <cell r="C204">
            <v>202</v>
          </cell>
          <cell r="F204" t="str">
            <v>I0Y1207</v>
          </cell>
          <cell r="G204">
            <v>43</v>
          </cell>
          <cell r="AB204">
            <v>8</v>
          </cell>
          <cell r="AC204">
            <v>472000</v>
          </cell>
        </row>
        <row r="205">
          <cell r="B205" t="str">
            <v>의류</v>
          </cell>
          <cell r="C205">
            <v>202</v>
          </cell>
          <cell r="F205" t="str">
            <v>I0Y7202</v>
          </cell>
          <cell r="G205">
            <v>43</v>
          </cell>
          <cell r="AB205">
            <v>8</v>
          </cell>
          <cell r="AC205">
            <v>628050</v>
          </cell>
        </row>
        <row r="206">
          <cell r="B206" t="str">
            <v>의류</v>
          </cell>
          <cell r="C206">
            <v>202</v>
          </cell>
          <cell r="F206" t="str">
            <v>I0Y7205</v>
          </cell>
          <cell r="G206">
            <v>31</v>
          </cell>
          <cell r="AB206">
            <v>8</v>
          </cell>
          <cell r="AC206">
            <v>392000</v>
          </cell>
        </row>
        <row r="207">
          <cell r="B207" t="str">
            <v>의류</v>
          </cell>
          <cell r="C207">
            <v>202</v>
          </cell>
          <cell r="F207" t="str">
            <v>INY7202</v>
          </cell>
          <cell r="G207">
            <v>37</v>
          </cell>
          <cell r="AB207">
            <v>8</v>
          </cell>
          <cell r="AC207">
            <v>872000</v>
          </cell>
        </row>
        <row r="208">
          <cell r="B208" t="str">
            <v>의류</v>
          </cell>
          <cell r="C208">
            <v>202</v>
          </cell>
          <cell r="F208" t="str">
            <v>ITY9206</v>
          </cell>
          <cell r="G208">
            <v>49</v>
          </cell>
          <cell r="AB208">
            <v>8</v>
          </cell>
          <cell r="AC208">
            <v>1512000</v>
          </cell>
        </row>
        <row r="209">
          <cell r="B209" t="str">
            <v>의류</v>
          </cell>
          <cell r="C209">
            <v>202</v>
          </cell>
          <cell r="F209" t="str">
            <v>P0Y1202</v>
          </cell>
          <cell r="G209">
            <v>45</v>
          </cell>
          <cell r="AB209">
            <v>8</v>
          </cell>
          <cell r="AC209">
            <v>362000</v>
          </cell>
        </row>
        <row r="210">
          <cell r="B210" t="str">
            <v>의류</v>
          </cell>
          <cell r="C210">
            <v>202</v>
          </cell>
          <cell r="F210" t="str">
            <v>P0Y1211</v>
          </cell>
          <cell r="G210">
            <v>71</v>
          </cell>
          <cell r="AB210">
            <v>8</v>
          </cell>
          <cell r="AC210">
            <v>522000</v>
          </cell>
        </row>
        <row r="211">
          <cell r="B211" t="str">
            <v>의류</v>
          </cell>
          <cell r="C211">
            <v>202</v>
          </cell>
          <cell r="F211" t="str">
            <v>P0Y1216</v>
          </cell>
          <cell r="G211">
            <v>76</v>
          </cell>
          <cell r="AB211">
            <v>8</v>
          </cell>
          <cell r="AC211">
            <v>472000</v>
          </cell>
        </row>
        <row r="212">
          <cell r="B212" t="str">
            <v>의류</v>
          </cell>
          <cell r="C212">
            <v>202</v>
          </cell>
          <cell r="F212" t="str">
            <v>P0Y1222</v>
          </cell>
          <cell r="G212">
            <v>73</v>
          </cell>
          <cell r="AB212">
            <v>8</v>
          </cell>
          <cell r="AC212">
            <v>472000</v>
          </cell>
        </row>
        <row r="213">
          <cell r="B213" t="str">
            <v>의류</v>
          </cell>
          <cell r="C213">
            <v>202</v>
          </cell>
          <cell r="F213" t="str">
            <v>P0Y6101</v>
          </cell>
          <cell r="G213">
            <v>43</v>
          </cell>
          <cell r="AB213">
            <v>8</v>
          </cell>
          <cell r="AC213">
            <v>1112000</v>
          </cell>
        </row>
        <row r="214">
          <cell r="B214" t="str">
            <v>의류</v>
          </cell>
          <cell r="C214">
            <v>202</v>
          </cell>
          <cell r="F214" t="str">
            <v>P0YV203</v>
          </cell>
          <cell r="G214">
            <v>54</v>
          </cell>
          <cell r="AB214">
            <v>8</v>
          </cell>
          <cell r="AC214">
            <v>952000</v>
          </cell>
        </row>
        <row r="215">
          <cell r="B215" t="str">
            <v>의류</v>
          </cell>
          <cell r="C215">
            <v>202</v>
          </cell>
          <cell r="F215" t="str">
            <v>PNY7203</v>
          </cell>
          <cell r="G215">
            <v>39</v>
          </cell>
          <cell r="AB215">
            <v>8</v>
          </cell>
          <cell r="AC215">
            <v>552000</v>
          </cell>
        </row>
        <row r="216">
          <cell r="B216" t="str">
            <v>의류</v>
          </cell>
          <cell r="C216">
            <v>202</v>
          </cell>
          <cell r="F216" t="str">
            <v>PTY7202</v>
          </cell>
          <cell r="G216">
            <v>54</v>
          </cell>
          <cell r="AB216">
            <v>8</v>
          </cell>
          <cell r="AC216">
            <v>522000</v>
          </cell>
        </row>
        <row r="217">
          <cell r="B217" t="str">
            <v>의류</v>
          </cell>
          <cell r="C217">
            <v>202</v>
          </cell>
          <cell r="F217" t="str">
            <v>PTY8204</v>
          </cell>
          <cell r="G217">
            <v>27</v>
          </cell>
          <cell r="AB217">
            <v>8</v>
          </cell>
          <cell r="AC217">
            <v>757050</v>
          </cell>
        </row>
        <row r="218">
          <cell r="B218" t="str">
            <v>의류</v>
          </cell>
          <cell r="C218">
            <v>216</v>
          </cell>
          <cell r="F218" t="str">
            <v>I0Y1204</v>
          </cell>
          <cell r="G218">
            <v>66</v>
          </cell>
          <cell r="AB218">
            <v>7</v>
          </cell>
          <cell r="AC218">
            <v>353000</v>
          </cell>
        </row>
        <row r="219">
          <cell r="B219" t="str">
            <v>의류</v>
          </cell>
          <cell r="C219">
            <v>216</v>
          </cell>
          <cell r="F219" t="str">
            <v>I0Y1207</v>
          </cell>
          <cell r="G219">
            <v>63</v>
          </cell>
          <cell r="AB219">
            <v>7</v>
          </cell>
          <cell r="AC219">
            <v>413000</v>
          </cell>
        </row>
        <row r="220">
          <cell r="B220" t="str">
            <v>의류</v>
          </cell>
          <cell r="C220">
            <v>216</v>
          </cell>
          <cell r="F220" t="str">
            <v>I0Y6101</v>
          </cell>
          <cell r="G220">
            <v>49</v>
          </cell>
          <cell r="AB220">
            <v>7</v>
          </cell>
          <cell r="AC220">
            <v>973000</v>
          </cell>
        </row>
        <row r="221">
          <cell r="B221" t="str">
            <v>의류</v>
          </cell>
          <cell r="C221">
            <v>216</v>
          </cell>
          <cell r="F221" t="str">
            <v>I0Y6202</v>
          </cell>
          <cell r="G221">
            <v>49</v>
          </cell>
          <cell r="AB221">
            <v>7</v>
          </cell>
          <cell r="AC221">
            <v>943000</v>
          </cell>
        </row>
        <row r="222">
          <cell r="B222" t="str">
            <v>의류</v>
          </cell>
          <cell r="C222">
            <v>216</v>
          </cell>
          <cell r="F222" t="str">
            <v>INY1206</v>
          </cell>
          <cell r="G222">
            <v>41</v>
          </cell>
          <cell r="AB222">
            <v>7</v>
          </cell>
          <cell r="AC222">
            <v>553000</v>
          </cell>
        </row>
        <row r="223">
          <cell r="B223" t="str">
            <v>의류</v>
          </cell>
          <cell r="C223">
            <v>216</v>
          </cell>
          <cell r="F223" t="str">
            <v>ITY1101</v>
          </cell>
          <cell r="G223">
            <v>43</v>
          </cell>
          <cell r="AB223">
            <v>7</v>
          </cell>
          <cell r="AC223">
            <v>413000</v>
          </cell>
        </row>
        <row r="224">
          <cell r="B224" t="str">
            <v>의류</v>
          </cell>
          <cell r="C224">
            <v>216</v>
          </cell>
          <cell r="F224" t="str">
            <v>ITY1102</v>
          </cell>
          <cell r="G224">
            <v>49</v>
          </cell>
          <cell r="AB224">
            <v>7</v>
          </cell>
          <cell r="AC224">
            <v>673000</v>
          </cell>
        </row>
        <row r="225">
          <cell r="B225" t="str">
            <v>의류</v>
          </cell>
          <cell r="C225">
            <v>216</v>
          </cell>
          <cell r="F225" t="str">
            <v>ITY1203</v>
          </cell>
          <cell r="G225">
            <v>73</v>
          </cell>
          <cell r="AB225">
            <v>7</v>
          </cell>
          <cell r="AC225">
            <v>343000</v>
          </cell>
        </row>
        <row r="226">
          <cell r="B226" t="str">
            <v>의류</v>
          </cell>
          <cell r="C226">
            <v>216</v>
          </cell>
          <cell r="F226" t="str">
            <v>ITY6202</v>
          </cell>
          <cell r="G226">
            <v>43</v>
          </cell>
          <cell r="AB226">
            <v>7</v>
          </cell>
          <cell r="AC226">
            <v>973000</v>
          </cell>
        </row>
        <row r="227">
          <cell r="B227" t="str">
            <v>의류</v>
          </cell>
          <cell r="C227">
            <v>216</v>
          </cell>
          <cell r="F227" t="str">
            <v>ITY7103</v>
          </cell>
          <cell r="G227">
            <v>49</v>
          </cell>
          <cell r="AB227">
            <v>7</v>
          </cell>
          <cell r="AC227">
            <v>643000</v>
          </cell>
        </row>
        <row r="228">
          <cell r="B228" t="str">
            <v>의류</v>
          </cell>
          <cell r="C228">
            <v>216</v>
          </cell>
          <cell r="F228" t="str">
            <v>ITY8103</v>
          </cell>
          <cell r="G228">
            <v>49</v>
          </cell>
          <cell r="AB228">
            <v>7</v>
          </cell>
          <cell r="AC228">
            <v>413000</v>
          </cell>
        </row>
        <row r="229">
          <cell r="B229" t="str">
            <v>의류</v>
          </cell>
          <cell r="C229">
            <v>216</v>
          </cell>
          <cell r="F229" t="str">
            <v>P0Y1212</v>
          </cell>
          <cell r="G229">
            <v>66</v>
          </cell>
          <cell r="AB229">
            <v>7</v>
          </cell>
          <cell r="AC229">
            <v>413000</v>
          </cell>
        </row>
        <row r="230">
          <cell r="B230" t="str">
            <v>의류</v>
          </cell>
          <cell r="C230">
            <v>216</v>
          </cell>
          <cell r="F230" t="str">
            <v>P0Y6201</v>
          </cell>
          <cell r="G230">
            <v>49</v>
          </cell>
          <cell r="AB230">
            <v>7</v>
          </cell>
          <cell r="AC230">
            <v>896550</v>
          </cell>
        </row>
        <row r="231">
          <cell r="B231" t="str">
            <v>의류</v>
          </cell>
          <cell r="C231">
            <v>216</v>
          </cell>
          <cell r="F231" t="str">
            <v>P0Y7204</v>
          </cell>
          <cell r="G231">
            <v>73</v>
          </cell>
          <cell r="AB231">
            <v>7</v>
          </cell>
          <cell r="AC231">
            <v>623000</v>
          </cell>
        </row>
        <row r="232">
          <cell r="B232" t="str">
            <v>의류</v>
          </cell>
          <cell r="C232">
            <v>216</v>
          </cell>
          <cell r="F232" t="str">
            <v>PNY1202</v>
          </cell>
          <cell r="G232">
            <v>23</v>
          </cell>
          <cell r="AB232">
            <v>7</v>
          </cell>
          <cell r="AC232">
            <v>483000</v>
          </cell>
        </row>
        <row r="233">
          <cell r="B233" t="str">
            <v>의류</v>
          </cell>
          <cell r="C233">
            <v>216</v>
          </cell>
          <cell r="F233" t="str">
            <v>PNY1203</v>
          </cell>
          <cell r="G233">
            <v>39</v>
          </cell>
          <cell r="AB233">
            <v>7</v>
          </cell>
          <cell r="AC233">
            <v>383000</v>
          </cell>
        </row>
        <row r="234">
          <cell r="B234" t="str">
            <v>의류</v>
          </cell>
          <cell r="C234">
            <v>216</v>
          </cell>
          <cell r="F234" t="str">
            <v>PNY7202</v>
          </cell>
          <cell r="G234">
            <v>34</v>
          </cell>
          <cell r="AB234">
            <v>7</v>
          </cell>
          <cell r="AC234">
            <v>721200</v>
          </cell>
        </row>
        <row r="235">
          <cell r="B235" t="str">
            <v>의류</v>
          </cell>
          <cell r="C235">
            <v>216</v>
          </cell>
          <cell r="F235" t="str">
            <v>PTY1205</v>
          </cell>
          <cell r="G235">
            <v>31</v>
          </cell>
          <cell r="AB235">
            <v>7</v>
          </cell>
          <cell r="AC235">
            <v>273000</v>
          </cell>
        </row>
        <row r="236">
          <cell r="B236" t="str">
            <v>의류</v>
          </cell>
          <cell r="C236">
            <v>216</v>
          </cell>
          <cell r="F236" t="str">
            <v>PTY7205</v>
          </cell>
          <cell r="G236">
            <v>39</v>
          </cell>
          <cell r="AB236">
            <v>7</v>
          </cell>
          <cell r="AC236">
            <v>403000</v>
          </cell>
        </row>
        <row r="237">
          <cell r="B237" t="str">
            <v>의류</v>
          </cell>
          <cell r="C237">
            <v>235</v>
          </cell>
          <cell r="F237" t="str">
            <v>I0Y1205</v>
          </cell>
          <cell r="G237">
            <v>31</v>
          </cell>
          <cell r="AB237">
            <v>6</v>
          </cell>
          <cell r="AC237">
            <v>354000</v>
          </cell>
        </row>
        <row r="238">
          <cell r="B238" t="str">
            <v>의류</v>
          </cell>
          <cell r="C238">
            <v>235</v>
          </cell>
          <cell r="F238" t="str">
            <v>I0Y6202</v>
          </cell>
          <cell r="G238">
            <v>32</v>
          </cell>
          <cell r="AB238">
            <v>6</v>
          </cell>
          <cell r="AC238">
            <v>834000</v>
          </cell>
        </row>
        <row r="239">
          <cell r="B239" t="str">
            <v>의류</v>
          </cell>
          <cell r="C239">
            <v>235</v>
          </cell>
          <cell r="F239" t="str">
            <v>I0Y7104</v>
          </cell>
          <cell r="G239">
            <v>32</v>
          </cell>
          <cell r="AB239">
            <v>6</v>
          </cell>
          <cell r="AC239">
            <v>504000</v>
          </cell>
        </row>
        <row r="240">
          <cell r="B240" t="str">
            <v>의류</v>
          </cell>
          <cell r="C240">
            <v>235</v>
          </cell>
          <cell r="F240" t="str">
            <v>I0Y7104</v>
          </cell>
          <cell r="G240">
            <v>49</v>
          </cell>
          <cell r="AB240">
            <v>6</v>
          </cell>
          <cell r="AC240">
            <v>534000</v>
          </cell>
        </row>
        <row r="241">
          <cell r="B241" t="str">
            <v>의류</v>
          </cell>
          <cell r="C241">
            <v>235</v>
          </cell>
          <cell r="F241" t="str">
            <v>INY1101</v>
          </cell>
          <cell r="G241">
            <v>31</v>
          </cell>
          <cell r="AB241">
            <v>6</v>
          </cell>
          <cell r="AC241">
            <v>414000</v>
          </cell>
        </row>
        <row r="242">
          <cell r="B242" t="str">
            <v>의류</v>
          </cell>
          <cell r="C242">
            <v>235</v>
          </cell>
          <cell r="F242" t="str">
            <v>INY6201</v>
          </cell>
          <cell r="G242">
            <v>31</v>
          </cell>
          <cell r="AB242">
            <v>6</v>
          </cell>
          <cell r="AC242">
            <v>894000</v>
          </cell>
        </row>
        <row r="243">
          <cell r="B243" t="str">
            <v>의류</v>
          </cell>
          <cell r="C243">
            <v>235</v>
          </cell>
          <cell r="F243" t="str">
            <v>INY6201</v>
          </cell>
          <cell r="G243">
            <v>41</v>
          </cell>
          <cell r="AB243">
            <v>6</v>
          </cell>
          <cell r="AC243">
            <v>894000</v>
          </cell>
        </row>
        <row r="244">
          <cell r="B244" t="str">
            <v>의류</v>
          </cell>
          <cell r="C244">
            <v>235</v>
          </cell>
          <cell r="F244" t="str">
            <v>INY7203</v>
          </cell>
          <cell r="G244">
            <v>39</v>
          </cell>
          <cell r="AB244">
            <v>6</v>
          </cell>
          <cell r="AC244">
            <v>604000</v>
          </cell>
        </row>
        <row r="245">
          <cell r="B245" t="str">
            <v>의류</v>
          </cell>
          <cell r="C245">
            <v>235</v>
          </cell>
          <cell r="F245" t="str">
            <v>ITY7101</v>
          </cell>
          <cell r="G245">
            <v>49</v>
          </cell>
          <cell r="AB245">
            <v>6</v>
          </cell>
          <cell r="AC245">
            <v>474000</v>
          </cell>
        </row>
        <row r="246">
          <cell r="B246" t="str">
            <v>의류</v>
          </cell>
          <cell r="C246">
            <v>235</v>
          </cell>
          <cell r="F246" t="str">
            <v>P0Y1106</v>
          </cell>
          <cell r="G246">
            <v>49</v>
          </cell>
          <cell r="AB246">
            <v>6</v>
          </cell>
          <cell r="AC246">
            <v>474000</v>
          </cell>
        </row>
        <row r="247">
          <cell r="B247" t="str">
            <v>의류</v>
          </cell>
          <cell r="C247">
            <v>235</v>
          </cell>
          <cell r="F247" t="str">
            <v>P0Y6203</v>
          </cell>
          <cell r="G247">
            <v>63</v>
          </cell>
          <cell r="AB247">
            <v>6</v>
          </cell>
          <cell r="AC247">
            <v>744000</v>
          </cell>
        </row>
        <row r="248">
          <cell r="B248" t="str">
            <v>의류</v>
          </cell>
          <cell r="C248">
            <v>235</v>
          </cell>
          <cell r="F248" t="str">
            <v>P0YQ102</v>
          </cell>
          <cell r="G248">
            <v>34</v>
          </cell>
          <cell r="AB248">
            <v>6</v>
          </cell>
          <cell r="AC248">
            <v>574200</v>
          </cell>
        </row>
        <row r="249">
          <cell r="B249" t="str">
            <v>의류</v>
          </cell>
          <cell r="C249">
            <v>235</v>
          </cell>
          <cell r="F249" t="str">
            <v>PNY1201</v>
          </cell>
          <cell r="G249">
            <v>23</v>
          </cell>
          <cell r="AB249">
            <v>6</v>
          </cell>
          <cell r="AC249">
            <v>354000</v>
          </cell>
        </row>
        <row r="250">
          <cell r="B250" t="str">
            <v>의류</v>
          </cell>
          <cell r="C250">
            <v>235</v>
          </cell>
          <cell r="F250" t="str">
            <v>PNY1203</v>
          </cell>
          <cell r="G250">
            <v>31</v>
          </cell>
          <cell r="AB250">
            <v>6</v>
          </cell>
          <cell r="AC250">
            <v>322200</v>
          </cell>
        </row>
        <row r="251">
          <cell r="B251" t="str">
            <v>의류</v>
          </cell>
          <cell r="C251">
            <v>235</v>
          </cell>
          <cell r="F251" t="str">
            <v>PTY8102</v>
          </cell>
          <cell r="G251">
            <v>49</v>
          </cell>
          <cell r="AB251">
            <v>6</v>
          </cell>
          <cell r="AC251">
            <v>494000</v>
          </cell>
        </row>
        <row r="252">
          <cell r="B252" t="str">
            <v>의류</v>
          </cell>
          <cell r="C252">
            <v>235</v>
          </cell>
          <cell r="F252" t="str">
            <v>PTY8205</v>
          </cell>
          <cell r="G252">
            <v>61</v>
          </cell>
          <cell r="AB252">
            <v>6</v>
          </cell>
          <cell r="AC252">
            <v>534000</v>
          </cell>
        </row>
        <row r="253">
          <cell r="B253" t="str">
            <v>의류</v>
          </cell>
          <cell r="C253">
            <v>251</v>
          </cell>
          <cell r="F253" t="str">
            <v>I0Y1101</v>
          </cell>
          <cell r="G253">
            <v>31</v>
          </cell>
          <cell r="AB253">
            <v>5</v>
          </cell>
          <cell r="AC253">
            <v>195000</v>
          </cell>
        </row>
        <row r="254">
          <cell r="B254" t="str">
            <v>의류</v>
          </cell>
          <cell r="C254">
            <v>251</v>
          </cell>
          <cell r="F254" t="str">
            <v>I0Y7208</v>
          </cell>
          <cell r="G254">
            <v>34</v>
          </cell>
          <cell r="AB254">
            <v>5</v>
          </cell>
          <cell r="AC254">
            <v>295000</v>
          </cell>
        </row>
        <row r="255">
          <cell r="B255" t="str">
            <v>의류</v>
          </cell>
          <cell r="C255">
            <v>251</v>
          </cell>
          <cell r="F255" t="str">
            <v>INY1202</v>
          </cell>
          <cell r="G255">
            <v>31</v>
          </cell>
          <cell r="AB255">
            <v>5</v>
          </cell>
          <cell r="AC255">
            <v>265000</v>
          </cell>
        </row>
        <row r="256">
          <cell r="B256" t="str">
            <v>의류</v>
          </cell>
          <cell r="C256">
            <v>251</v>
          </cell>
          <cell r="F256" t="str">
            <v>INY1203</v>
          </cell>
          <cell r="G256">
            <v>39</v>
          </cell>
          <cell r="AB256">
            <v>5</v>
          </cell>
          <cell r="AC256">
            <v>245000</v>
          </cell>
        </row>
        <row r="257">
          <cell r="B257" t="str">
            <v>의류</v>
          </cell>
          <cell r="C257">
            <v>251</v>
          </cell>
          <cell r="F257" t="str">
            <v>ITY1101</v>
          </cell>
          <cell r="G257">
            <v>34</v>
          </cell>
          <cell r="AB257">
            <v>5</v>
          </cell>
          <cell r="AC257">
            <v>295000</v>
          </cell>
        </row>
        <row r="258">
          <cell r="B258" t="str">
            <v>의류</v>
          </cell>
          <cell r="C258">
            <v>251</v>
          </cell>
          <cell r="F258" t="str">
            <v>ITY7102</v>
          </cell>
          <cell r="G258">
            <v>49</v>
          </cell>
          <cell r="AB258">
            <v>5</v>
          </cell>
          <cell r="AC258">
            <v>345000</v>
          </cell>
        </row>
        <row r="259">
          <cell r="B259" t="str">
            <v>의류</v>
          </cell>
          <cell r="C259">
            <v>251</v>
          </cell>
          <cell r="F259" t="str">
            <v>ITY9102</v>
          </cell>
          <cell r="G259">
            <v>49</v>
          </cell>
          <cell r="AB259">
            <v>5</v>
          </cell>
          <cell r="AC259">
            <v>895000</v>
          </cell>
        </row>
        <row r="260">
          <cell r="B260" t="str">
            <v>의류</v>
          </cell>
          <cell r="C260">
            <v>251</v>
          </cell>
          <cell r="F260" t="str">
            <v>P0Y1102</v>
          </cell>
          <cell r="G260">
            <v>31</v>
          </cell>
          <cell r="AB260">
            <v>5</v>
          </cell>
          <cell r="AC260">
            <v>249900</v>
          </cell>
        </row>
        <row r="261">
          <cell r="B261" t="str">
            <v>의류</v>
          </cell>
          <cell r="C261">
            <v>251</v>
          </cell>
          <cell r="F261" t="str">
            <v>P0Y1202</v>
          </cell>
          <cell r="G261">
            <v>32</v>
          </cell>
          <cell r="AB261">
            <v>5</v>
          </cell>
          <cell r="AC261">
            <v>245000</v>
          </cell>
        </row>
        <row r="262">
          <cell r="B262" t="str">
            <v>의류</v>
          </cell>
          <cell r="C262">
            <v>251</v>
          </cell>
          <cell r="F262" t="str">
            <v>P0Y1211</v>
          </cell>
          <cell r="G262">
            <v>41</v>
          </cell>
          <cell r="AB262">
            <v>5</v>
          </cell>
          <cell r="AC262">
            <v>345000</v>
          </cell>
        </row>
        <row r="263">
          <cell r="B263" t="str">
            <v>의류</v>
          </cell>
          <cell r="C263">
            <v>251</v>
          </cell>
          <cell r="F263" t="str">
            <v>P0Y1224</v>
          </cell>
          <cell r="G263">
            <v>79</v>
          </cell>
          <cell r="AB263">
            <v>5</v>
          </cell>
          <cell r="AC263">
            <v>445000</v>
          </cell>
        </row>
        <row r="264">
          <cell r="B264" t="str">
            <v>의류</v>
          </cell>
          <cell r="C264">
            <v>251</v>
          </cell>
          <cell r="F264" t="str">
            <v>P0Y6202</v>
          </cell>
          <cell r="G264">
            <v>27</v>
          </cell>
          <cell r="AB264">
            <v>5</v>
          </cell>
          <cell r="AC264">
            <v>685000</v>
          </cell>
        </row>
        <row r="265">
          <cell r="B265" t="str">
            <v>의류</v>
          </cell>
          <cell r="C265">
            <v>251</v>
          </cell>
          <cell r="F265" t="str">
            <v>P0Y6203</v>
          </cell>
          <cell r="G265">
            <v>43</v>
          </cell>
          <cell r="AB265">
            <v>5</v>
          </cell>
          <cell r="AC265">
            <v>645000</v>
          </cell>
        </row>
        <row r="266">
          <cell r="B266" t="str">
            <v>의류</v>
          </cell>
          <cell r="C266">
            <v>251</v>
          </cell>
          <cell r="F266" t="str">
            <v>P0Y6204</v>
          </cell>
          <cell r="G266">
            <v>31</v>
          </cell>
          <cell r="AB266">
            <v>5</v>
          </cell>
          <cell r="AC266">
            <v>745000</v>
          </cell>
        </row>
        <row r="267">
          <cell r="B267" t="str">
            <v>의류</v>
          </cell>
          <cell r="C267">
            <v>251</v>
          </cell>
          <cell r="F267" t="str">
            <v>P0Y7201</v>
          </cell>
          <cell r="G267">
            <v>76</v>
          </cell>
          <cell r="AB267">
            <v>5</v>
          </cell>
          <cell r="AC267">
            <v>375000</v>
          </cell>
        </row>
        <row r="268">
          <cell r="B268" t="str">
            <v>의류</v>
          </cell>
          <cell r="C268">
            <v>251</v>
          </cell>
          <cell r="F268" t="str">
            <v>P0Y7207</v>
          </cell>
          <cell r="G268">
            <v>76</v>
          </cell>
          <cell r="AB268">
            <v>5</v>
          </cell>
          <cell r="AC268">
            <v>365000</v>
          </cell>
        </row>
        <row r="269">
          <cell r="B269" t="str">
            <v>의류</v>
          </cell>
          <cell r="C269">
            <v>251</v>
          </cell>
          <cell r="F269" t="str">
            <v>PNY1101</v>
          </cell>
          <cell r="G269">
            <v>39</v>
          </cell>
          <cell r="AB269">
            <v>5</v>
          </cell>
          <cell r="AC269">
            <v>245000</v>
          </cell>
        </row>
        <row r="270">
          <cell r="B270" t="str">
            <v>의류</v>
          </cell>
          <cell r="C270">
            <v>251</v>
          </cell>
          <cell r="F270" t="str">
            <v>PNY7101</v>
          </cell>
          <cell r="G270">
            <v>39</v>
          </cell>
          <cell r="AB270">
            <v>5</v>
          </cell>
          <cell r="AC270">
            <v>445000</v>
          </cell>
        </row>
        <row r="271">
          <cell r="B271" t="str">
            <v>의류</v>
          </cell>
          <cell r="C271">
            <v>251</v>
          </cell>
          <cell r="F271" t="str">
            <v>PTY1101</v>
          </cell>
          <cell r="G271">
            <v>45</v>
          </cell>
          <cell r="AB271">
            <v>5</v>
          </cell>
          <cell r="AC271">
            <v>375000</v>
          </cell>
        </row>
        <row r="272">
          <cell r="B272" t="str">
            <v>의류</v>
          </cell>
          <cell r="C272">
            <v>251</v>
          </cell>
          <cell r="F272" t="str">
            <v>PTY6201</v>
          </cell>
          <cell r="G272">
            <v>54</v>
          </cell>
          <cell r="AB272">
            <v>5</v>
          </cell>
          <cell r="AC272">
            <v>595000</v>
          </cell>
        </row>
        <row r="273">
          <cell r="B273" t="str">
            <v>의류</v>
          </cell>
          <cell r="C273">
            <v>271</v>
          </cell>
          <cell r="F273" t="str">
            <v>I0Y6201</v>
          </cell>
          <cell r="G273">
            <v>63</v>
          </cell>
          <cell r="AB273">
            <v>4</v>
          </cell>
          <cell r="AC273">
            <v>556000</v>
          </cell>
        </row>
        <row r="274">
          <cell r="B274" t="str">
            <v>의류</v>
          </cell>
          <cell r="C274">
            <v>271</v>
          </cell>
          <cell r="F274" t="str">
            <v>I0Y7102</v>
          </cell>
          <cell r="G274">
            <v>54</v>
          </cell>
          <cell r="AB274">
            <v>4</v>
          </cell>
          <cell r="AC274">
            <v>316000</v>
          </cell>
        </row>
        <row r="275">
          <cell r="B275" t="str">
            <v>의류</v>
          </cell>
          <cell r="C275">
            <v>271</v>
          </cell>
          <cell r="F275" t="str">
            <v>P0Y1101</v>
          </cell>
          <cell r="G275">
            <v>49</v>
          </cell>
          <cell r="AB275">
            <v>4</v>
          </cell>
          <cell r="AC275">
            <v>156000</v>
          </cell>
        </row>
        <row r="276">
          <cell r="B276" t="str">
            <v>의류</v>
          </cell>
          <cell r="C276">
            <v>271</v>
          </cell>
          <cell r="F276" t="str">
            <v>P0Y1103</v>
          </cell>
          <cell r="G276">
            <v>45</v>
          </cell>
          <cell r="AB276">
            <v>4</v>
          </cell>
          <cell r="AC276">
            <v>296000</v>
          </cell>
        </row>
        <row r="277">
          <cell r="B277" t="str">
            <v>의류</v>
          </cell>
          <cell r="C277">
            <v>271</v>
          </cell>
          <cell r="F277" t="str">
            <v>P0Y1107</v>
          </cell>
          <cell r="G277">
            <v>31</v>
          </cell>
          <cell r="AB277">
            <v>4</v>
          </cell>
          <cell r="AC277">
            <v>316000</v>
          </cell>
        </row>
        <row r="278">
          <cell r="B278" t="str">
            <v>의류</v>
          </cell>
          <cell r="C278">
            <v>271</v>
          </cell>
          <cell r="F278" t="str">
            <v>P0Y1202</v>
          </cell>
          <cell r="G278">
            <v>31</v>
          </cell>
          <cell r="AB278">
            <v>4</v>
          </cell>
          <cell r="AC278">
            <v>196000</v>
          </cell>
        </row>
        <row r="279">
          <cell r="B279" t="str">
            <v>의류</v>
          </cell>
          <cell r="C279">
            <v>271</v>
          </cell>
          <cell r="F279" t="str">
            <v>P0Y1223</v>
          </cell>
          <cell r="G279">
            <v>73</v>
          </cell>
          <cell r="AB279">
            <v>4</v>
          </cell>
          <cell r="AC279">
            <v>241900</v>
          </cell>
        </row>
        <row r="280">
          <cell r="B280" t="str">
            <v>의류</v>
          </cell>
          <cell r="C280">
            <v>271</v>
          </cell>
          <cell r="F280" t="str">
            <v>P0Y5101</v>
          </cell>
          <cell r="G280">
            <v>49</v>
          </cell>
          <cell r="AB280">
            <v>4</v>
          </cell>
          <cell r="AC280">
            <v>516000</v>
          </cell>
        </row>
        <row r="281">
          <cell r="B281" t="str">
            <v>의류</v>
          </cell>
          <cell r="C281">
            <v>271</v>
          </cell>
          <cell r="F281" t="str">
            <v>P0YQ202</v>
          </cell>
          <cell r="G281">
            <v>76</v>
          </cell>
          <cell r="AB281">
            <v>4</v>
          </cell>
          <cell r="AC281">
            <v>415800</v>
          </cell>
        </row>
        <row r="282">
          <cell r="B282" t="str">
            <v>의류</v>
          </cell>
          <cell r="C282">
            <v>271</v>
          </cell>
          <cell r="F282" t="str">
            <v>PNY1202</v>
          </cell>
          <cell r="G282">
            <v>76</v>
          </cell>
          <cell r="AB282">
            <v>4</v>
          </cell>
          <cell r="AC282">
            <v>262200</v>
          </cell>
        </row>
        <row r="283">
          <cell r="B283" t="str">
            <v>의류</v>
          </cell>
          <cell r="C283">
            <v>271</v>
          </cell>
          <cell r="F283" t="str">
            <v>PNY1205</v>
          </cell>
          <cell r="G283">
            <v>31</v>
          </cell>
          <cell r="AB283">
            <v>4</v>
          </cell>
          <cell r="AC283">
            <v>276000</v>
          </cell>
        </row>
        <row r="284">
          <cell r="B284" t="str">
            <v>의류</v>
          </cell>
          <cell r="C284">
            <v>271</v>
          </cell>
          <cell r="F284" t="str">
            <v>PNY7204</v>
          </cell>
          <cell r="G284">
            <v>31</v>
          </cell>
          <cell r="AB284">
            <v>4</v>
          </cell>
          <cell r="AC284">
            <v>276000</v>
          </cell>
        </row>
        <row r="285">
          <cell r="B285" t="str">
            <v>의류</v>
          </cell>
          <cell r="C285">
            <v>271</v>
          </cell>
          <cell r="F285" t="str">
            <v>PNYQ101</v>
          </cell>
          <cell r="G285">
            <v>39</v>
          </cell>
          <cell r="AB285">
            <v>4</v>
          </cell>
          <cell r="AC285">
            <v>376200</v>
          </cell>
        </row>
        <row r="286">
          <cell r="B286" t="str">
            <v>의류</v>
          </cell>
          <cell r="C286">
            <v>271</v>
          </cell>
          <cell r="F286" t="str">
            <v>PTY6201</v>
          </cell>
          <cell r="G286">
            <v>49</v>
          </cell>
          <cell r="AB286">
            <v>4</v>
          </cell>
          <cell r="AC286">
            <v>476000</v>
          </cell>
        </row>
        <row r="287">
          <cell r="B287" t="str">
            <v>의류</v>
          </cell>
          <cell r="C287">
            <v>271</v>
          </cell>
          <cell r="F287" t="str">
            <v>PTY7102</v>
          </cell>
          <cell r="G287">
            <v>49</v>
          </cell>
          <cell r="AB287">
            <v>4</v>
          </cell>
          <cell r="AC287">
            <v>396000</v>
          </cell>
        </row>
        <row r="288">
          <cell r="B288" t="str">
            <v>의류</v>
          </cell>
          <cell r="C288">
            <v>286</v>
          </cell>
          <cell r="F288" t="str">
            <v>I0Y1101</v>
          </cell>
          <cell r="G288">
            <v>34</v>
          </cell>
          <cell r="AB288">
            <v>3</v>
          </cell>
          <cell r="AC288">
            <v>117000</v>
          </cell>
        </row>
        <row r="289">
          <cell r="B289" t="str">
            <v>의류</v>
          </cell>
          <cell r="C289">
            <v>286</v>
          </cell>
          <cell r="F289" t="str">
            <v>I0Y1101</v>
          </cell>
          <cell r="G289">
            <v>76</v>
          </cell>
          <cell r="AB289">
            <v>3</v>
          </cell>
          <cell r="AC289">
            <v>117000</v>
          </cell>
        </row>
        <row r="290">
          <cell r="B290" t="str">
            <v>의류</v>
          </cell>
          <cell r="C290">
            <v>286</v>
          </cell>
          <cell r="F290" t="str">
            <v>I0Y1107</v>
          </cell>
          <cell r="G290">
            <v>34</v>
          </cell>
          <cell r="AB290">
            <v>3</v>
          </cell>
          <cell r="AC290">
            <v>237000</v>
          </cell>
        </row>
        <row r="291">
          <cell r="B291" t="str">
            <v>의류</v>
          </cell>
          <cell r="C291">
            <v>286</v>
          </cell>
          <cell r="F291" t="str">
            <v>I0Y1107</v>
          </cell>
          <cell r="G291">
            <v>76</v>
          </cell>
          <cell r="AB291">
            <v>3</v>
          </cell>
          <cell r="AC291">
            <v>237000</v>
          </cell>
        </row>
        <row r="292">
          <cell r="B292" t="str">
            <v>의류</v>
          </cell>
          <cell r="C292">
            <v>286</v>
          </cell>
          <cell r="F292" t="str">
            <v>I0Y1207</v>
          </cell>
          <cell r="G292">
            <v>66</v>
          </cell>
          <cell r="AB292">
            <v>3</v>
          </cell>
          <cell r="AC292">
            <v>177000</v>
          </cell>
        </row>
        <row r="293">
          <cell r="B293" t="str">
            <v>의류</v>
          </cell>
          <cell r="C293">
            <v>286</v>
          </cell>
          <cell r="F293" t="str">
            <v>I0Y6101</v>
          </cell>
          <cell r="G293">
            <v>22</v>
          </cell>
          <cell r="AB293">
            <v>3</v>
          </cell>
          <cell r="AC293">
            <v>417000</v>
          </cell>
        </row>
        <row r="294">
          <cell r="B294" t="str">
            <v>의류</v>
          </cell>
          <cell r="C294">
            <v>286</v>
          </cell>
          <cell r="F294" t="str">
            <v>I0Y7101</v>
          </cell>
          <cell r="G294">
            <v>49</v>
          </cell>
          <cell r="AB294">
            <v>3</v>
          </cell>
          <cell r="AC294">
            <v>267000</v>
          </cell>
        </row>
        <row r="295">
          <cell r="B295" t="str">
            <v>의류</v>
          </cell>
          <cell r="C295">
            <v>286</v>
          </cell>
          <cell r="F295" t="str">
            <v>I0Y7102</v>
          </cell>
          <cell r="G295">
            <v>37</v>
          </cell>
          <cell r="AB295">
            <v>3</v>
          </cell>
          <cell r="AC295">
            <v>237000</v>
          </cell>
        </row>
        <row r="296">
          <cell r="B296" t="str">
            <v>의류</v>
          </cell>
          <cell r="C296">
            <v>286</v>
          </cell>
          <cell r="F296" t="str">
            <v>INY1102</v>
          </cell>
          <cell r="G296">
            <v>31</v>
          </cell>
          <cell r="AB296">
            <v>3</v>
          </cell>
          <cell r="AC296">
            <v>267000</v>
          </cell>
        </row>
        <row r="297">
          <cell r="B297" t="str">
            <v>의류</v>
          </cell>
          <cell r="C297">
            <v>286</v>
          </cell>
          <cell r="F297" t="str">
            <v>INY1203</v>
          </cell>
          <cell r="G297">
            <v>76</v>
          </cell>
          <cell r="AB297">
            <v>3</v>
          </cell>
          <cell r="AC297">
            <v>147000</v>
          </cell>
        </row>
        <row r="298">
          <cell r="B298" t="str">
            <v>의류</v>
          </cell>
          <cell r="C298">
            <v>286</v>
          </cell>
          <cell r="F298" t="str">
            <v>INY6102</v>
          </cell>
          <cell r="G298">
            <v>32</v>
          </cell>
          <cell r="AB298">
            <v>3</v>
          </cell>
          <cell r="AC298">
            <v>357000</v>
          </cell>
        </row>
        <row r="299">
          <cell r="B299" t="str">
            <v>의류</v>
          </cell>
          <cell r="C299">
            <v>286</v>
          </cell>
          <cell r="F299" t="str">
            <v>ITY6202</v>
          </cell>
          <cell r="G299">
            <v>38</v>
          </cell>
          <cell r="AB299">
            <v>3</v>
          </cell>
          <cell r="AC299">
            <v>417000</v>
          </cell>
        </row>
        <row r="300">
          <cell r="B300" t="str">
            <v>의류</v>
          </cell>
          <cell r="C300">
            <v>286</v>
          </cell>
          <cell r="F300" t="str">
            <v>P0Y1101</v>
          </cell>
          <cell r="G300">
            <v>31</v>
          </cell>
          <cell r="AB300">
            <v>3</v>
          </cell>
          <cell r="AC300">
            <v>117000</v>
          </cell>
        </row>
        <row r="301">
          <cell r="B301" t="str">
            <v>의류</v>
          </cell>
          <cell r="C301">
            <v>286</v>
          </cell>
          <cell r="F301" t="str">
            <v>P0Y1101</v>
          </cell>
          <cell r="G301">
            <v>76</v>
          </cell>
          <cell r="AB301">
            <v>3</v>
          </cell>
          <cell r="AC301">
            <v>117000</v>
          </cell>
        </row>
        <row r="302">
          <cell r="B302" t="str">
            <v>의류</v>
          </cell>
          <cell r="C302">
            <v>286</v>
          </cell>
          <cell r="F302" t="str">
            <v>P0Y1102</v>
          </cell>
          <cell r="G302">
            <v>62</v>
          </cell>
          <cell r="AB302">
            <v>3</v>
          </cell>
          <cell r="AC302">
            <v>147000</v>
          </cell>
        </row>
        <row r="303">
          <cell r="B303" t="str">
            <v>의류</v>
          </cell>
          <cell r="C303">
            <v>286</v>
          </cell>
          <cell r="F303" t="str">
            <v>P0Y1105</v>
          </cell>
          <cell r="G303">
            <v>76</v>
          </cell>
          <cell r="AB303">
            <v>3</v>
          </cell>
          <cell r="AC303">
            <v>177000</v>
          </cell>
        </row>
        <row r="304">
          <cell r="B304" t="str">
            <v>의류</v>
          </cell>
          <cell r="C304">
            <v>286</v>
          </cell>
          <cell r="F304" t="str">
            <v>P0Y1215</v>
          </cell>
          <cell r="G304">
            <v>31</v>
          </cell>
          <cell r="AB304">
            <v>3</v>
          </cell>
          <cell r="AC304">
            <v>244900</v>
          </cell>
        </row>
        <row r="305">
          <cell r="B305" t="str">
            <v>의류</v>
          </cell>
          <cell r="C305">
            <v>286</v>
          </cell>
          <cell r="F305" t="str">
            <v>P0Y6202</v>
          </cell>
          <cell r="G305">
            <v>76</v>
          </cell>
          <cell r="AB305">
            <v>3</v>
          </cell>
          <cell r="AC305">
            <v>447000</v>
          </cell>
        </row>
        <row r="306">
          <cell r="B306" t="str">
            <v>의류</v>
          </cell>
          <cell r="C306">
            <v>286</v>
          </cell>
          <cell r="F306" t="str">
            <v>P0Y7104</v>
          </cell>
          <cell r="G306">
            <v>31</v>
          </cell>
          <cell r="AB306">
            <v>3</v>
          </cell>
          <cell r="AC306">
            <v>297000</v>
          </cell>
        </row>
        <row r="307">
          <cell r="B307" t="str">
            <v>의류</v>
          </cell>
          <cell r="C307">
            <v>286</v>
          </cell>
          <cell r="F307" t="str">
            <v>P0YQ101</v>
          </cell>
          <cell r="G307">
            <v>49</v>
          </cell>
          <cell r="AB307">
            <v>3</v>
          </cell>
          <cell r="AC307">
            <v>267000</v>
          </cell>
        </row>
        <row r="308">
          <cell r="B308" t="str">
            <v>의류</v>
          </cell>
          <cell r="C308">
            <v>286</v>
          </cell>
          <cell r="F308" t="str">
            <v>PNY1101</v>
          </cell>
          <cell r="G308">
            <v>31</v>
          </cell>
          <cell r="AB308">
            <v>3</v>
          </cell>
          <cell r="AC308">
            <v>147000</v>
          </cell>
        </row>
        <row r="309">
          <cell r="B309" t="str">
            <v>의류</v>
          </cell>
          <cell r="C309">
            <v>286</v>
          </cell>
          <cell r="F309" t="str">
            <v>PNY1103</v>
          </cell>
          <cell r="G309">
            <v>31</v>
          </cell>
          <cell r="AB309">
            <v>3</v>
          </cell>
          <cell r="AC309">
            <v>147000</v>
          </cell>
        </row>
        <row r="310">
          <cell r="B310" t="str">
            <v>의류</v>
          </cell>
          <cell r="C310">
            <v>286</v>
          </cell>
          <cell r="F310" t="str">
            <v>PNY1103</v>
          </cell>
          <cell r="G310">
            <v>39</v>
          </cell>
          <cell r="AB310">
            <v>3</v>
          </cell>
          <cell r="AC310">
            <v>147000</v>
          </cell>
        </row>
        <row r="311">
          <cell r="B311" t="str">
            <v>의류</v>
          </cell>
          <cell r="C311">
            <v>286</v>
          </cell>
          <cell r="F311" t="str">
            <v>PNY6201</v>
          </cell>
          <cell r="G311">
            <v>31</v>
          </cell>
          <cell r="AB311">
            <v>3</v>
          </cell>
          <cell r="AC311">
            <v>357000</v>
          </cell>
        </row>
        <row r="312">
          <cell r="B312" t="str">
            <v>의류</v>
          </cell>
          <cell r="C312">
            <v>286</v>
          </cell>
          <cell r="F312" t="str">
            <v>PNY7203</v>
          </cell>
          <cell r="G312">
            <v>76</v>
          </cell>
          <cell r="AB312">
            <v>3</v>
          </cell>
          <cell r="AC312">
            <v>213900</v>
          </cell>
        </row>
        <row r="313">
          <cell r="B313" t="str">
            <v>의류</v>
          </cell>
          <cell r="C313">
            <v>286</v>
          </cell>
          <cell r="F313" t="str">
            <v>PNYQ101</v>
          </cell>
          <cell r="G313">
            <v>31</v>
          </cell>
          <cell r="AB313">
            <v>3</v>
          </cell>
          <cell r="AC313">
            <v>297000</v>
          </cell>
        </row>
        <row r="314">
          <cell r="B314" t="str">
            <v>의류</v>
          </cell>
          <cell r="C314">
            <v>286</v>
          </cell>
          <cell r="F314" t="str">
            <v>PNYQ201</v>
          </cell>
          <cell r="G314">
            <v>31</v>
          </cell>
          <cell r="AB314">
            <v>3</v>
          </cell>
          <cell r="AC314">
            <v>277200</v>
          </cell>
        </row>
        <row r="315">
          <cell r="B315" t="str">
            <v>의류</v>
          </cell>
          <cell r="C315">
            <v>286</v>
          </cell>
          <cell r="F315" t="str">
            <v>PNYQ202</v>
          </cell>
          <cell r="G315">
            <v>37</v>
          </cell>
          <cell r="AB315">
            <v>3</v>
          </cell>
          <cell r="AC315">
            <v>297000</v>
          </cell>
        </row>
        <row r="316">
          <cell r="B316" t="str">
            <v>의류</v>
          </cell>
          <cell r="C316">
            <v>286</v>
          </cell>
          <cell r="F316" t="str">
            <v>PTY1101</v>
          </cell>
          <cell r="G316">
            <v>73</v>
          </cell>
          <cell r="AB316">
            <v>3</v>
          </cell>
          <cell r="AC316">
            <v>244900</v>
          </cell>
        </row>
        <row r="317">
          <cell r="B317" t="str">
            <v>의류</v>
          </cell>
          <cell r="C317">
            <v>286</v>
          </cell>
          <cell r="F317" t="str">
            <v>PTY7203</v>
          </cell>
          <cell r="G317">
            <v>34</v>
          </cell>
          <cell r="AB317">
            <v>3</v>
          </cell>
          <cell r="AC317">
            <v>177000</v>
          </cell>
        </row>
        <row r="318">
          <cell r="B318" t="str">
            <v>의류</v>
          </cell>
          <cell r="C318">
            <v>316</v>
          </cell>
          <cell r="F318" t="str">
            <v>I0Y1103</v>
          </cell>
          <cell r="G318">
            <v>49</v>
          </cell>
          <cell r="AB318">
            <v>2</v>
          </cell>
          <cell r="AC318">
            <v>158000</v>
          </cell>
        </row>
        <row r="319">
          <cell r="B319" t="str">
            <v>의류</v>
          </cell>
          <cell r="C319">
            <v>316</v>
          </cell>
          <cell r="F319" t="str">
            <v>INY1101</v>
          </cell>
          <cell r="G319">
            <v>21</v>
          </cell>
          <cell r="AB319">
            <v>2</v>
          </cell>
          <cell r="AC319">
            <v>138000</v>
          </cell>
        </row>
        <row r="320">
          <cell r="B320" t="str">
            <v>의류</v>
          </cell>
          <cell r="C320">
            <v>316</v>
          </cell>
          <cell r="F320" t="str">
            <v>INY1202</v>
          </cell>
          <cell r="G320">
            <v>21</v>
          </cell>
          <cell r="AB320">
            <v>2</v>
          </cell>
          <cell r="AC320">
            <v>118000</v>
          </cell>
        </row>
        <row r="321">
          <cell r="B321" t="str">
            <v>의류</v>
          </cell>
          <cell r="C321">
            <v>316</v>
          </cell>
          <cell r="F321" t="str">
            <v>INY6101</v>
          </cell>
          <cell r="G321">
            <v>31</v>
          </cell>
          <cell r="AB321">
            <v>2</v>
          </cell>
          <cell r="AC321">
            <v>358000</v>
          </cell>
        </row>
        <row r="322">
          <cell r="B322" t="str">
            <v>의류</v>
          </cell>
          <cell r="C322">
            <v>316</v>
          </cell>
          <cell r="F322" t="str">
            <v>INY6202</v>
          </cell>
          <cell r="G322">
            <v>77</v>
          </cell>
          <cell r="AB322">
            <v>2</v>
          </cell>
          <cell r="AC322">
            <v>258000</v>
          </cell>
        </row>
        <row r="323">
          <cell r="B323" t="str">
            <v>의류</v>
          </cell>
          <cell r="C323">
            <v>316</v>
          </cell>
          <cell r="F323" t="str">
            <v>INY7101</v>
          </cell>
          <cell r="G323">
            <v>76</v>
          </cell>
          <cell r="AB323">
            <v>2</v>
          </cell>
          <cell r="AC323">
            <v>158000</v>
          </cell>
        </row>
        <row r="324">
          <cell r="B324" t="str">
            <v>의류</v>
          </cell>
          <cell r="C324">
            <v>316</v>
          </cell>
          <cell r="F324" t="str">
            <v>INY7201</v>
          </cell>
          <cell r="G324">
            <v>41</v>
          </cell>
          <cell r="AB324">
            <v>2</v>
          </cell>
          <cell r="AC324">
            <v>198000</v>
          </cell>
        </row>
        <row r="325">
          <cell r="B325" t="str">
            <v>의류</v>
          </cell>
          <cell r="C325">
            <v>316</v>
          </cell>
          <cell r="F325" t="str">
            <v>ITY1103</v>
          </cell>
          <cell r="G325">
            <v>43</v>
          </cell>
          <cell r="AB325">
            <v>2</v>
          </cell>
          <cell r="AC325">
            <v>158000</v>
          </cell>
        </row>
        <row r="326">
          <cell r="B326" t="str">
            <v>의류</v>
          </cell>
          <cell r="C326">
            <v>316</v>
          </cell>
          <cell r="F326" t="str">
            <v>ITY8102</v>
          </cell>
          <cell r="G326">
            <v>43</v>
          </cell>
          <cell r="AB326">
            <v>2</v>
          </cell>
          <cell r="AC326">
            <v>118000</v>
          </cell>
        </row>
        <row r="327">
          <cell r="B327" t="str">
            <v>의류</v>
          </cell>
          <cell r="C327">
            <v>316</v>
          </cell>
          <cell r="F327" t="str">
            <v>ITY8104</v>
          </cell>
          <cell r="G327">
            <v>79</v>
          </cell>
          <cell r="AB327">
            <v>2</v>
          </cell>
          <cell r="AC327">
            <v>138000</v>
          </cell>
        </row>
        <row r="328">
          <cell r="B328" t="str">
            <v>의류</v>
          </cell>
          <cell r="C328">
            <v>316</v>
          </cell>
          <cell r="F328" t="str">
            <v>ITY9202</v>
          </cell>
          <cell r="G328">
            <v>73</v>
          </cell>
          <cell r="AB328">
            <v>2</v>
          </cell>
          <cell r="AC328">
            <v>358000</v>
          </cell>
        </row>
        <row r="329">
          <cell r="B329" t="str">
            <v>의류</v>
          </cell>
          <cell r="C329">
            <v>316</v>
          </cell>
          <cell r="F329" t="str">
            <v>P0Y1101</v>
          </cell>
          <cell r="G329">
            <v>73</v>
          </cell>
          <cell r="AB329">
            <v>2</v>
          </cell>
          <cell r="AC329">
            <v>78000</v>
          </cell>
        </row>
        <row r="330">
          <cell r="B330" t="str">
            <v>의류</v>
          </cell>
          <cell r="C330">
            <v>316</v>
          </cell>
          <cell r="F330" t="str">
            <v>P0Y1103</v>
          </cell>
          <cell r="G330">
            <v>73</v>
          </cell>
          <cell r="AB330">
            <v>2</v>
          </cell>
          <cell r="AC330">
            <v>142200</v>
          </cell>
        </row>
        <row r="331">
          <cell r="B331" t="str">
            <v>의류</v>
          </cell>
          <cell r="C331">
            <v>316</v>
          </cell>
          <cell r="F331" t="str">
            <v>P0Y4102</v>
          </cell>
          <cell r="G331">
            <v>76</v>
          </cell>
          <cell r="AB331">
            <v>2</v>
          </cell>
          <cell r="AC331">
            <v>218000</v>
          </cell>
        </row>
        <row r="332">
          <cell r="B332" t="str">
            <v>의류</v>
          </cell>
          <cell r="C332">
            <v>316</v>
          </cell>
          <cell r="F332" t="str">
            <v>P0Y6101</v>
          </cell>
          <cell r="G332">
            <v>63</v>
          </cell>
          <cell r="AB332">
            <v>2</v>
          </cell>
          <cell r="AC332">
            <v>291900</v>
          </cell>
        </row>
        <row r="333">
          <cell r="B333" t="str">
            <v>의류</v>
          </cell>
          <cell r="C333">
            <v>316</v>
          </cell>
          <cell r="F333" t="str">
            <v>P0Y6204</v>
          </cell>
          <cell r="G333">
            <v>49</v>
          </cell>
          <cell r="AB333">
            <v>2</v>
          </cell>
          <cell r="AC333">
            <v>298000</v>
          </cell>
        </row>
        <row r="334">
          <cell r="B334" t="str">
            <v>의류</v>
          </cell>
          <cell r="C334">
            <v>316</v>
          </cell>
          <cell r="F334" t="str">
            <v>P0Y7103</v>
          </cell>
          <cell r="G334">
            <v>45</v>
          </cell>
          <cell r="AB334">
            <v>2</v>
          </cell>
          <cell r="AC334">
            <v>138000</v>
          </cell>
        </row>
        <row r="335">
          <cell r="B335" t="str">
            <v>의류</v>
          </cell>
          <cell r="C335">
            <v>316</v>
          </cell>
          <cell r="F335" t="str">
            <v>P0Y7103</v>
          </cell>
          <cell r="G335">
            <v>73</v>
          </cell>
          <cell r="AB335">
            <v>2</v>
          </cell>
          <cell r="AC335">
            <v>138000</v>
          </cell>
        </row>
        <row r="336">
          <cell r="B336" t="str">
            <v>의류</v>
          </cell>
          <cell r="C336">
            <v>316</v>
          </cell>
          <cell r="F336" t="str">
            <v>P0YV101</v>
          </cell>
          <cell r="G336">
            <v>27</v>
          </cell>
          <cell r="AB336">
            <v>2</v>
          </cell>
          <cell r="AC336">
            <v>298000</v>
          </cell>
        </row>
        <row r="337">
          <cell r="B337" t="str">
            <v>의류</v>
          </cell>
          <cell r="C337">
            <v>316</v>
          </cell>
          <cell r="F337" t="str">
            <v>PNY7101</v>
          </cell>
          <cell r="G337">
            <v>76</v>
          </cell>
          <cell r="AB337">
            <v>2</v>
          </cell>
          <cell r="AC337">
            <v>178000</v>
          </cell>
        </row>
        <row r="338">
          <cell r="B338" t="str">
            <v>의류</v>
          </cell>
          <cell r="C338">
            <v>316</v>
          </cell>
          <cell r="F338" t="str">
            <v>PNYV101</v>
          </cell>
          <cell r="G338">
            <v>31</v>
          </cell>
          <cell r="AB338">
            <v>2</v>
          </cell>
          <cell r="AC338">
            <v>238000</v>
          </cell>
        </row>
        <row r="339">
          <cell r="B339" t="str">
            <v>의류</v>
          </cell>
          <cell r="C339">
            <v>316</v>
          </cell>
          <cell r="F339" t="str">
            <v>PTY9201</v>
          </cell>
          <cell r="G339">
            <v>36</v>
          </cell>
          <cell r="AB339">
            <v>2</v>
          </cell>
          <cell r="AC339">
            <v>358000</v>
          </cell>
        </row>
        <row r="340">
          <cell r="B340" t="str">
            <v>의류</v>
          </cell>
          <cell r="C340">
            <v>316</v>
          </cell>
          <cell r="F340" t="str">
            <v>PTY9201</v>
          </cell>
          <cell r="G340">
            <v>49</v>
          </cell>
          <cell r="AB340">
            <v>2</v>
          </cell>
          <cell r="AC340">
            <v>328000</v>
          </cell>
        </row>
        <row r="341">
          <cell r="B341" t="str">
            <v>의류</v>
          </cell>
          <cell r="C341">
            <v>339</v>
          </cell>
          <cell r="F341" t="str">
            <v>I0Y1101</v>
          </cell>
          <cell r="G341">
            <v>22</v>
          </cell>
          <cell r="AB341">
            <v>1</v>
          </cell>
          <cell r="AC341">
            <v>39000</v>
          </cell>
        </row>
        <row r="342">
          <cell r="B342" t="str">
            <v>의류</v>
          </cell>
          <cell r="C342">
            <v>339</v>
          </cell>
          <cell r="F342" t="str">
            <v>I0Y1104</v>
          </cell>
          <cell r="G342">
            <v>63</v>
          </cell>
          <cell r="AB342">
            <v>1</v>
          </cell>
          <cell r="AC342">
            <v>79000</v>
          </cell>
        </row>
        <row r="343">
          <cell r="B343" t="str">
            <v>의류</v>
          </cell>
          <cell r="C343">
            <v>339</v>
          </cell>
          <cell r="F343" t="str">
            <v>I0Y1105</v>
          </cell>
          <cell r="G343">
            <v>32</v>
          </cell>
          <cell r="AB343">
            <v>1</v>
          </cell>
          <cell r="AC343">
            <v>79000</v>
          </cell>
        </row>
        <row r="344">
          <cell r="B344" t="str">
            <v>의류</v>
          </cell>
          <cell r="C344">
            <v>339</v>
          </cell>
          <cell r="F344" t="str">
            <v>I0Y1105</v>
          </cell>
          <cell r="G344">
            <v>49</v>
          </cell>
          <cell r="AB344">
            <v>1</v>
          </cell>
          <cell r="AC344">
            <v>79000</v>
          </cell>
        </row>
        <row r="345">
          <cell r="B345" t="str">
            <v>의류</v>
          </cell>
          <cell r="C345">
            <v>339</v>
          </cell>
          <cell r="F345" t="str">
            <v>I0Y1106</v>
          </cell>
          <cell r="G345">
            <v>34</v>
          </cell>
          <cell r="AB345">
            <v>1</v>
          </cell>
          <cell r="AC345">
            <v>79000</v>
          </cell>
        </row>
        <row r="346">
          <cell r="B346" t="str">
            <v>의류</v>
          </cell>
          <cell r="C346">
            <v>339</v>
          </cell>
          <cell r="F346" t="str">
            <v>I0Y1106</v>
          </cell>
          <cell r="G346">
            <v>73</v>
          </cell>
          <cell r="AB346">
            <v>1</v>
          </cell>
          <cell r="AC346">
            <v>79000</v>
          </cell>
        </row>
        <row r="347">
          <cell r="B347" t="str">
            <v>의류</v>
          </cell>
          <cell r="C347">
            <v>339</v>
          </cell>
          <cell r="F347" t="str">
            <v>I0Y1209</v>
          </cell>
          <cell r="G347">
            <v>43</v>
          </cell>
          <cell r="AB347">
            <v>1</v>
          </cell>
          <cell r="AC347">
            <v>29000</v>
          </cell>
        </row>
        <row r="348">
          <cell r="B348" t="str">
            <v>의류</v>
          </cell>
          <cell r="C348">
            <v>339</v>
          </cell>
          <cell r="F348" t="str">
            <v>I0Y4101</v>
          </cell>
          <cell r="G348">
            <v>49</v>
          </cell>
          <cell r="AB348">
            <v>1</v>
          </cell>
          <cell r="AC348">
            <v>119000</v>
          </cell>
        </row>
        <row r="349">
          <cell r="B349" t="str">
            <v>의류</v>
          </cell>
          <cell r="C349">
            <v>339</v>
          </cell>
          <cell r="F349" t="str">
            <v>I0Y6102</v>
          </cell>
          <cell r="G349">
            <v>31</v>
          </cell>
          <cell r="AB349">
            <v>1</v>
          </cell>
          <cell r="AC349">
            <v>149000</v>
          </cell>
        </row>
        <row r="350">
          <cell r="B350" t="str">
            <v>의류</v>
          </cell>
          <cell r="C350">
            <v>339</v>
          </cell>
          <cell r="F350" t="str">
            <v>I0Y6102</v>
          </cell>
          <cell r="G350">
            <v>49</v>
          </cell>
          <cell r="AB350">
            <v>1</v>
          </cell>
          <cell r="AC350">
            <v>119000</v>
          </cell>
        </row>
        <row r="351">
          <cell r="B351" t="str">
            <v>의류</v>
          </cell>
          <cell r="C351">
            <v>339</v>
          </cell>
          <cell r="F351" t="str">
            <v>I0Y7103</v>
          </cell>
          <cell r="G351">
            <v>43</v>
          </cell>
          <cell r="AB351">
            <v>1</v>
          </cell>
          <cell r="AC351">
            <v>99000</v>
          </cell>
        </row>
        <row r="352">
          <cell r="B352" t="str">
            <v>의류</v>
          </cell>
          <cell r="C352">
            <v>339</v>
          </cell>
          <cell r="F352" t="str">
            <v>INY1104</v>
          </cell>
          <cell r="G352">
            <v>31</v>
          </cell>
          <cell r="AB352">
            <v>1</v>
          </cell>
          <cell r="AC352">
            <v>69000</v>
          </cell>
        </row>
        <row r="353">
          <cell r="B353" t="str">
            <v>의류</v>
          </cell>
          <cell r="C353">
            <v>339</v>
          </cell>
          <cell r="F353" t="str">
            <v>INY1104</v>
          </cell>
          <cell r="G353">
            <v>49</v>
          </cell>
          <cell r="AB353">
            <v>1</v>
          </cell>
          <cell r="AC353">
            <v>69000</v>
          </cell>
        </row>
        <row r="354">
          <cell r="B354" t="str">
            <v>의류</v>
          </cell>
          <cell r="C354">
            <v>339</v>
          </cell>
          <cell r="F354" t="str">
            <v>INY6104</v>
          </cell>
          <cell r="G354">
            <v>38</v>
          </cell>
          <cell r="AB354">
            <v>1</v>
          </cell>
          <cell r="AC354">
            <v>179000</v>
          </cell>
        </row>
        <row r="355">
          <cell r="B355" t="str">
            <v>의류</v>
          </cell>
          <cell r="C355">
            <v>339</v>
          </cell>
          <cell r="F355" t="str">
            <v>INY6202</v>
          </cell>
          <cell r="G355">
            <v>38</v>
          </cell>
          <cell r="AB355">
            <v>1</v>
          </cell>
          <cell r="AC355">
            <v>109000</v>
          </cell>
        </row>
        <row r="356">
          <cell r="B356" t="str">
            <v>의류</v>
          </cell>
          <cell r="C356">
            <v>339</v>
          </cell>
          <cell r="F356" t="str">
            <v>INY7101</v>
          </cell>
          <cell r="G356">
            <v>39</v>
          </cell>
          <cell r="AB356">
            <v>1</v>
          </cell>
          <cell r="AC356">
            <v>79000</v>
          </cell>
        </row>
        <row r="357">
          <cell r="B357" t="str">
            <v>의류</v>
          </cell>
          <cell r="C357">
            <v>339</v>
          </cell>
          <cell r="F357" t="str">
            <v>INY7102</v>
          </cell>
          <cell r="G357">
            <v>31</v>
          </cell>
          <cell r="AB357">
            <v>1</v>
          </cell>
          <cell r="AC357">
            <v>89000</v>
          </cell>
        </row>
        <row r="358">
          <cell r="B358" t="str">
            <v>의류</v>
          </cell>
          <cell r="C358">
            <v>339</v>
          </cell>
          <cell r="F358" t="str">
            <v>INY7102</v>
          </cell>
          <cell r="G358">
            <v>39</v>
          </cell>
          <cell r="AB358">
            <v>1</v>
          </cell>
          <cell r="AC358">
            <v>89000</v>
          </cell>
        </row>
        <row r="359">
          <cell r="B359" t="str">
            <v>의류</v>
          </cell>
          <cell r="C359">
            <v>339</v>
          </cell>
          <cell r="F359" t="str">
            <v>ITY1102</v>
          </cell>
          <cell r="G359">
            <v>64</v>
          </cell>
          <cell r="AB359">
            <v>1</v>
          </cell>
          <cell r="AC359">
            <v>99000</v>
          </cell>
        </row>
        <row r="360">
          <cell r="B360" t="str">
            <v>의류</v>
          </cell>
          <cell r="C360">
            <v>339</v>
          </cell>
          <cell r="F360" t="str">
            <v>ITY1103</v>
          </cell>
          <cell r="G360">
            <v>34</v>
          </cell>
          <cell r="AB360">
            <v>1</v>
          </cell>
          <cell r="AC360">
            <v>79000</v>
          </cell>
        </row>
        <row r="361">
          <cell r="B361" t="str">
            <v>의류</v>
          </cell>
          <cell r="C361">
            <v>339</v>
          </cell>
          <cell r="F361" t="str">
            <v>ITY9103</v>
          </cell>
          <cell r="G361">
            <v>37</v>
          </cell>
          <cell r="AB361">
            <v>1</v>
          </cell>
          <cell r="AC361">
            <v>189000</v>
          </cell>
        </row>
        <row r="362">
          <cell r="B362" t="str">
            <v>의류</v>
          </cell>
          <cell r="C362">
            <v>339</v>
          </cell>
          <cell r="F362" t="str">
            <v>P0Y1105</v>
          </cell>
          <cell r="G362">
            <v>63</v>
          </cell>
          <cell r="AB362">
            <v>1</v>
          </cell>
          <cell r="AC362">
            <v>59000</v>
          </cell>
        </row>
        <row r="363">
          <cell r="B363" t="str">
            <v>의류</v>
          </cell>
          <cell r="C363">
            <v>339</v>
          </cell>
          <cell r="F363" t="str">
            <v>P0Y1106</v>
          </cell>
          <cell r="G363">
            <v>63</v>
          </cell>
          <cell r="AB363">
            <v>1</v>
          </cell>
          <cell r="AC363">
            <v>79000</v>
          </cell>
        </row>
        <row r="364">
          <cell r="B364" t="str">
            <v>의류</v>
          </cell>
          <cell r="C364">
            <v>339</v>
          </cell>
          <cell r="F364" t="str">
            <v>P0Y1109</v>
          </cell>
          <cell r="G364">
            <v>49</v>
          </cell>
          <cell r="AB364">
            <v>1</v>
          </cell>
          <cell r="AC364">
            <v>49000</v>
          </cell>
        </row>
        <row r="365">
          <cell r="B365" t="str">
            <v>의류</v>
          </cell>
          <cell r="C365">
            <v>339</v>
          </cell>
          <cell r="F365" t="str">
            <v>P0Y5101</v>
          </cell>
          <cell r="G365">
            <v>31</v>
          </cell>
          <cell r="AB365">
            <v>1</v>
          </cell>
          <cell r="AC365">
            <v>129000</v>
          </cell>
        </row>
        <row r="366">
          <cell r="B366" t="str">
            <v>의류</v>
          </cell>
          <cell r="C366">
            <v>339</v>
          </cell>
          <cell r="F366" t="str">
            <v>P0Y6101</v>
          </cell>
          <cell r="G366">
            <v>76</v>
          </cell>
          <cell r="AB366">
            <v>1</v>
          </cell>
          <cell r="AC366">
            <v>139000</v>
          </cell>
        </row>
        <row r="367">
          <cell r="B367" t="str">
            <v>의류</v>
          </cell>
          <cell r="C367">
            <v>339</v>
          </cell>
          <cell r="F367" t="str">
            <v>P0Y6102</v>
          </cell>
          <cell r="G367">
            <v>31</v>
          </cell>
          <cell r="AB367">
            <v>1</v>
          </cell>
          <cell r="AC367">
            <v>129000</v>
          </cell>
        </row>
        <row r="368">
          <cell r="B368" t="str">
            <v>의류</v>
          </cell>
          <cell r="C368">
            <v>339</v>
          </cell>
          <cell r="F368" t="str">
            <v>P0Y7101</v>
          </cell>
          <cell r="G368">
            <v>49</v>
          </cell>
          <cell r="AB368">
            <v>1</v>
          </cell>
          <cell r="AC368">
            <v>89000</v>
          </cell>
        </row>
        <row r="369">
          <cell r="B369" t="str">
            <v>의류</v>
          </cell>
          <cell r="C369">
            <v>339</v>
          </cell>
          <cell r="F369" t="str">
            <v>P0Y7101</v>
          </cell>
          <cell r="G369">
            <v>53</v>
          </cell>
          <cell r="AB369">
            <v>1</v>
          </cell>
          <cell r="AC369">
            <v>89000</v>
          </cell>
        </row>
        <row r="370">
          <cell r="B370" t="str">
            <v>의류</v>
          </cell>
          <cell r="C370">
            <v>339</v>
          </cell>
          <cell r="F370" t="str">
            <v>P0Y7102</v>
          </cell>
          <cell r="G370">
            <v>49</v>
          </cell>
          <cell r="AB370">
            <v>1</v>
          </cell>
          <cell r="AC370">
            <v>79000</v>
          </cell>
        </row>
        <row r="371">
          <cell r="B371" t="str">
            <v>의류</v>
          </cell>
          <cell r="C371">
            <v>339</v>
          </cell>
          <cell r="F371" t="str">
            <v>P0Y7103</v>
          </cell>
          <cell r="G371">
            <v>63</v>
          </cell>
          <cell r="AB371">
            <v>1</v>
          </cell>
          <cell r="AC371">
            <v>69000</v>
          </cell>
        </row>
        <row r="372">
          <cell r="B372" t="str">
            <v>의류</v>
          </cell>
          <cell r="C372">
            <v>339</v>
          </cell>
          <cell r="F372" t="str">
            <v>PNY1201</v>
          </cell>
          <cell r="G372">
            <v>71</v>
          </cell>
          <cell r="AB372">
            <v>1</v>
          </cell>
          <cell r="AC372">
            <v>59000</v>
          </cell>
        </row>
        <row r="373">
          <cell r="B373" t="str">
            <v>의류</v>
          </cell>
          <cell r="C373">
            <v>339</v>
          </cell>
          <cell r="F373" t="str">
            <v>PNY6201</v>
          </cell>
          <cell r="G373">
            <v>39</v>
          </cell>
          <cell r="AB373">
            <v>1</v>
          </cell>
          <cell r="AC373">
            <v>119000</v>
          </cell>
        </row>
        <row r="374">
          <cell r="B374" t="str">
            <v>의류</v>
          </cell>
          <cell r="C374">
            <v>339</v>
          </cell>
          <cell r="F374" t="str">
            <v>PNY7102</v>
          </cell>
          <cell r="G374">
            <v>39</v>
          </cell>
          <cell r="AB374">
            <v>1</v>
          </cell>
          <cell r="AC374">
            <v>119000</v>
          </cell>
        </row>
        <row r="375">
          <cell r="B375" t="str">
            <v>의류</v>
          </cell>
          <cell r="C375">
            <v>339</v>
          </cell>
          <cell r="F375" t="str">
            <v>PNYC101</v>
          </cell>
          <cell r="G375">
            <v>39</v>
          </cell>
          <cell r="AB375">
            <v>1</v>
          </cell>
          <cell r="AC375">
            <v>298800</v>
          </cell>
        </row>
        <row r="376">
          <cell r="B376" t="str">
            <v>의류</v>
          </cell>
          <cell r="C376">
            <v>339</v>
          </cell>
          <cell r="F376" t="str">
            <v>PNYC101</v>
          </cell>
          <cell r="G376">
            <v>76</v>
          </cell>
          <cell r="AB376">
            <v>1</v>
          </cell>
          <cell r="AC376">
            <v>249000</v>
          </cell>
        </row>
        <row r="377">
          <cell r="B377" t="str">
            <v>의류</v>
          </cell>
          <cell r="C377">
            <v>339</v>
          </cell>
          <cell r="F377" t="str">
            <v>PNYV101</v>
          </cell>
          <cell r="G377">
            <v>39</v>
          </cell>
          <cell r="AB377">
            <v>1</v>
          </cell>
          <cell r="AC377">
            <v>119000</v>
          </cell>
        </row>
        <row r="378">
          <cell r="B378" t="str">
            <v>의류</v>
          </cell>
          <cell r="C378">
            <v>339</v>
          </cell>
          <cell r="F378" t="str">
            <v>PTY8102</v>
          </cell>
          <cell r="G378">
            <v>73</v>
          </cell>
          <cell r="AB378">
            <v>1</v>
          </cell>
          <cell r="AC378">
            <v>89000</v>
          </cell>
        </row>
        <row r="379">
          <cell r="B379" t="str">
            <v>의류</v>
          </cell>
          <cell r="C379">
            <v>339</v>
          </cell>
          <cell r="F379" t="str">
            <v>PTYV101</v>
          </cell>
          <cell r="G379">
            <v>31</v>
          </cell>
          <cell r="AB379">
            <v>1</v>
          </cell>
          <cell r="AC379">
            <v>149000</v>
          </cell>
        </row>
        <row r="380">
          <cell r="B380" t="str">
            <v>의류</v>
          </cell>
          <cell r="C380">
            <v>339</v>
          </cell>
          <cell r="F380" t="str">
            <v>PTYV101</v>
          </cell>
          <cell r="G380">
            <v>49</v>
          </cell>
          <cell r="AB380">
            <v>1</v>
          </cell>
          <cell r="AC380">
            <v>149000</v>
          </cell>
        </row>
        <row r="381">
          <cell r="B381" t="str">
            <v>의류</v>
          </cell>
          <cell r="C381">
            <v>379</v>
          </cell>
          <cell r="F381" t="str">
            <v>I0Y1102</v>
          </cell>
          <cell r="G381">
            <v>22</v>
          </cell>
        </row>
        <row r="382">
          <cell r="B382" t="str">
            <v>의류</v>
          </cell>
          <cell r="C382">
            <v>379</v>
          </cell>
          <cell r="F382" t="str">
            <v>I0Y1103</v>
          </cell>
          <cell r="G382">
            <v>34</v>
          </cell>
        </row>
        <row r="383">
          <cell r="B383" t="str">
            <v>의류</v>
          </cell>
          <cell r="C383">
            <v>379</v>
          </cell>
          <cell r="F383" t="str">
            <v>I0Y1104</v>
          </cell>
          <cell r="G383">
            <v>49</v>
          </cell>
        </row>
        <row r="384">
          <cell r="B384" t="str">
            <v>의류</v>
          </cell>
          <cell r="C384">
            <v>379</v>
          </cell>
          <cell r="F384" t="str">
            <v>I0Y1108</v>
          </cell>
          <cell r="G384">
            <v>22</v>
          </cell>
        </row>
        <row r="385">
          <cell r="B385" t="str">
            <v>의류</v>
          </cell>
          <cell r="C385">
            <v>379</v>
          </cell>
          <cell r="F385" t="str">
            <v>I0Y6103</v>
          </cell>
          <cell r="G385">
            <v>49</v>
          </cell>
        </row>
        <row r="386">
          <cell r="B386" t="str">
            <v>의류</v>
          </cell>
          <cell r="C386">
            <v>379</v>
          </cell>
          <cell r="F386" t="str">
            <v>I0Y7101</v>
          </cell>
          <cell r="G386">
            <v>37</v>
          </cell>
        </row>
        <row r="387">
          <cell r="B387" t="str">
            <v>의류</v>
          </cell>
          <cell r="C387">
            <v>379</v>
          </cell>
          <cell r="F387" t="str">
            <v>INY1101</v>
          </cell>
          <cell r="G387">
            <v>39</v>
          </cell>
        </row>
        <row r="388">
          <cell r="B388" t="str">
            <v>의류</v>
          </cell>
          <cell r="C388">
            <v>379</v>
          </cell>
          <cell r="F388" t="str">
            <v>INY1208</v>
          </cell>
          <cell r="G388">
            <v>37</v>
          </cell>
        </row>
        <row r="389">
          <cell r="B389" t="str">
            <v>의류</v>
          </cell>
          <cell r="C389">
            <v>379</v>
          </cell>
          <cell r="F389" t="str">
            <v>INY6102</v>
          </cell>
          <cell r="G389">
            <v>21</v>
          </cell>
        </row>
        <row r="390">
          <cell r="B390" t="str">
            <v>의류</v>
          </cell>
          <cell r="C390">
            <v>379</v>
          </cell>
          <cell r="F390" t="str">
            <v>INY6103</v>
          </cell>
          <cell r="G390">
            <v>36</v>
          </cell>
        </row>
        <row r="391">
          <cell r="B391" t="str">
            <v>의류</v>
          </cell>
          <cell r="C391">
            <v>379</v>
          </cell>
          <cell r="F391" t="str">
            <v>INY6103</v>
          </cell>
          <cell r="G391">
            <v>77</v>
          </cell>
        </row>
        <row r="392">
          <cell r="B392" t="str">
            <v>의류</v>
          </cell>
          <cell r="C392">
            <v>379</v>
          </cell>
          <cell r="F392" t="str">
            <v>INY7101</v>
          </cell>
          <cell r="G392">
            <v>31</v>
          </cell>
        </row>
        <row r="393">
          <cell r="B393" t="str">
            <v>의류</v>
          </cell>
          <cell r="C393">
            <v>379</v>
          </cell>
          <cell r="F393" t="str">
            <v>ITY9101</v>
          </cell>
          <cell r="G393">
            <v>34</v>
          </cell>
        </row>
        <row r="394">
          <cell r="B394" t="str">
            <v>의류</v>
          </cell>
          <cell r="C394">
            <v>379</v>
          </cell>
          <cell r="F394" t="str">
            <v>ITY9104</v>
          </cell>
          <cell r="G394">
            <v>49</v>
          </cell>
        </row>
        <row r="395">
          <cell r="B395" t="str">
            <v>의류</v>
          </cell>
          <cell r="C395">
            <v>379</v>
          </cell>
          <cell r="F395" t="str">
            <v>ITYT101</v>
          </cell>
          <cell r="G395">
            <v>22</v>
          </cell>
        </row>
        <row r="396">
          <cell r="B396" t="str">
            <v>의류</v>
          </cell>
          <cell r="C396">
            <v>379</v>
          </cell>
          <cell r="F396" t="str">
            <v>P0Y1101</v>
          </cell>
          <cell r="G396">
            <v>22</v>
          </cell>
        </row>
        <row r="397">
          <cell r="B397" t="str">
            <v>의류</v>
          </cell>
          <cell r="C397">
            <v>379</v>
          </cell>
          <cell r="F397" t="str">
            <v>P0Y1104</v>
          </cell>
          <cell r="G397">
            <v>63</v>
          </cell>
        </row>
        <row r="398">
          <cell r="B398" t="str">
            <v>의류</v>
          </cell>
          <cell r="C398">
            <v>379</v>
          </cell>
          <cell r="F398" t="str">
            <v>P0Y1107</v>
          </cell>
          <cell r="G398">
            <v>49</v>
          </cell>
        </row>
        <row r="399">
          <cell r="B399" t="str">
            <v>의류</v>
          </cell>
          <cell r="C399">
            <v>379</v>
          </cell>
          <cell r="F399" t="str">
            <v>P0Y1108</v>
          </cell>
          <cell r="G399">
            <v>22</v>
          </cell>
        </row>
        <row r="400">
          <cell r="B400" t="str">
            <v>의류</v>
          </cell>
          <cell r="C400">
            <v>379</v>
          </cell>
          <cell r="F400" t="str">
            <v>P0Y4101</v>
          </cell>
          <cell r="G400">
            <v>49</v>
          </cell>
        </row>
        <row r="401">
          <cell r="B401" t="str">
            <v>의류</v>
          </cell>
          <cell r="C401">
            <v>379</v>
          </cell>
          <cell r="F401" t="str">
            <v>P0Y6102</v>
          </cell>
          <cell r="G401">
            <v>49</v>
          </cell>
        </row>
        <row r="402">
          <cell r="B402" t="str">
            <v>의류</v>
          </cell>
          <cell r="C402">
            <v>379</v>
          </cell>
          <cell r="F402" t="str">
            <v>P0Y7102</v>
          </cell>
          <cell r="G402">
            <v>27</v>
          </cell>
        </row>
        <row r="403">
          <cell r="B403" t="str">
            <v>의류</v>
          </cell>
          <cell r="C403">
            <v>379</v>
          </cell>
          <cell r="F403" t="str">
            <v>P0YQ202</v>
          </cell>
          <cell r="G403">
            <v>63</v>
          </cell>
        </row>
        <row r="404">
          <cell r="B404" t="str">
            <v>의류</v>
          </cell>
          <cell r="C404">
            <v>379</v>
          </cell>
          <cell r="F404" t="str">
            <v>P0YT101</v>
          </cell>
          <cell r="G404">
            <v>26</v>
          </cell>
        </row>
        <row r="405">
          <cell r="B405" t="str">
            <v>의류</v>
          </cell>
          <cell r="C405">
            <v>379</v>
          </cell>
          <cell r="F405" t="str">
            <v>P0YV101</v>
          </cell>
          <cell r="G405">
            <v>75</v>
          </cell>
        </row>
        <row r="406">
          <cell r="B406" t="str">
            <v>의류</v>
          </cell>
          <cell r="C406">
            <v>379</v>
          </cell>
          <cell r="F406" t="str">
            <v>PNY1102</v>
          </cell>
          <cell r="G406">
            <v>31</v>
          </cell>
        </row>
        <row r="407">
          <cell r="B407" t="str">
            <v>의류</v>
          </cell>
          <cell r="C407">
            <v>379</v>
          </cell>
          <cell r="F407" t="str">
            <v>PNY1102</v>
          </cell>
          <cell r="G407">
            <v>76</v>
          </cell>
        </row>
        <row r="408">
          <cell r="B408" t="str">
            <v>의류</v>
          </cell>
          <cell r="C408">
            <v>379</v>
          </cell>
          <cell r="F408" t="str">
            <v>PNY6101</v>
          </cell>
          <cell r="G408">
            <v>39</v>
          </cell>
        </row>
        <row r="409">
          <cell r="B409" t="str">
            <v>의류</v>
          </cell>
          <cell r="C409">
            <v>379</v>
          </cell>
          <cell r="F409" t="str">
            <v>PNY6101</v>
          </cell>
          <cell r="G409">
            <v>76</v>
          </cell>
        </row>
        <row r="410">
          <cell r="B410" t="str">
            <v>의류</v>
          </cell>
          <cell r="C410">
            <v>379</v>
          </cell>
          <cell r="F410" t="str">
            <v>PNY6102</v>
          </cell>
          <cell r="G410">
            <v>39</v>
          </cell>
        </row>
        <row r="411">
          <cell r="B411" t="str">
            <v>의류</v>
          </cell>
          <cell r="C411">
            <v>379</v>
          </cell>
          <cell r="F411" t="str">
            <v>PNY7102</v>
          </cell>
          <cell r="G411">
            <v>31</v>
          </cell>
        </row>
        <row r="412">
          <cell r="B412" t="str">
            <v>의류</v>
          </cell>
          <cell r="C412">
            <v>379</v>
          </cell>
          <cell r="F412" t="str">
            <v>PNY7204</v>
          </cell>
          <cell r="G412">
            <v>41</v>
          </cell>
          <cell r="AC412">
            <v>6900</v>
          </cell>
        </row>
        <row r="413">
          <cell r="B413" t="str">
            <v>의류</v>
          </cell>
          <cell r="C413">
            <v>379</v>
          </cell>
          <cell r="F413" t="str">
            <v>PTYT101</v>
          </cell>
          <cell r="G413">
            <v>45</v>
          </cell>
        </row>
        <row r="414">
          <cell r="B414" t="str">
            <v>의류</v>
          </cell>
          <cell r="C414">
            <v>379</v>
          </cell>
          <cell r="F414" t="str">
            <v>PTYT101</v>
          </cell>
          <cell r="G414">
            <v>74</v>
          </cell>
        </row>
        <row r="415">
          <cell r="B415" t="str">
            <v>의류</v>
          </cell>
          <cell r="C415">
            <v>379</v>
          </cell>
          <cell r="F415" t="str">
            <v>PTYT102</v>
          </cell>
          <cell r="G415">
            <v>26</v>
          </cell>
        </row>
        <row r="416">
          <cell r="B416" t="str">
            <v>의류</v>
          </cell>
          <cell r="C416">
            <v>379</v>
          </cell>
          <cell r="F416" t="str">
            <v>PTYT102</v>
          </cell>
          <cell r="G416">
            <v>39</v>
          </cell>
          <cell r="AC416">
            <v>15900</v>
          </cell>
        </row>
        <row r="417">
          <cell r="B417" t="str">
            <v>의류</v>
          </cell>
          <cell r="C417">
            <v>415</v>
          </cell>
          <cell r="F417" t="str">
            <v>I0Y1101</v>
          </cell>
          <cell r="G417">
            <v>49</v>
          </cell>
          <cell r="AB417">
            <v>-1</v>
          </cell>
          <cell r="AC417">
            <v>-39000</v>
          </cell>
        </row>
        <row r="418">
          <cell r="B418" t="str">
            <v>의류</v>
          </cell>
          <cell r="C418">
            <v>415</v>
          </cell>
          <cell r="F418" t="str">
            <v>I0Y1108</v>
          </cell>
          <cell r="G418">
            <v>49</v>
          </cell>
          <cell r="AB418">
            <v>-1</v>
          </cell>
          <cell r="AC418">
            <v>-69000</v>
          </cell>
        </row>
        <row r="419">
          <cell r="B419" t="str">
            <v>의류</v>
          </cell>
          <cell r="C419">
            <v>415</v>
          </cell>
          <cell r="F419" t="str">
            <v>I0Y6103</v>
          </cell>
          <cell r="G419">
            <v>22</v>
          </cell>
          <cell r="AB419">
            <v>-1</v>
          </cell>
          <cell r="AC419">
            <v>-149000</v>
          </cell>
        </row>
        <row r="420">
          <cell r="B420" t="str">
            <v>의류</v>
          </cell>
          <cell r="C420">
            <v>415</v>
          </cell>
          <cell r="F420" t="str">
            <v>I0Y6104</v>
          </cell>
          <cell r="G420">
            <v>48</v>
          </cell>
          <cell r="AB420">
            <v>-1</v>
          </cell>
          <cell r="AC420">
            <v>-179000</v>
          </cell>
        </row>
        <row r="421">
          <cell r="B421" t="str">
            <v>의류</v>
          </cell>
          <cell r="C421">
            <v>415</v>
          </cell>
          <cell r="F421" t="str">
            <v>I0Y6104</v>
          </cell>
          <cell r="G421">
            <v>63</v>
          </cell>
          <cell r="AB421">
            <v>-1</v>
          </cell>
          <cell r="AC421">
            <v>-179000</v>
          </cell>
        </row>
        <row r="422">
          <cell r="B422" t="str">
            <v>의류</v>
          </cell>
          <cell r="C422">
            <v>415</v>
          </cell>
          <cell r="F422" t="str">
            <v>I0Y7103</v>
          </cell>
          <cell r="G422">
            <v>37</v>
          </cell>
          <cell r="AB422">
            <v>-1</v>
          </cell>
          <cell r="AC422">
            <v>-99000</v>
          </cell>
        </row>
        <row r="423">
          <cell r="B423" t="str">
            <v>의류</v>
          </cell>
          <cell r="C423">
            <v>415</v>
          </cell>
          <cell r="F423" t="str">
            <v>ITY9104</v>
          </cell>
          <cell r="G423">
            <v>54</v>
          </cell>
          <cell r="AB423">
            <v>-1</v>
          </cell>
          <cell r="AC423">
            <v>-179000</v>
          </cell>
        </row>
        <row r="424">
          <cell r="B424" t="str">
            <v>의류</v>
          </cell>
          <cell r="C424">
            <v>415</v>
          </cell>
          <cell r="F424" t="str">
            <v>ITYT101</v>
          </cell>
          <cell r="G424">
            <v>49</v>
          </cell>
          <cell r="AB424">
            <v>-1</v>
          </cell>
          <cell r="AC424">
            <v>-179000</v>
          </cell>
        </row>
        <row r="425">
          <cell r="B425" t="str">
            <v>의류</v>
          </cell>
          <cell r="C425">
            <v>415</v>
          </cell>
          <cell r="F425" t="str">
            <v>P0Y1104</v>
          </cell>
          <cell r="G425">
            <v>49</v>
          </cell>
          <cell r="AB425">
            <v>-1</v>
          </cell>
          <cell r="AC425">
            <v>-79000</v>
          </cell>
        </row>
        <row r="426">
          <cell r="B426" t="str">
            <v>의류</v>
          </cell>
          <cell r="C426">
            <v>424</v>
          </cell>
          <cell r="F426" t="str">
            <v>P0Y1108</v>
          </cell>
          <cell r="G426">
            <v>49</v>
          </cell>
          <cell r="AB426">
            <v>-2</v>
          </cell>
          <cell r="AC426">
            <v>-158000</v>
          </cell>
        </row>
        <row r="427">
          <cell r="B427" t="str">
            <v>의류</v>
          </cell>
          <cell r="C427">
            <v>424</v>
          </cell>
          <cell r="F427" t="str">
            <v>P0YT101</v>
          </cell>
          <cell r="G427">
            <v>49</v>
          </cell>
          <cell r="AB427">
            <v>-2</v>
          </cell>
          <cell r="AC427">
            <v>-398000</v>
          </cell>
        </row>
        <row r="428">
          <cell r="B428" t="str">
            <v>의류</v>
          </cell>
          <cell r="C428">
            <v>426</v>
          </cell>
          <cell r="F428" t="str">
            <v>I0Y1102</v>
          </cell>
          <cell r="G428">
            <v>76</v>
          </cell>
          <cell r="AB428">
            <v>-3</v>
          </cell>
          <cell r="AC428">
            <v>-229100</v>
          </cell>
        </row>
        <row r="429">
          <cell r="B429" t="str">
            <v>악세</v>
          </cell>
          <cell r="C429">
            <v>0</v>
          </cell>
          <cell r="F429" t="str">
            <v>IAYG101</v>
          </cell>
          <cell r="G429">
            <v>31</v>
          </cell>
          <cell r="AB429">
            <v>1</v>
          </cell>
          <cell r="AC429">
            <v>38400</v>
          </cell>
        </row>
        <row r="430">
          <cell r="B430" t="str">
            <v>악세</v>
          </cell>
          <cell r="C430">
            <v>0</v>
          </cell>
          <cell r="F430" t="str">
            <v>IAYT101</v>
          </cell>
          <cell r="G430">
            <v>34</v>
          </cell>
          <cell r="AB430">
            <v>54</v>
          </cell>
          <cell r="AC430">
            <v>975100</v>
          </cell>
        </row>
        <row r="431">
          <cell r="B431" t="str">
            <v>악세</v>
          </cell>
          <cell r="C431">
            <v>0</v>
          </cell>
          <cell r="F431" t="str">
            <v>IAYT102</v>
          </cell>
          <cell r="G431">
            <v>31</v>
          </cell>
        </row>
        <row r="432">
          <cell r="B432" t="str">
            <v>악세</v>
          </cell>
          <cell r="C432">
            <v>0</v>
          </cell>
          <cell r="F432" t="str">
            <v>IAYT102</v>
          </cell>
          <cell r="G432">
            <v>39</v>
          </cell>
          <cell r="AB432">
            <v>1</v>
          </cell>
          <cell r="AC432">
            <v>19900</v>
          </cell>
        </row>
        <row r="433">
          <cell r="B433" t="str">
            <v>악세</v>
          </cell>
          <cell r="C433">
            <v>0</v>
          </cell>
          <cell r="F433" t="str">
            <v>IAYT201</v>
          </cell>
          <cell r="G433">
            <v>31</v>
          </cell>
          <cell r="AB433">
            <v>35</v>
          </cell>
          <cell r="AC433">
            <v>532000</v>
          </cell>
        </row>
        <row r="434">
          <cell r="B434" t="str">
            <v>악세</v>
          </cell>
          <cell r="C434">
            <v>0</v>
          </cell>
          <cell r="F434" t="str">
            <v>IAYV201</v>
          </cell>
          <cell r="G434">
            <v>49</v>
          </cell>
          <cell r="AB434">
            <v>2</v>
          </cell>
          <cell r="AC434">
            <v>124800</v>
          </cell>
        </row>
        <row r="435">
          <cell r="B435" t="str">
            <v>악세</v>
          </cell>
          <cell r="C435">
            <v>0</v>
          </cell>
          <cell r="F435" t="str">
            <v>IAYW101</v>
          </cell>
          <cell r="G435">
            <v>49</v>
          </cell>
          <cell r="AB435">
            <v>1</v>
          </cell>
          <cell r="AC435">
            <v>46400</v>
          </cell>
        </row>
        <row r="436">
          <cell r="B436" t="str">
            <v>악세</v>
          </cell>
          <cell r="C436">
            <v>0</v>
          </cell>
          <cell r="F436" t="str">
            <v>IAYW102</v>
          </cell>
          <cell r="G436">
            <v>37</v>
          </cell>
          <cell r="AB436">
            <v>1</v>
          </cell>
          <cell r="AC436">
            <v>46400</v>
          </cell>
        </row>
        <row r="437">
          <cell r="B437" t="str">
            <v>악세</v>
          </cell>
          <cell r="C437">
            <v>0</v>
          </cell>
          <cell r="F437" t="str">
            <v>IAYW103</v>
          </cell>
          <cell r="G437">
            <v>22</v>
          </cell>
          <cell r="AB437">
            <v>3</v>
          </cell>
          <cell r="AC437">
            <v>139200</v>
          </cell>
        </row>
        <row r="438">
          <cell r="B438" t="str">
            <v>악세</v>
          </cell>
          <cell r="C438">
            <v>0</v>
          </cell>
          <cell r="F438" t="str">
            <v>IAYW103</v>
          </cell>
          <cell r="G438">
            <v>49</v>
          </cell>
          <cell r="AB438">
            <v>3</v>
          </cell>
          <cell r="AC438">
            <v>139200</v>
          </cell>
        </row>
        <row r="439">
          <cell r="B439" t="str">
            <v>악세</v>
          </cell>
          <cell r="C439">
            <v>0</v>
          </cell>
          <cell r="F439" t="str">
            <v>IAYW103</v>
          </cell>
          <cell r="G439">
            <v>76</v>
          </cell>
          <cell r="AB439">
            <v>1</v>
          </cell>
          <cell r="AC439">
            <v>46400</v>
          </cell>
        </row>
        <row r="440">
          <cell r="B440" t="str">
            <v>악세</v>
          </cell>
          <cell r="C440">
            <v>0</v>
          </cell>
          <cell r="F440" t="str">
            <v>IAYW104</v>
          </cell>
          <cell r="G440">
            <v>31</v>
          </cell>
          <cell r="AB440">
            <v>2</v>
          </cell>
          <cell r="AC440">
            <v>92800</v>
          </cell>
        </row>
        <row r="441">
          <cell r="B441" t="str">
            <v>악세</v>
          </cell>
          <cell r="C441">
            <v>0</v>
          </cell>
          <cell r="F441" t="str">
            <v>IAYW104</v>
          </cell>
          <cell r="G441">
            <v>49</v>
          </cell>
          <cell r="AB441">
            <v>6</v>
          </cell>
          <cell r="AC441">
            <v>278400</v>
          </cell>
        </row>
        <row r="442">
          <cell r="B442" t="str">
            <v>악세</v>
          </cell>
          <cell r="C442">
            <v>0</v>
          </cell>
          <cell r="F442" t="str">
            <v>IAYW105</v>
          </cell>
          <cell r="G442">
            <v>34</v>
          </cell>
          <cell r="AB442">
            <v>2</v>
          </cell>
          <cell r="AC442">
            <v>92800</v>
          </cell>
        </row>
        <row r="443">
          <cell r="B443" t="str">
            <v>악세</v>
          </cell>
          <cell r="C443">
            <v>0</v>
          </cell>
          <cell r="F443" t="str">
            <v>IAYW105</v>
          </cell>
          <cell r="G443">
            <v>37</v>
          </cell>
          <cell r="AB443">
            <v>1</v>
          </cell>
          <cell r="AC443">
            <v>46400</v>
          </cell>
        </row>
        <row r="444">
          <cell r="B444" t="str">
            <v>악세</v>
          </cell>
          <cell r="C444">
            <v>0</v>
          </cell>
          <cell r="F444" t="str">
            <v>IAYW106</v>
          </cell>
          <cell r="G444">
            <v>61</v>
          </cell>
        </row>
        <row r="445">
          <cell r="B445" t="str">
            <v>악세</v>
          </cell>
          <cell r="C445">
            <v>0</v>
          </cell>
          <cell r="F445" t="str">
            <v>IAYW201</v>
          </cell>
          <cell r="G445">
            <v>31</v>
          </cell>
          <cell r="AB445">
            <v>6</v>
          </cell>
          <cell r="AC445">
            <v>278400</v>
          </cell>
        </row>
        <row r="446">
          <cell r="B446" t="str">
            <v>악세</v>
          </cell>
          <cell r="C446">
            <v>0</v>
          </cell>
          <cell r="F446" t="str">
            <v>IAYW201</v>
          </cell>
          <cell r="G446">
            <v>49</v>
          </cell>
          <cell r="AB446">
            <v>10</v>
          </cell>
          <cell r="AC446">
            <v>464000</v>
          </cell>
        </row>
        <row r="447">
          <cell r="B447" t="str">
            <v>악세</v>
          </cell>
          <cell r="C447">
            <v>0</v>
          </cell>
          <cell r="F447" t="str">
            <v>IAYW202</v>
          </cell>
          <cell r="G447">
            <v>32</v>
          </cell>
          <cell r="AB447">
            <v>10</v>
          </cell>
          <cell r="AC447">
            <v>464000</v>
          </cell>
        </row>
        <row r="448">
          <cell r="B448" t="str">
            <v>악세</v>
          </cell>
          <cell r="C448">
            <v>0</v>
          </cell>
          <cell r="F448" t="str">
            <v>IAYW202</v>
          </cell>
          <cell r="G448">
            <v>49</v>
          </cell>
          <cell r="AB448">
            <v>13</v>
          </cell>
          <cell r="AC448">
            <v>573200</v>
          </cell>
        </row>
        <row r="449">
          <cell r="B449" t="str">
            <v>악세</v>
          </cell>
          <cell r="C449">
            <v>0</v>
          </cell>
          <cell r="F449" t="str">
            <v>IAYW203</v>
          </cell>
          <cell r="G449">
            <v>37</v>
          </cell>
          <cell r="AB449">
            <v>3</v>
          </cell>
          <cell r="AC449">
            <v>139200</v>
          </cell>
        </row>
        <row r="450">
          <cell r="B450" t="str">
            <v>악세</v>
          </cell>
          <cell r="C450">
            <v>0</v>
          </cell>
          <cell r="F450" t="str">
            <v>IAYW203</v>
          </cell>
          <cell r="G450">
            <v>43</v>
          </cell>
          <cell r="AB450">
            <v>6</v>
          </cell>
          <cell r="AC450">
            <v>278400</v>
          </cell>
        </row>
        <row r="451">
          <cell r="B451" t="str">
            <v>악세</v>
          </cell>
          <cell r="C451">
            <v>0</v>
          </cell>
          <cell r="F451" t="str">
            <v>IAYW204</v>
          </cell>
          <cell r="G451">
            <v>49</v>
          </cell>
          <cell r="AB451">
            <v>11</v>
          </cell>
          <cell r="AC451">
            <v>510400</v>
          </cell>
        </row>
        <row r="452">
          <cell r="B452" t="str">
            <v>악세</v>
          </cell>
          <cell r="C452">
            <v>0</v>
          </cell>
          <cell r="F452" t="str">
            <v>IAYW205</v>
          </cell>
          <cell r="G452">
            <v>49</v>
          </cell>
          <cell r="AB452">
            <v>3</v>
          </cell>
          <cell r="AC452">
            <v>109200</v>
          </cell>
        </row>
        <row r="453">
          <cell r="B453" t="str">
            <v>악세</v>
          </cell>
          <cell r="C453">
            <v>0</v>
          </cell>
          <cell r="F453" t="str">
            <v>IAYW206</v>
          </cell>
          <cell r="G453">
            <v>37</v>
          </cell>
          <cell r="AB453">
            <v>8</v>
          </cell>
          <cell r="AC453">
            <v>371200</v>
          </cell>
        </row>
        <row r="454">
          <cell r="B454" t="str">
            <v>악세</v>
          </cell>
          <cell r="C454">
            <v>0</v>
          </cell>
          <cell r="F454" t="str">
            <v>IAYW206</v>
          </cell>
          <cell r="G454">
            <v>53</v>
          </cell>
          <cell r="AB454">
            <v>2</v>
          </cell>
          <cell r="AC454">
            <v>92800</v>
          </cell>
        </row>
        <row r="455">
          <cell r="B455" t="str">
            <v>악세</v>
          </cell>
          <cell r="C455">
            <v>0</v>
          </cell>
          <cell r="F455" t="str">
            <v>IAYW207</v>
          </cell>
          <cell r="G455">
            <v>34</v>
          </cell>
          <cell r="AB455">
            <v>7</v>
          </cell>
          <cell r="AC455">
            <v>380800</v>
          </cell>
        </row>
        <row r="456">
          <cell r="B456" t="str">
            <v>악세</v>
          </cell>
          <cell r="C456">
            <v>0</v>
          </cell>
          <cell r="F456" t="str">
            <v>IAYW208</v>
          </cell>
          <cell r="G456">
            <v>49</v>
          </cell>
          <cell r="AB456">
            <v>13</v>
          </cell>
          <cell r="AC456">
            <v>603200</v>
          </cell>
        </row>
        <row r="457">
          <cell r="B457" t="str">
            <v>악세</v>
          </cell>
          <cell r="C457">
            <v>0</v>
          </cell>
          <cell r="F457" t="str">
            <v>IAYW209</v>
          </cell>
          <cell r="G457">
            <v>73</v>
          </cell>
          <cell r="AB457">
            <v>8</v>
          </cell>
          <cell r="AC457">
            <v>371200</v>
          </cell>
        </row>
        <row r="458">
          <cell r="B458" t="str">
            <v>악세</v>
          </cell>
          <cell r="C458">
            <v>0</v>
          </cell>
          <cell r="F458" t="str">
            <v>IAYW210</v>
          </cell>
          <cell r="G458">
            <v>49</v>
          </cell>
          <cell r="AB458">
            <v>3</v>
          </cell>
          <cell r="AC458">
            <v>139200</v>
          </cell>
        </row>
        <row r="459">
          <cell r="B459" t="str">
            <v>악세</v>
          </cell>
          <cell r="C459">
            <v>0</v>
          </cell>
          <cell r="F459" t="str">
            <v>IAYW211</v>
          </cell>
          <cell r="G459">
            <v>31</v>
          </cell>
        </row>
        <row r="460">
          <cell r="B460" t="str">
            <v>악세</v>
          </cell>
          <cell r="C460">
            <v>0</v>
          </cell>
          <cell r="F460" t="str">
            <v>IAYW211</v>
          </cell>
          <cell r="G460">
            <v>39</v>
          </cell>
          <cell r="AB460">
            <v>3</v>
          </cell>
          <cell r="AC460">
            <v>139200</v>
          </cell>
        </row>
        <row r="461">
          <cell r="B461" t="str">
            <v>악세</v>
          </cell>
          <cell r="C461">
            <v>0</v>
          </cell>
          <cell r="F461" t="str">
            <v>IAYW212</v>
          </cell>
          <cell r="G461">
            <v>39</v>
          </cell>
          <cell r="AB461">
            <v>5</v>
          </cell>
          <cell r="AC461">
            <v>272000</v>
          </cell>
        </row>
        <row r="462">
          <cell r="B462" t="str">
            <v>악세</v>
          </cell>
          <cell r="C462">
            <v>0</v>
          </cell>
          <cell r="F462" t="str">
            <v>IAYW213</v>
          </cell>
          <cell r="G462">
            <v>32</v>
          </cell>
          <cell r="AB462">
            <v>10</v>
          </cell>
          <cell r="AC462">
            <v>514000</v>
          </cell>
        </row>
        <row r="463">
          <cell r="B463" t="str">
            <v>악세</v>
          </cell>
          <cell r="C463">
            <v>0</v>
          </cell>
          <cell r="F463" t="str">
            <v>IAYW213</v>
          </cell>
          <cell r="G463">
            <v>39</v>
          </cell>
          <cell r="AB463">
            <v>3</v>
          </cell>
          <cell r="AC463">
            <v>133200</v>
          </cell>
        </row>
        <row r="464">
          <cell r="B464" t="str">
            <v>악세</v>
          </cell>
          <cell r="C464">
            <v>0</v>
          </cell>
          <cell r="F464" t="str">
            <v>PAYG101</v>
          </cell>
          <cell r="G464">
            <v>41</v>
          </cell>
          <cell r="AB464">
            <v>1</v>
          </cell>
          <cell r="AC464">
            <v>54400</v>
          </cell>
        </row>
        <row r="465">
          <cell r="B465" t="str">
            <v>악세</v>
          </cell>
          <cell r="C465">
            <v>0</v>
          </cell>
          <cell r="F465" t="str">
            <v>PAYG102</v>
          </cell>
          <cell r="G465">
            <v>31</v>
          </cell>
          <cell r="AB465">
            <v>1</v>
          </cell>
          <cell r="AC465">
            <v>54400</v>
          </cell>
        </row>
        <row r="466">
          <cell r="B466" t="str">
            <v>악세</v>
          </cell>
          <cell r="C466">
            <v>0</v>
          </cell>
          <cell r="F466" t="str">
            <v>PAYT101</v>
          </cell>
          <cell r="G466">
            <v>49</v>
          </cell>
          <cell r="AB466">
            <v>75</v>
          </cell>
          <cell r="AC466">
            <v>1393000</v>
          </cell>
        </row>
        <row r="467">
          <cell r="B467" t="str">
            <v>악세</v>
          </cell>
          <cell r="C467">
            <v>0</v>
          </cell>
          <cell r="F467" t="str">
            <v>PAYT102</v>
          </cell>
          <cell r="G467">
            <v>31</v>
          </cell>
        </row>
        <row r="468">
          <cell r="B468" t="str">
            <v>악세</v>
          </cell>
          <cell r="C468">
            <v>0</v>
          </cell>
          <cell r="F468" t="str">
            <v>PAYT102</v>
          </cell>
          <cell r="G468">
            <v>39</v>
          </cell>
          <cell r="AB468">
            <v>2</v>
          </cell>
          <cell r="AC468">
            <v>39800</v>
          </cell>
        </row>
        <row r="469">
          <cell r="B469" t="str">
            <v>악세</v>
          </cell>
          <cell r="C469">
            <v>0</v>
          </cell>
          <cell r="F469" t="str">
            <v>PAYV201</v>
          </cell>
          <cell r="G469">
            <v>49</v>
          </cell>
          <cell r="AB469">
            <v>3</v>
          </cell>
          <cell r="AC469">
            <v>156400</v>
          </cell>
        </row>
        <row r="470">
          <cell r="B470" t="str">
            <v>악세</v>
          </cell>
          <cell r="C470">
            <v>0</v>
          </cell>
          <cell r="F470" t="str">
            <v>PAYV201</v>
          </cell>
          <cell r="G470">
            <v>76</v>
          </cell>
          <cell r="AB470">
            <v>3</v>
          </cell>
          <cell r="AC470">
            <v>156400</v>
          </cell>
        </row>
        <row r="471">
          <cell r="B471" t="str">
            <v>악세</v>
          </cell>
          <cell r="C471">
            <v>0</v>
          </cell>
          <cell r="F471" t="str">
            <v>PAYW101</v>
          </cell>
          <cell r="G471">
            <v>49</v>
          </cell>
          <cell r="AB471">
            <v>1</v>
          </cell>
          <cell r="AC471">
            <v>46400</v>
          </cell>
        </row>
        <row r="472">
          <cell r="B472" t="str">
            <v>악세</v>
          </cell>
          <cell r="C472">
            <v>0</v>
          </cell>
          <cell r="F472" t="str">
            <v>PAYW102</v>
          </cell>
          <cell r="G472">
            <v>49</v>
          </cell>
        </row>
        <row r="473">
          <cell r="B473" t="str">
            <v>악세</v>
          </cell>
          <cell r="C473">
            <v>0</v>
          </cell>
          <cell r="F473" t="str">
            <v>PAYW102</v>
          </cell>
          <cell r="G473">
            <v>76</v>
          </cell>
          <cell r="AB473">
            <v>1</v>
          </cell>
          <cell r="AC473">
            <v>46400</v>
          </cell>
        </row>
        <row r="474">
          <cell r="B474" t="str">
            <v>악세</v>
          </cell>
          <cell r="C474">
            <v>0</v>
          </cell>
          <cell r="F474" t="str">
            <v>PAYW103</v>
          </cell>
          <cell r="G474">
            <v>31</v>
          </cell>
          <cell r="AB474">
            <v>24</v>
          </cell>
          <cell r="AC474">
            <v>1268800</v>
          </cell>
        </row>
        <row r="475">
          <cell r="B475" t="str">
            <v>악세</v>
          </cell>
          <cell r="C475">
            <v>0</v>
          </cell>
          <cell r="F475" t="str">
            <v>PAYW103</v>
          </cell>
          <cell r="G475">
            <v>49</v>
          </cell>
        </row>
        <row r="476">
          <cell r="B476" t="str">
            <v>악세</v>
          </cell>
          <cell r="C476">
            <v>0</v>
          </cell>
          <cell r="F476" t="str">
            <v>PAYW104</v>
          </cell>
          <cell r="G476">
            <v>41</v>
          </cell>
          <cell r="AB476">
            <v>2</v>
          </cell>
          <cell r="AC476">
            <v>108800</v>
          </cell>
        </row>
        <row r="477">
          <cell r="B477" t="str">
            <v>악세</v>
          </cell>
          <cell r="C477">
            <v>0</v>
          </cell>
          <cell r="F477" t="str">
            <v>PAYW104</v>
          </cell>
          <cell r="G477">
            <v>76</v>
          </cell>
          <cell r="AB477">
            <v>3</v>
          </cell>
          <cell r="AC477">
            <v>163200</v>
          </cell>
        </row>
        <row r="478">
          <cell r="B478" t="str">
            <v>악세</v>
          </cell>
          <cell r="C478">
            <v>0</v>
          </cell>
          <cell r="F478" t="str">
            <v>PAYW105</v>
          </cell>
          <cell r="G478">
            <v>31</v>
          </cell>
          <cell r="AB478">
            <v>6</v>
          </cell>
          <cell r="AC478">
            <v>326400</v>
          </cell>
        </row>
        <row r="479">
          <cell r="B479" t="str">
            <v>악세</v>
          </cell>
          <cell r="C479">
            <v>0</v>
          </cell>
          <cell r="F479" t="str">
            <v>PAYW105</v>
          </cell>
          <cell r="G479">
            <v>49</v>
          </cell>
          <cell r="AB479">
            <v>10</v>
          </cell>
          <cell r="AC479">
            <v>514000</v>
          </cell>
        </row>
        <row r="480">
          <cell r="B480" t="str">
            <v>악세</v>
          </cell>
          <cell r="C480">
            <v>0</v>
          </cell>
          <cell r="F480" t="str">
            <v>PAYW106</v>
          </cell>
          <cell r="G480">
            <v>31</v>
          </cell>
          <cell r="AB480">
            <v>3</v>
          </cell>
          <cell r="AC480">
            <v>115200</v>
          </cell>
        </row>
        <row r="481">
          <cell r="B481" t="str">
            <v>악세</v>
          </cell>
          <cell r="C481">
            <v>0</v>
          </cell>
          <cell r="F481" t="str">
            <v>PAYW106</v>
          </cell>
          <cell r="G481">
            <v>39</v>
          </cell>
        </row>
        <row r="482">
          <cell r="B482" t="str">
            <v>악세</v>
          </cell>
          <cell r="C482">
            <v>0</v>
          </cell>
          <cell r="F482" t="str">
            <v>PAYW201</v>
          </cell>
          <cell r="G482">
            <v>31</v>
          </cell>
          <cell r="AB482">
            <v>9</v>
          </cell>
          <cell r="AC482">
            <v>489600</v>
          </cell>
        </row>
        <row r="483">
          <cell r="B483" t="str">
            <v>악세</v>
          </cell>
          <cell r="C483">
            <v>0</v>
          </cell>
          <cell r="F483" t="str">
            <v>PAYW201</v>
          </cell>
          <cell r="G483">
            <v>49</v>
          </cell>
          <cell r="AB483">
            <v>2</v>
          </cell>
          <cell r="AC483">
            <v>108800</v>
          </cell>
        </row>
        <row r="484">
          <cell r="B484" t="str">
            <v>악세</v>
          </cell>
          <cell r="C484">
            <v>0</v>
          </cell>
          <cell r="F484" t="str">
            <v>PAYW202</v>
          </cell>
          <cell r="G484">
            <v>31</v>
          </cell>
          <cell r="AB484">
            <v>4</v>
          </cell>
          <cell r="AC484">
            <v>185600</v>
          </cell>
        </row>
        <row r="485">
          <cell r="B485" t="str">
            <v>악세</v>
          </cell>
          <cell r="C485">
            <v>0</v>
          </cell>
          <cell r="F485" t="str">
            <v>PAYW202</v>
          </cell>
          <cell r="G485">
            <v>49</v>
          </cell>
          <cell r="AB485">
            <v>2</v>
          </cell>
          <cell r="AC485">
            <v>92800</v>
          </cell>
        </row>
        <row r="486">
          <cell r="B486" t="str">
            <v>악세</v>
          </cell>
          <cell r="C486">
            <v>0</v>
          </cell>
          <cell r="F486" t="str">
            <v>PAYW203</v>
          </cell>
          <cell r="G486">
            <v>45</v>
          </cell>
          <cell r="AB486">
            <v>13</v>
          </cell>
          <cell r="AC486">
            <v>603200</v>
          </cell>
        </row>
        <row r="487">
          <cell r="B487" t="str">
            <v>악세</v>
          </cell>
          <cell r="C487">
            <v>0</v>
          </cell>
          <cell r="F487" t="str">
            <v>PAYW203</v>
          </cell>
          <cell r="G487">
            <v>74</v>
          </cell>
          <cell r="AB487">
            <v>3</v>
          </cell>
          <cell r="AC487">
            <v>139200</v>
          </cell>
        </row>
        <row r="488">
          <cell r="B488" t="str">
            <v>악세</v>
          </cell>
          <cell r="C488">
            <v>0</v>
          </cell>
          <cell r="F488" t="str">
            <v>PAYW204</v>
          </cell>
          <cell r="G488">
            <v>39</v>
          </cell>
          <cell r="AB488">
            <v>6</v>
          </cell>
          <cell r="AC488">
            <v>278400</v>
          </cell>
        </row>
        <row r="489">
          <cell r="B489" t="str">
            <v>악세</v>
          </cell>
          <cell r="C489">
            <v>0</v>
          </cell>
          <cell r="F489" t="str">
            <v>PAYW204</v>
          </cell>
          <cell r="G489">
            <v>76</v>
          </cell>
          <cell r="AB489">
            <v>3</v>
          </cell>
          <cell r="AC489">
            <v>139200</v>
          </cell>
        </row>
        <row r="490">
          <cell r="B490" t="str">
            <v>악세</v>
          </cell>
          <cell r="C490">
            <v>0</v>
          </cell>
          <cell r="F490" t="str">
            <v>PAYW206</v>
          </cell>
          <cell r="G490">
            <v>49</v>
          </cell>
          <cell r="AB490">
            <v>5</v>
          </cell>
          <cell r="AC490">
            <v>272000</v>
          </cell>
        </row>
        <row r="491">
          <cell r="B491" t="str">
            <v>악세</v>
          </cell>
          <cell r="C491">
            <v>0</v>
          </cell>
          <cell r="F491" t="str">
            <v>PAYW206</v>
          </cell>
          <cell r="G491">
            <v>76</v>
          </cell>
          <cell r="AB491">
            <v>2</v>
          </cell>
          <cell r="AC491">
            <v>108800</v>
          </cell>
        </row>
        <row r="492">
          <cell r="B492" t="str">
            <v>악세</v>
          </cell>
          <cell r="C492">
            <v>0</v>
          </cell>
          <cell r="F492" t="str">
            <v>PAYW207</v>
          </cell>
          <cell r="G492">
            <v>49</v>
          </cell>
          <cell r="AB492">
            <v>10</v>
          </cell>
          <cell r="AC492">
            <v>544000</v>
          </cell>
        </row>
        <row r="493">
          <cell r="B493" t="str">
            <v>악세</v>
          </cell>
          <cell r="C493">
            <v>0</v>
          </cell>
          <cell r="F493" t="str">
            <v>PAYW207</v>
          </cell>
          <cell r="G493">
            <v>63</v>
          </cell>
          <cell r="AB493">
            <v>1</v>
          </cell>
          <cell r="AC493">
            <v>54400</v>
          </cell>
        </row>
        <row r="494">
          <cell r="B494" t="str">
            <v>악세</v>
          </cell>
          <cell r="C494">
            <v>0</v>
          </cell>
          <cell r="F494" t="str">
            <v>PAYW208</v>
          </cell>
          <cell r="G494">
            <v>22</v>
          </cell>
          <cell r="AB494">
            <v>4</v>
          </cell>
          <cell r="AC494">
            <v>217600</v>
          </cell>
        </row>
        <row r="495">
          <cell r="B495" t="str">
            <v>악세</v>
          </cell>
          <cell r="C495">
            <v>0</v>
          </cell>
          <cell r="F495" t="str">
            <v>PAYW208</v>
          </cell>
          <cell r="G495">
            <v>49</v>
          </cell>
          <cell r="AB495">
            <v>3</v>
          </cell>
          <cell r="AC495">
            <v>163200</v>
          </cell>
        </row>
        <row r="496">
          <cell r="B496" t="str">
            <v>악세</v>
          </cell>
          <cell r="C496">
            <v>0</v>
          </cell>
          <cell r="F496" t="str">
            <v>PAYW209</v>
          </cell>
          <cell r="G496">
            <v>31</v>
          </cell>
          <cell r="AB496">
            <v>4</v>
          </cell>
          <cell r="AC496">
            <v>217600</v>
          </cell>
        </row>
        <row r="497">
          <cell r="B497" t="str">
            <v>악세</v>
          </cell>
          <cell r="C497">
            <v>0</v>
          </cell>
          <cell r="F497" t="str">
            <v>PAYW209</v>
          </cell>
          <cell r="G497">
            <v>49</v>
          </cell>
          <cell r="AB497">
            <v>3</v>
          </cell>
          <cell r="AC497">
            <v>163200</v>
          </cell>
        </row>
        <row r="498">
          <cell r="B498" t="str">
            <v>악세</v>
          </cell>
          <cell r="C498">
            <v>0</v>
          </cell>
          <cell r="F498" t="str">
            <v>PAYW210</v>
          </cell>
          <cell r="G498">
            <v>32</v>
          </cell>
          <cell r="AB498">
            <v>5</v>
          </cell>
          <cell r="AC498">
            <v>272000</v>
          </cell>
        </row>
        <row r="499">
          <cell r="B499" t="str">
            <v>악세</v>
          </cell>
          <cell r="C499">
            <v>0</v>
          </cell>
          <cell r="F499" t="str">
            <v>PAYW210</v>
          </cell>
          <cell r="G499">
            <v>49</v>
          </cell>
          <cell r="AB499">
            <v>1</v>
          </cell>
          <cell r="AC499">
            <v>54400</v>
          </cell>
        </row>
        <row r="500">
          <cell r="B500" t="str">
            <v>악세</v>
          </cell>
          <cell r="C500">
            <v>0</v>
          </cell>
          <cell r="F500" t="str">
            <v>PAYW211</v>
          </cell>
          <cell r="G500">
            <v>31</v>
          </cell>
          <cell r="AB500">
            <v>3</v>
          </cell>
          <cell r="AC500">
            <v>139200</v>
          </cell>
        </row>
        <row r="501">
          <cell r="B501" t="str">
            <v>악세</v>
          </cell>
          <cell r="C501">
            <v>0</v>
          </cell>
          <cell r="F501" t="str">
            <v>PAYW211</v>
          </cell>
          <cell r="G501">
            <v>49</v>
          </cell>
          <cell r="AB501">
            <v>2</v>
          </cell>
          <cell r="AC501">
            <v>92800</v>
          </cell>
        </row>
        <row r="502">
          <cell r="B502" t="str">
            <v>악세</v>
          </cell>
          <cell r="C502">
            <v>0</v>
          </cell>
          <cell r="F502" t="str">
            <v>PAYW212</v>
          </cell>
          <cell r="G502">
            <v>49</v>
          </cell>
          <cell r="AB502">
            <v>5</v>
          </cell>
          <cell r="AC502">
            <v>272000</v>
          </cell>
        </row>
        <row r="503">
          <cell r="B503" t="str">
            <v>악세</v>
          </cell>
          <cell r="C503">
            <v>0</v>
          </cell>
          <cell r="F503" t="str">
            <v>PAYW212</v>
          </cell>
          <cell r="G503">
            <v>53</v>
          </cell>
          <cell r="AB503">
            <v>5</v>
          </cell>
          <cell r="AC503">
            <v>272000</v>
          </cell>
        </row>
        <row r="504">
          <cell r="B504" t="str">
            <v>악세</v>
          </cell>
          <cell r="C504">
            <v>0</v>
          </cell>
          <cell r="F504" t="str">
            <v>PAYW213</v>
          </cell>
          <cell r="G504">
            <v>31</v>
          </cell>
          <cell r="AB504">
            <v>6</v>
          </cell>
          <cell r="AC504">
            <v>278400</v>
          </cell>
        </row>
        <row r="505">
          <cell r="B505" t="str">
            <v>악세</v>
          </cell>
          <cell r="C505">
            <v>0</v>
          </cell>
          <cell r="F505" t="str">
            <v>PAYW214</v>
          </cell>
          <cell r="G505">
            <v>39</v>
          </cell>
          <cell r="AB505">
            <v>8</v>
          </cell>
          <cell r="AC505">
            <v>371200</v>
          </cell>
        </row>
        <row r="506">
          <cell r="B506" t="str">
            <v>악세</v>
          </cell>
          <cell r="C506">
            <v>0</v>
          </cell>
          <cell r="F506" t="str">
            <v>PAYW214</v>
          </cell>
          <cell r="G506">
            <v>76</v>
          </cell>
          <cell r="AB506">
            <v>3</v>
          </cell>
          <cell r="AC506">
            <v>139200</v>
          </cell>
        </row>
        <row r="507">
          <cell r="B507" t="str">
            <v>악세</v>
          </cell>
          <cell r="C507">
            <v>0</v>
          </cell>
          <cell r="F507" t="str">
            <v>PAYW215</v>
          </cell>
          <cell r="G507">
            <v>31</v>
          </cell>
          <cell r="AB507">
            <v>15</v>
          </cell>
          <cell r="AC507">
            <v>666000</v>
          </cell>
        </row>
        <row r="508">
          <cell r="B508" t="str">
            <v>악세</v>
          </cell>
          <cell r="C508">
            <v>0</v>
          </cell>
          <cell r="F508" t="str">
            <v>PAYW215</v>
          </cell>
          <cell r="G508">
            <v>49</v>
          </cell>
          <cell r="AB508">
            <v>4</v>
          </cell>
          <cell r="AC508">
            <v>185600</v>
          </cell>
        </row>
        <row r="509">
          <cell r="B509" t="str">
            <v>악세</v>
          </cell>
          <cell r="C509">
            <v>0</v>
          </cell>
          <cell r="F509" t="str">
            <v>PAYX101</v>
          </cell>
          <cell r="G509">
            <v>49</v>
          </cell>
          <cell r="AB509">
            <v>2</v>
          </cell>
          <cell r="AC509">
            <v>188800</v>
          </cell>
        </row>
        <row r="510">
          <cell r="B510" t="str">
            <v>악세</v>
          </cell>
          <cell r="C510">
            <v>0</v>
          </cell>
          <cell r="F510" t="str">
            <v>PAYX201</v>
          </cell>
          <cell r="G510">
            <v>49</v>
          </cell>
          <cell r="AB510">
            <v>1</v>
          </cell>
          <cell r="AC510">
            <v>404600</v>
          </cell>
        </row>
        <row r="511">
          <cell r="B511" t="str">
            <v>악세</v>
          </cell>
          <cell r="C511">
            <v>0</v>
          </cell>
          <cell r="F511" t="str">
            <v>PAYX202</v>
          </cell>
          <cell r="G511">
            <v>49</v>
          </cell>
          <cell r="AB511">
            <v>1</v>
          </cell>
          <cell r="AC511">
            <v>222600</v>
          </cell>
        </row>
        <row r="512">
          <cell r="B512" t="str">
            <v>악세</v>
          </cell>
          <cell r="C512">
            <v>0</v>
          </cell>
          <cell r="F512" t="str">
            <v>PAYX203</v>
          </cell>
          <cell r="G512">
            <v>49</v>
          </cell>
          <cell r="AB512">
            <v>11</v>
          </cell>
          <cell r="AC512">
            <v>1126400</v>
          </cell>
        </row>
        <row r="513">
          <cell r="B513" t="str">
            <v>악세</v>
          </cell>
          <cell r="C513">
            <v>0</v>
          </cell>
          <cell r="F513" t="str">
            <v>PAYY101</v>
          </cell>
          <cell r="G513">
            <v>39</v>
          </cell>
          <cell r="AB513">
            <v>1</v>
          </cell>
          <cell r="AC513">
            <v>9600</v>
          </cell>
        </row>
        <row r="514">
          <cell r="B514" t="str">
            <v>T커머스</v>
          </cell>
          <cell r="C514">
            <v>0</v>
          </cell>
          <cell r="F514" t="str">
            <v>IEY7201</v>
          </cell>
          <cell r="G514">
            <v>39</v>
          </cell>
          <cell r="AB514">
            <v>48</v>
          </cell>
          <cell r="AC514">
            <v>1872000</v>
          </cell>
        </row>
        <row r="515">
          <cell r="B515" t="str">
            <v>T커머스</v>
          </cell>
          <cell r="C515">
            <v>0</v>
          </cell>
          <cell r="F515" t="str">
            <v>IEY7202</v>
          </cell>
          <cell r="G515">
            <v>34</v>
          </cell>
          <cell r="AB515">
            <v>45</v>
          </cell>
          <cell r="AC515">
            <v>1755000</v>
          </cell>
        </row>
        <row r="516">
          <cell r="B516" t="str">
            <v>T커머스</v>
          </cell>
          <cell r="C516">
            <v>0</v>
          </cell>
          <cell r="F516" t="str">
            <v>IEY7203</v>
          </cell>
          <cell r="G516">
            <v>49</v>
          </cell>
          <cell r="AB516">
            <v>55</v>
          </cell>
          <cell r="AC516">
            <v>2145000</v>
          </cell>
        </row>
      </sheetData>
      <sheetData sheetId="5">
        <row r="3">
          <cell r="B3" t="str">
            <v>의류</v>
          </cell>
          <cell r="F3" t="str">
            <v>I0X1101</v>
          </cell>
          <cell r="G3">
            <v>34</v>
          </cell>
          <cell r="AB3">
            <v>1</v>
          </cell>
          <cell r="AC3">
            <v>31200</v>
          </cell>
        </row>
        <row r="4">
          <cell r="B4" t="str">
            <v>의류</v>
          </cell>
          <cell r="F4" t="str">
            <v>I0X1101</v>
          </cell>
          <cell r="G4">
            <v>43</v>
          </cell>
          <cell r="AB4">
            <v>-1</v>
          </cell>
          <cell r="AC4">
            <v>-42900</v>
          </cell>
        </row>
        <row r="5">
          <cell r="B5" t="str">
            <v>의류</v>
          </cell>
          <cell r="F5" t="str">
            <v>I0X1101</v>
          </cell>
          <cell r="G5">
            <v>49</v>
          </cell>
          <cell r="AB5">
            <v>-1</v>
          </cell>
          <cell r="AC5">
            <v>-39000</v>
          </cell>
        </row>
        <row r="6">
          <cell r="B6" t="str">
            <v>의류</v>
          </cell>
          <cell r="F6" t="str">
            <v>I0X1101</v>
          </cell>
          <cell r="G6">
            <v>76</v>
          </cell>
          <cell r="AB6">
            <v>-1</v>
          </cell>
          <cell r="AC6">
            <v>-39000</v>
          </cell>
        </row>
        <row r="7">
          <cell r="B7" t="str">
            <v>의류</v>
          </cell>
          <cell r="F7" t="str">
            <v>I0X1102</v>
          </cell>
          <cell r="G7">
            <v>49</v>
          </cell>
          <cell r="AC7">
            <v>-13800</v>
          </cell>
        </row>
        <row r="8">
          <cell r="B8" t="str">
            <v>의류</v>
          </cell>
          <cell r="F8" t="str">
            <v>I0X1102</v>
          </cell>
          <cell r="G8">
            <v>73</v>
          </cell>
          <cell r="AB8">
            <v>-1</v>
          </cell>
          <cell r="AC8">
            <v>-75900</v>
          </cell>
        </row>
        <row r="9">
          <cell r="B9" t="str">
            <v>의류</v>
          </cell>
          <cell r="F9" t="str">
            <v>I0X1103</v>
          </cell>
          <cell r="G9">
            <v>34</v>
          </cell>
          <cell r="AB9">
            <v>7</v>
          </cell>
          <cell r="AC9">
            <v>343000</v>
          </cell>
        </row>
        <row r="10">
          <cell r="B10" t="str">
            <v>의류</v>
          </cell>
          <cell r="F10" t="str">
            <v>I0X1104</v>
          </cell>
          <cell r="G10">
            <v>43</v>
          </cell>
          <cell r="AB10">
            <v>-1</v>
          </cell>
          <cell r="AC10">
            <v>-86900</v>
          </cell>
        </row>
        <row r="11">
          <cell r="B11" t="str">
            <v>의류</v>
          </cell>
          <cell r="F11" t="str">
            <v>I0X1104</v>
          </cell>
          <cell r="G11">
            <v>75</v>
          </cell>
          <cell r="AB11">
            <v>-2</v>
          </cell>
          <cell r="AC11">
            <v>-158000</v>
          </cell>
        </row>
        <row r="12">
          <cell r="B12" t="str">
            <v>의류</v>
          </cell>
          <cell r="F12" t="str">
            <v>I0X1105</v>
          </cell>
          <cell r="G12">
            <v>43</v>
          </cell>
        </row>
        <row r="13">
          <cell r="B13" t="str">
            <v>의류</v>
          </cell>
          <cell r="F13" t="str">
            <v>I0X1106</v>
          </cell>
          <cell r="G13">
            <v>34</v>
          </cell>
          <cell r="AB13">
            <v>-1</v>
          </cell>
          <cell r="AC13">
            <v>-79000</v>
          </cell>
        </row>
        <row r="14">
          <cell r="B14" t="str">
            <v>의류</v>
          </cell>
          <cell r="F14" t="str">
            <v>I0X1106</v>
          </cell>
          <cell r="G14">
            <v>45</v>
          </cell>
          <cell r="AB14">
            <v>2</v>
          </cell>
          <cell r="AC14">
            <v>112200</v>
          </cell>
        </row>
        <row r="15">
          <cell r="B15" t="str">
            <v>의류</v>
          </cell>
          <cell r="F15" t="str">
            <v>I0X1107</v>
          </cell>
          <cell r="G15">
            <v>43</v>
          </cell>
        </row>
        <row r="16">
          <cell r="B16" t="str">
            <v>의류</v>
          </cell>
          <cell r="F16" t="str">
            <v>I0X1107</v>
          </cell>
          <cell r="G16">
            <v>75</v>
          </cell>
          <cell r="AB16">
            <v>1</v>
          </cell>
          <cell r="AC16">
            <v>59000</v>
          </cell>
        </row>
        <row r="17">
          <cell r="B17" t="str">
            <v>의류</v>
          </cell>
          <cell r="F17" t="str">
            <v>I0X1108</v>
          </cell>
          <cell r="G17">
            <v>49</v>
          </cell>
        </row>
        <row r="18">
          <cell r="B18" t="str">
            <v>의류</v>
          </cell>
          <cell r="F18" t="str">
            <v>I0X1108</v>
          </cell>
          <cell r="G18">
            <v>74</v>
          </cell>
          <cell r="AB18">
            <v>2</v>
          </cell>
          <cell r="AC18">
            <v>178000</v>
          </cell>
        </row>
        <row r="19">
          <cell r="B19" t="str">
            <v>의류</v>
          </cell>
          <cell r="F19" t="str">
            <v>I0X1109</v>
          </cell>
          <cell r="G19">
            <v>49</v>
          </cell>
          <cell r="AB19">
            <v>-1</v>
          </cell>
          <cell r="AC19">
            <v>-119000</v>
          </cell>
        </row>
        <row r="20">
          <cell r="B20" t="str">
            <v>의류</v>
          </cell>
          <cell r="F20" t="str">
            <v>I0X1109</v>
          </cell>
          <cell r="G20">
            <v>64</v>
          </cell>
          <cell r="AB20">
            <v>2</v>
          </cell>
          <cell r="AC20">
            <v>169100</v>
          </cell>
        </row>
        <row r="21">
          <cell r="B21" t="str">
            <v>의류</v>
          </cell>
          <cell r="F21" t="str">
            <v>I0X1151</v>
          </cell>
          <cell r="G21">
            <v>41</v>
          </cell>
          <cell r="AB21">
            <v>1</v>
          </cell>
          <cell r="AC21">
            <v>69000</v>
          </cell>
        </row>
        <row r="22">
          <cell r="B22" t="str">
            <v>의류</v>
          </cell>
          <cell r="F22" t="str">
            <v>I0X1151</v>
          </cell>
          <cell r="G22">
            <v>64</v>
          </cell>
          <cell r="AB22">
            <v>1</v>
          </cell>
          <cell r="AC22">
            <v>69000</v>
          </cell>
        </row>
        <row r="23">
          <cell r="B23" t="str">
            <v>의류</v>
          </cell>
          <cell r="F23" t="str">
            <v>I0X1151</v>
          </cell>
          <cell r="G23">
            <v>73</v>
          </cell>
          <cell r="AC23">
            <v>-20000</v>
          </cell>
        </row>
        <row r="24">
          <cell r="B24" t="str">
            <v>의류</v>
          </cell>
          <cell r="F24" t="str">
            <v>I0X1201</v>
          </cell>
          <cell r="G24">
            <v>23</v>
          </cell>
          <cell r="AB24">
            <v>1</v>
          </cell>
          <cell r="AC24">
            <v>9000</v>
          </cell>
        </row>
        <row r="25">
          <cell r="B25" t="str">
            <v>의류</v>
          </cell>
          <cell r="F25" t="str">
            <v>I0X1201</v>
          </cell>
          <cell r="G25">
            <v>31</v>
          </cell>
          <cell r="AB25">
            <v>2</v>
          </cell>
          <cell r="AC25">
            <v>78000</v>
          </cell>
        </row>
        <row r="26">
          <cell r="B26" t="str">
            <v>의류</v>
          </cell>
          <cell r="F26" t="str">
            <v>I0X1201</v>
          </cell>
          <cell r="G26">
            <v>45</v>
          </cell>
          <cell r="AB26">
            <v>4</v>
          </cell>
          <cell r="AC26">
            <v>148200</v>
          </cell>
        </row>
        <row r="27">
          <cell r="B27" t="str">
            <v>의류</v>
          </cell>
          <cell r="F27" t="str">
            <v>I0X1201</v>
          </cell>
          <cell r="G27">
            <v>75</v>
          </cell>
        </row>
        <row r="28">
          <cell r="B28" t="str">
            <v>의류</v>
          </cell>
          <cell r="F28" t="str">
            <v>I0X1201</v>
          </cell>
          <cell r="G28">
            <v>79</v>
          </cell>
          <cell r="AB28">
            <v>8</v>
          </cell>
          <cell r="AC28">
            <v>292500</v>
          </cell>
        </row>
        <row r="29">
          <cell r="B29" t="str">
            <v>의류</v>
          </cell>
          <cell r="F29" t="str">
            <v>I0X1202</v>
          </cell>
          <cell r="G29">
            <v>34</v>
          </cell>
          <cell r="AB29">
            <v>8</v>
          </cell>
          <cell r="AC29">
            <v>377300</v>
          </cell>
        </row>
        <row r="30">
          <cell r="B30" t="str">
            <v>의류</v>
          </cell>
          <cell r="F30" t="str">
            <v>I0X1202</v>
          </cell>
          <cell r="G30">
            <v>49</v>
          </cell>
          <cell r="AB30">
            <v>8</v>
          </cell>
          <cell r="AC30">
            <v>362600</v>
          </cell>
        </row>
        <row r="31">
          <cell r="B31" t="str">
            <v>의류</v>
          </cell>
          <cell r="F31" t="str">
            <v>I0X1203</v>
          </cell>
          <cell r="G31">
            <v>24</v>
          </cell>
          <cell r="AB31">
            <v>7</v>
          </cell>
          <cell r="AC31">
            <v>343000</v>
          </cell>
        </row>
        <row r="32">
          <cell r="B32" t="str">
            <v>의류</v>
          </cell>
          <cell r="F32" t="str">
            <v>I0X1203</v>
          </cell>
          <cell r="G32">
            <v>49</v>
          </cell>
          <cell r="AB32">
            <v>33</v>
          </cell>
          <cell r="AC32">
            <v>1617000</v>
          </cell>
        </row>
        <row r="33">
          <cell r="B33" t="str">
            <v>의류</v>
          </cell>
          <cell r="F33" t="str">
            <v>I0X1203</v>
          </cell>
          <cell r="G33">
            <v>75</v>
          </cell>
          <cell r="AB33">
            <v>8</v>
          </cell>
          <cell r="AC33">
            <v>392000</v>
          </cell>
        </row>
        <row r="34">
          <cell r="B34" t="str">
            <v>의류</v>
          </cell>
          <cell r="F34" t="str">
            <v>I0X1204</v>
          </cell>
          <cell r="G34">
            <v>43</v>
          </cell>
          <cell r="AB34">
            <v>8</v>
          </cell>
          <cell r="AC34">
            <v>392000</v>
          </cell>
        </row>
        <row r="35">
          <cell r="B35" t="str">
            <v>의류</v>
          </cell>
          <cell r="F35" t="str">
            <v>I0X1204</v>
          </cell>
          <cell r="G35">
            <v>75</v>
          </cell>
          <cell r="AB35">
            <v>3</v>
          </cell>
          <cell r="AC35">
            <v>147000</v>
          </cell>
        </row>
        <row r="36">
          <cell r="B36" t="str">
            <v>의류</v>
          </cell>
          <cell r="F36" t="str">
            <v>I0X1205</v>
          </cell>
          <cell r="G36">
            <v>41</v>
          </cell>
          <cell r="AB36">
            <v>9</v>
          </cell>
          <cell r="AC36">
            <v>619400</v>
          </cell>
        </row>
        <row r="37">
          <cell r="B37" t="str">
            <v>의류</v>
          </cell>
          <cell r="F37" t="str">
            <v>I0X1205</v>
          </cell>
          <cell r="G37">
            <v>49</v>
          </cell>
          <cell r="AB37">
            <v>21</v>
          </cell>
          <cell r="AC37">
            <v>1500000</v>
          </cell>
        </row>
        <row r="38">
          <cell r="B38" t="str">
            <v>의류</v>
          </cell>
          <cell r="F38" t="str">
            <v>I0X1206</v>
          </cell>
          <cell r="G38">
            <v>24</v>
          </cell>
          <cell r="AB38">
            <v>23</v>
          </cell>
          <cell r="AC38">
            <v>1022700</v>
          </cell>
        </row>
        <row r="39">
          <cell r="B39" t="str">
            <v>의류</v>
          </cell>
          <cell r="F39" t="str">
            <v>I0X1206</v>
          </cell>
          <cell r="G39">
            <v>49</v>
          </cell>
          <cell r="AB39">
            <v>31</v>
          </cell>
          <cell r="AC39">
            <v>1415700</v>
          </cell>
        </row>
        <row r="40">
          <cell r="B40" t="str">
            <v>의류</v>
          </cell>
          <cell r="F40" t="str">
            <v>I0X1206</v>
          </cell>
          <cell r="G40">
            <v>76</v>
          </cell>
          <cell r="AB40">
            <v>20</v>
          </cell>
          <cell r="AC40">
            <v>911400</v>
          </cell>
        </row>
        <row r="41">
          <cell r="B41" t="str">
            <v>의류</v>
          </cell>
          <cell r="F41" t="str">
            <v>I0X1207</v>
          </cell>
          <cell r="G41">
            <v>49</v>
          </cell>
          <cell r="AB41">
            <v>11</v>
          </cell>
          <cell r="AC41">
            <v>649000</v>
          </cell>
        </row>
        <row r="42">
          <cell r="B42" t="str">
            <v>의류</v>
          </cell>
          <cell r="F42" t="str">
            <v>I0X1207</v>
          </cell>
          <cell r="G42">
            <v>73</v>
          </cell>
          <cell r="AB42">
            <v>10</v>
          </cell>
          <cell r="AC42">
            <v>590000</v>
          </cell>
        </row>
        <row r="43">
          <cell r="B43" t="str">
            <v>의류</v>
          </cell>
          <cell r="F43" t="str">
            <v>I0X1208</v>
          </cell>
          <cell r="G43">
            <v>63</v>
          </cell>
          <cell r="AB43">
            <v>9</v>
          </cell>
          <cell r="AC43">
            <v>450800</v>
          </cell>
        </row>
        <row r="44">
          <cell r="B44" t="str">
            <v>의류</v>
          </cell>
          <cell r="F44" t="str">
            <v>I0X1208</v>
          </cell>
          <cell r="G44">
            <v>73</v>
          </cell>
          <cell r="AB44">
            <v>2</v>
          </cell>
          <cell r="AC44">
            <v>98000</v>
          </cell>
        </row>
        <row r="45">
          <cell r="B45" t="str">
            <v>의류</v>
          </cell>
          <cell r="F45" t="str">
            <v>I0X1209</v>
          </cell>
          <cell r="G45">
            <v>45</v>
          </cell>
          <cell r="AB45">
            <v>14</v>
          </cell>
          <cell r="AC45">
            <v>1012800</v>
          </cell>
        </row>
        <row r="46">
          <cell r="B46" t="str">
            <v>의류</v>
          </cell>
          <cell r="F46" t="str">
            <v>I0X1209</v>
          </cell>
          <cell r="G46">
            <v>78</v>
          </cell>
          <cell r="AB46">
            <v>7</v>
          </cell>
          <cell r="AC46">
            <v>461400</v>
          </cell>
        </row>
        <row r="47">
          <cell r="B47" t="str">
            <v>의류</v>
          </cell>
          <cell r="F47" t="str">
            <v>I0X1210</v>
          </cell>
          <cell r="G47">
            <v>34</v>
          </cell>
          <cell r="AB47">
            <v>18</v>
          </cell>
          <cell r="AC47">
            <v>1272500</v>
          </cell>
        </row>
        <row r="48">
          <cell r="B48" t="str">
            <v>의류</v>
          </cell>
          <cell r="F48" t="str">
            <v>I0X1210</v>
          </cell>
          <cell r="G48">
            <v>49</v>
          </cell>
          <cell r="AB48">
            <v>16</v>
          </cell>
          <cell r="AC48">
            <v>1132900</v>
          </cell>
        </row>
        <row r="49">
          <cell r="B49" t="str">
            <v>의류</v>
          </cell>
          <cell r="F49" t="str">
            <v>I0X1211</v>
          </cell>
          <cell r="G49">
            <v>49</v>
          </cell>
          <cell r="AB49">
            <v>26</v>
          </cell>
          <cell r="AC49">
            <v>1534000</v>
          </cell>
        </row>
        <row r="50">
          <cell r="B50" t="str">
            <v>의류</v>
          </cell>
          <cell r="F50" t="str">
            <v>I0X1211</v>
          </cell>
          <cell r="G50">
            <v>73</v>
          </cell>
          <cell r="AB50">
            <v>21</v>
          </cell>
          <cell r="AC50">
            <v>1239000</v>
          </cell>
        </row>
        <row r="51">
          <cell r="B51" t="str">
            <v>의류</v>
          </cell>
          <cell r="F51" t="str">
            <v>I0X1212</v>
          </cell>
          <cell r="G51">
            <v>49</v>
          </cell>
          <cell r="AB51">
            <v>13</v>
          </cell>
          <cell r="AC51">
            <v>1043600</v>
          </cell>
        </row>
        <row r="52">
          <cell r="B52" t="str">
            <v>의류</v>
          </cell>
          <cell r="F52" t="str">
            <v>I0X1213</v>
          </cell>
          <cell r="G52">
            <v>45</v>
          </cell>
          <cell r="AB52">
            <v>17</v>
          </cell>
          <cell r="AC52">
            <v>1241900</v>
          </cell>
        </row>
        <row r="53">
          <cell r="B53" t="str">
            <v>의류</v>
          </cell>
          <cell r="F53" t="str">
            <v>I0X1213</v>
          </cell>
          <cell r="G53">
            <v>76</v>
          </cell>
          <cell r="AB53">
            <v>4</v>
          </cell>
          <cell r="AC53">
            <v>278100</v>
          </cell>
        </row>
        <row r="54">
          <cell r="B54" t="str">
            <v>의류</v>
          </cell>
          <cell r="F54" t="str">
            <v>I0X1214</v>
          </cell>
          <cell r="G54">
            <v>34</v>
          </cell>
          <cell r="AB54">
            <v>18</v>
          </cell>
          <cell r="AC54">
            <v>1264600</v>
          </cell>
        </row>
        <row r="55">
          <cell r="B55" t="str">
            <v>의류</v>
          </cell>
          <cell r="F55" t="str">
            <v>I0X1214</v>
          </cell>
          <cell r="G55">
            <v>43</v>
          </cell>
          <cell r="AB55">
            <v>30</v>
          </cell>
          <cell r="AC55">
            <v>2123600</v>
          </cell>
        </row>
        <row r="56">
          <cell r="B56" t="str">
            <v>의류</v>
          </cell>
          <cell r="F56" t="str">
            <v>I0X1215</v>
          </cell>
          <cell r="G56">
            <v>45</v>
          </cell>
          <cell r="AB56">
            <v>31</v>
          </cell>
          <cell r="AC56">
            <v>2144200</v>
          </cell>
        </row>
        <row r="57">
          <cell r="B57" t="str">
            <v>의류</v>
          </cell>
          <cell r="F57" t="str">
            <v>I0X1215</v>
          </cell>
          <cell r="G57">
            <v>78</v>
          </cell>
          <cell r="AB57">
            <v>13</v>
          </cell>
          <cell r="AC57">
            <v>935400</v>
          </cell>
        </row>
        <row r="58">
          <cell r="B58" t="str">
            <v>의류</v>
          </cell>
          <cell r="F58" t="str">
            <v>I0X1216</v>
          </cell>
          <cell r="G58">
            <v>46</v>
          </cell>
          <cell r="AB58">
            <v>9</v>
          </cell>
          <cell r="AC58">
            <v>579600</v>
          </cell>
        </row>
        <row r="59">
          <cell r="B59" t="str">
            <v>의류</v>
          </cell>
          <cell r="F59" t="str">
            <v>I0X1216</v>
          </cell>
          <cell r="G59">
            <v>75</v>
          </cell>
          <cell r="AB59">
            <v>8</v>
          </cell>
          <cell r="AC59">
            <v>508200</v>
          </cell>
        </row>
        <row r="60">
          <cell r="B60" t="str">
            <v>의류</v>
          </cell>
          <cell r="F60" t="str">
            <v>I0X1217</v>
          </cell>
          <cell r="G60">
            <v>49</v>
          </cell>
          <cell r="AB60">
            <v>23</v>
          </cell>
          <cell r="AC60">
            <v>1357000</v>
          </cell>
        </row>
        <row r="61">
          <cell r="B61" t="str">
            <v>의류</v>
          </cell>
          <cell r="F61" t="str">
            <v>I0X1218</v>
          </cell>
          <cell r="G61">
            <v>31</v>
          </cell>
          <cell r="AB61">
            <v>4</v>
          </cell>
          <cell r="AC61">
            <v>276000</v>
          </cell>
        </row>
        <row r="62">
          <cell r="B62" t="str">
            <v>의류</v>
          </cell>
          <cell r="F62" t="str">
            <v>I0X1218</v>
          </cell>
          <cell r="G62">
            <v>34</v>
          </cell>
          <cell r="AB62">
            <v>3</v>
          </cell>
          <cell r="AC62">
            <v>207000</v>
          </cell>
        </row>
        <row r="63">
          <cell r="B63" t="str">
            <v>의류</v>
          </cell>
          <cell r="F63" t="str">
            <v>I0X1219</v>
          </cell>
          <cell r="G63">
            <v>31</v>
          </cell>
          <cell r="AB63">
            <v>14</v>
          </cell>
          <cell r="AC63">
            <v>1050700</v>
          </cell>
        </row>
        <row r="64">
          <cell r="B64" t="str">
            <v>의류</v>
          </cell>
          <cell r="F64" t="str">
            <v>I0X1219</v>
          </cell>
          <cell r="G64">
            <v>49</v>
          </cell>
          <cell r="AB64">
            <v>15</v>
          </cell>
          <cell r="AC64">
            <v>997600</v>
          </cell>
        </row>
        <row r="65">
          <cell r="B65" t="str">
            <v>의류</v>
          </cell>
          <cell r="F65" t="str">
            <v>I0X1220</v>
          </cell>
          <cell r="G65">
            <v>49</v>
          </cell>
          <cell r="AB65">
            <v>4</v>
          </cell>
          <cell r="AC65">
            <v>270200</v>
          </cell>
        </row>
        <row r="66">
          <cell r="B66" t="str">
            <v>의류</v>
          </cell>
          <cell r="F66" t="str">
            <v>I0X1220</v>
          </cell>
          <cell r="G66">
            <v>73</v>
          </cell>
          <cell r="AB66">
            <v>5</v>
          </cell>
          <cell r="AC66">
            <v>395000</v>
          </cell>
        </row>
        <row r="67">
          <cell r="B67" t="str">
            <v>의류</v>
          </cell>
          <cell r="F67" t="str">
            <v>I0X1221</v>
          </cell>
          <cell r="G67">
            <v>49</v>
          </cell>
          <cell r="AB67">
            <v>12</v>
          </cell>
          <cell r="AC67">
            <v>806400</v>
          </cell>
        </row>
        <row r="68">
          <cell r="B68" t="str">
            <v>의류</v>
          </cell>
          <cell r="F68" t="str">
            <v>I0X1221</v>
          </cell>
          <cell r="G68">
            <v>73</v>
          </cell>
          <cell r="AB68">
            <v>9</v>
          </cell>
          <cell r="AC68">
            <v>633600</v>
          </cell>
        </row>
        <row r="69">
          <cell r="B69" t="str">
            <v>의류</v>
          </cell>
          <cell r="F69" t="str">
            <v>I0X1222</v>
          </cell>
          <cell r="G69">
            <v>49</v>
          </cell>
          <cell r="AB69">
            <v>2</v>
          </cell>
          <cell r="AC69">
            <v>150100</v>
          </cell>
        </row>
        <row r="70">
          <cell r="B70" t="str">
            <v>의류</v>
          </cell>
          <cell r="F70" t="str">
            <v>I0X1222</v>
          </cell>
          <cell r="G70">
            <v>74</v>
          </cell>
          <cell r="AB70">
            <v>18</v>
          </cell>
          <cell r="AC70">
            <v>1338300</v>
          </cell>
        </row>
        <row r="71">
          <cell r="B71" t="str">
            <v>의류</v>
          </cell>
          <cell r="F71" t="str">
            <v>I0X1223</v>
          </cell>
          <cell r="G71">
            <v>49</v>
          </cell>
          <cell r="AB71">
            <v>8</v>
          </cell>
          <cell r="AC71">
            <v>472000</v>
          </cell>
        </row>
        <row r="72">
          <cell r="B72" t="str">
            <v>의류</v>
          </cell>
          <cell r="F72" t="str">
            <v>I0X1224</v>
          </cell>
          <cell r="G72">
            <v>49</v>
          </cell>
          <cell r="AB72">
            <v>20</v>
          </cell>
          <cell r="AC72">
            <v>1474700</v>
          </cell>
        </row>
        <row r="73">
          <cell r="B73" t="str">
            <v>의류</v>
          </cell>
          <cell r="F73" t="str">
            <v>I0X1225</v>
          </cell>
          <cell r="G73">
            <v>49</v>
          </cell>
          <cell r="AB73">
            <v>11</v>
          </cell>
          <cell r="AC73">
            <v>759000</v>
          </cell>
        </row>
        <row r="74">
          <cell r="B74" t="str">
            <v>의류</v>
          </cell>
          <cell r="F74" t="str">
            <v>I0X1226</v>
          </cell>
          <cell r="G74">
            <v>34</v>
          </cell>
          <cell r="AB74">
            <v>14</v>
          </cell>
          <cell r="AC74">
            <v>966000</v>
          </cell>
        </row>
        <row r="75">
          <cell r="B75" t="str">
            <v>의류</v>
          </cell>
          <cell r="F75" t="str">
            <v>I0X1226</v>
          </cell>
          <cell r="G75">
            <v>76</v>
          </cell>
          <cell r="AB75">
            <v>7</v>
          </cell>
          <cell r="AC75">
            <v>483000</v>
          </cell>
        </row>
        <row r="76">
          <cell r="B76" t="str">
            <v>의류</v>
          </cell>
          <cell r="F76" t="str">
            <v>I0X1227</v>
          </cell>
          <cell r="G76">
            <v>43</v>
          </cell>
          <cell r="AB76">
            <v>3</v>
          </cell>
          <cell r="AC76">
            <v>200100</v>
          </cell>
        </row>
        <row r="77">
          <cell r="B77" t="str">
            <v>의류</v>
          </cell>
          <cell r="F77" t="str">
            <v>I0X1228</v>
          </cell>
          <cell r="G77">
            <v>34</v>
          </cell>
          <cell r="AB77">
            <v>4</v>
          </cell>
          <cell r="AC77">
            <v>320400</v>
          </cell>
        </row>
        <row r="78">
          <cell r="B78" t="str">
            <v>의류</v>
          </cell>
          <cell r="F78" t="str">
            <v>I0X1229</v>
          </cell>
          <cell r="G78">
            <v>49</v>
          </cell>
          <cell r="AB78">
            <v>9</v>
          </cell>
          <cell r="AC78">
            <v>651500</v>
          </cell>
        </row>
        <row r="79">
          <cell r="B79" t="str">
            <v>의류</v>
          </cell>
          <cell r="F79" t="str">
            <v>I0X1229</v>
          </cell>
          <cell r="G79">
            <v>73</v>
          </cell>
          <cell r="AB79">
            <v>17</v>
          </cell>
          <cell r="AC79">
            <v>1199300</v>
          </cell>
        </row>
        <row r="80">
          <cell r="B80" t="str">
            <v>의류</v>
          </cell>
          <cell r="F80" t="str">
            <v>I0X1230</v>
          </cell>
          <cell r="G80">
            <v>34</v>
          </cell>
          <cell r="AB80">
            <v>17</v>
          </cell>
          <cell r="AC80">
            <v>1161400</v>
          </cell>
        </row>
        <row r="81">
          <cell r="B81" t="str">
            <v>의류</v>
          </cell>
          <cell r="F81" t="str">
            <v>I0X1230</v>
          </cell>
          <cell r="G81">
            <v>49</v>
          </cell>
          <cell r="AB81">
            <v>35</v>
          </cell>
          <cell r="AC81">
            <v>2564400</v>
          </cell>
        </row>
        <row r="82">
          <cell r="B82" t="str">
            <v>의류</v>
          </cell>
          <cell r="F82" t="str">
            <v>I0X1231</v>
          </cell>
          <cell r="G82">
            <v>22</v>
          </cell>
          <cell r="AB82">
            <v>9</v>
          </cell>
          <cell r="AC82">
            <v>702100</v>
          </cell>
        </row>
        <row r="83">
          <cell r="B83" t="str">
            <v>의류</v>
          </cell>
          <cell r="F83" t="str">
            <v>I0X1231</v>
          </cell>
          <cell r="G83">
            <v>49</v>
          </cell>
          <cell r="AB83">
            <v>12</v>
          </cell>
          <cell r="AC83">
            <v>952400</v>
          </cell>
        </row>
        <row r="84">
          <cell r="B84" t="str">
            <v>의류</v>
          </cell>
          <cell r="F84" t="str">
            <v>I0X1231</v>
          </cell>
          <cell r="G84">
            <v>76</v>
          </cell>
          <cell r="AB84">
            <v>4</v>
          </cell>
          <cell r="AC84">
            <v>347100</v>
          </cell>
        </row>
        <row r="85">
          <cell r="B85" t="str">
            <v>의류</v>
          </cell>
          <cell r="F85" t="str">
            <v>I0X1251</v>
          </cell>
          <cell r="G85">
            <v>26</v>
          </cell>
          <cell r="AB85">
            <v>9</v>
          </cell>
          <cell r="AC85">
            <v>431000</v>
          </cell>
        </row>
        <row r="86">
          <cell r="B86" t="str">
            <v>의류</v>
          </cell>
          <cell r="F86" t="str">
            <v>I0X1251</v>
          </cell>
          <cell r="G86">
            <v>43</v>
          </cell>
          <cell r="AB86">
            <v>11</v>
          </cell>
          <cell r="AC86">
            <v>539000</v>
          </cell>
        </row>
        <row r="87">
          <cell r="B87" t="str">
            <v>의류</v>
          </cell>
          <cell r="F87" t="str">
            <v>I0X1251</v>
          </cell>
          <cell r="G87">
            <v>76</v>
          </cell>
          <cell r="AB87">
            <v>9</v>
          </cell>
          <cell r="AC87">
            <v>441000</v>
          </cell>
        </row>
        <row r="88">
          <cell r="B88" t="str">
            <v>의류</v>
          </cell>
          <cell r="F88" t="str">
            <v>I0X1252</v>
          </cell>
          <cell r="G88">
            <v>49</v>
          </cell>
          <cell r="AB88">
            <v>6</v>
          </cell>
          <cell r="AC88">
            <v>458200</v>
          </cell>
        </row>
        <row r="89">
          <cell r="B89" t="str">
            <v>의류</v>
          </cell>
          <cell r="F89" t="str">
            <v>I0X1252</v>
          </cell>
          <cell r="G89">
            <v>76</v>
          </cell>
          <cell r="AB89">
            <v>1</v>
          </cell>
          <cell r="AC89">
            <v>49000</v>
          </cell>
        </row>
        <row r="90">
          <cell r="B90" t="str">
            <v>의류</v>
          </cell>
          <cell r="F90" t="str">
            <v>I0X1253</v>
          </cell>
          <cell r="G90">
            <v>41</v>
          </cell>
          <cell r="AB90">
            <v>3</v>
          </cell>
          <cell r="AC90">
            <v>207000</v>
          </cell>
        </row>
        <row r="91">
          <cell r="B91" t="str">
            <v>의류</v>
          </cell>
          <cell r="F91" t="str">
            <v>I0X1253</v>
          </cell>
          <cell r="G91">
            <v>71</v>
          </cell>
          <cell r="AB91">
            <v>7</v>
          </cell>
          <cell r="AC91">
            <v>483000</v>
          </cell>
        </row>
        <row r="92">
          <cell r="B92" t="str">
            <v>의류</v>
          </cell>
          <cell r="F92" t="str">
            <v>I0X1254</v>
          </cell>
          <cell r="G92">
            <v>31</v>
          </cell>
        </row>
        <row r="93">
          <cell r="B93" t="str">
            <v>의류</v>
          </cell>
          <cell r="F93" t="str">
            <v>I0X1254</v>
          </cell>
          <cell r="G93">
            <v>36</v>
          </cell>
        </row>
        <row r="94">
          <cell r="B94" t="str">
            <v>의류</v>
          </cell>
          <cell r="F94" t="str">
            <v>I0X1254</v>
          </cell>
          <cell r="G94">
            <v>45</v>
          </cell>
        </row>
        <row r="95">
          <cell r="B95" t="str">
            <v>의류</v>
          </cell>
          <cell r="F95" t="str">
            <v>I0X1254</v>
          </cell>
          <cell r="G95">
            <v>63</v>
          </cell>
        </row>
        <row r="96">
          <cell r="B96" t="str">
            <v>의류</v>
          </cell>
          <cell r="F96" t="str">
            <v>I0X1254</v>
          </cell>
          <cell r="G96">
            <v>76</v>
          </cell>
          <cell r="AB96">
            <v>2</v>
          </cell>
          <cell r="AC96">
            <v>78000</v>
          </cell>
        </row>
        <row r="97">
          <cell r="B97" t="str">
            <v>의류</v>
          </cell>
          <cell r="F97" t="str">
            <v>I0X6101</v>
          </cell>
          <cell r="G97">
            <v>22</v>
          </cell>
          <cell r="AB97">
            <v>-2</v>
          </cell>
          <cell r="AC97">
            <v>-338000</v>
          </cell>
        </row>
        <row r="98">
          <cell r="B98" t="str">
            <v>의류</v>
          </cell>
          <cell r="F98" t="str">
            <v>I0X6101</v>
          </cell>
          <cell r="G98">
            <v>49</v>
          </cell>
          <cell r="AB98">
            <v>-4</v>
          </cell>
          <cell r="AC98">
            <v>-676000</v>
          </cell>
        </row>
        <row r="99">
          <cell r="B99" t="str">
            <v>의류</v>
          </cell>
          <cell r="F99" t="str">
            <v>I0X6102</v>
          </cell>
          <cell r="G99">
            <v>22</v>
          </cell>
          <cell r="AB99">
            <v>9</v>
          </cell>
          <cell r="AC99">
            <v>621000</v>
          </cell>
        </row>
        <row r="100">
          <cell r="B100" t="str">
            <v>의류</v>
          </cell>
          <cell r="F100" t="str">
            <v>I0X6102</v>
          </cell>
          <cell r="G100">
            <v>36</v>
          </cell>
          <cell r="AB100">
            <v>14</v>
          </cell>
          <cell r="AC100">
            <v>966000</v>
          </cell>
        </row>
        <row r="101">
          <cell r="B101" t="str">
            <v>의류</v>
          </cell>
          <cell r="F101" t="str">
            <v>I0X6102</v>
          </cell>
          <cell r="G101">
            <v>43</v>
          </cell>
          <cell r="AB101">
            <v>14</v>
          </cell>
          <cell r="AC101">
            <v>972900</v>
          </cell>
        </row>
        <row r="102">
          <cell r="B102" t="str">
            <v>의류</v>
          </cell>
          <cell r="F102" t="str">
            <v>I0X6103</v>
          </cell>
          <cell r="G102">
            <v>49</v>
          </cell>
          <cell r="AB102">
            <v>1</v>
          </cell>
          <cell r="AC102">
            <v>149000</v>
          </cell>
        </row>
        <row r="103">
          <cell r="B103" t="str">
            <v>의류</v>
          </cell>
          <cell r="F103" t="str">
            <v>I0X6104</v>
          </cell>
          <cell r="G103">
            <v>49</v>
          </cell>
        </row>
        <row r="104">
          <cell r="B104" t="str">
            <v>의류</v>
          </cell>
          <cell r="F104" t="str">
            <v>I0X6105</v>
          </cell>
          <cell r="G104">
            <v>43</v>
          </cell>
          <cell r="AB104">
            <v>-1</v>
          </cell>
          <cell r="AC104">
            <v>-111200</v>
          </cell>
        </row>
        <row r="105">
          <cell r="B105" t="str">
            <v>의류</v>
          </cell>
          <cell r="F105" t="str">
            <v>I0X6105</v>
          </cell>
          <cell r="G105">
            <v>49</v>
          </cell>
        </row>
        <row r="106">
          <cell r="B106" t="str">
            <v>의류</v>
          </cell>
          <cell r="F106" t="str">
            <v>I0X6105</v>
          </cell>
          <cell r="G106">
            <v>63</v>
          </cell>
        </row>
        <row r="107">
          <cell r="B107" t="str">
            <v>의류</v>
          </cell>
          <cell r="F107" t="str">
            <v>I0X6106</v>
          </cell>
          <cell r="G107">
            <v>48</v>
          </cell>
          <cell r="AB107">
            <v>1</v>
          </cell>
          <cell r="AC107">
            <v>119200</v>
          </cell>
        </row>
        <row r="108">
          <cell r="B108" t="str">
            <v>의류</v>
          </cell>
          <cell r="F108" t="str">
            <v>I0X6106</v>
          </cell>
          <cell r="G108">
            <v>77</v>
          </cell>
          <cell r="AB108">
            <v>1</v>
          </cell>
          <cell r="AC108">
            <v>119200</v>
          </cell>
        </row>
        <row r="109">
          <cell r="B109" t="str">
            <v>의류</v>
          </cell>
          <cell r="F109" t="str">
            <v>I0X6107</v>
          </cell>
          <cell r="G109">
            <v>54</v>
          </cell>
        </row>
        <row r="110">
          <cell r="B110" t="str">
            <v>의류</v>
          </cell>
          <cell r="F110" t="str">
            <v>I0X6201</v>
          </cell>
          <cell r="G110">
            <v>32</v>
          </cell>
          <cell r="AB110">
            <v>9</v>
          </cell>
          <cell r="AC110">
            <v>857400</v>
          </cell>
        </row>
        <row r="111">
          <cell r="B111" t="str">
            <v>의류</v>
          </cell>
          <cell r="F111" t="str">
            <v>I0X6201</v>
          </cell>
          <cell r="G111">
            <v>43</v>
          </cell>
          <cell r="AB111">
            <v>31</v>
          </cell>
          <cell r="AC111">
            <v>3033700</v>
          </cell>
        </row>
        <row r="112">
          <cell r="B112" t="str">
            <v>의류</v>
          </cell>
          <cell r="F112" t="str">
            <v>I0X6201</v>
          </cell>
          <cell r="G112">
            <v>74</v>
          </cell>
          <cell r="AC112">
            <v>-85400</v>
          </cell>
        </row>
        <row r="113">
          <cell r="B113" t="str">
            <v>의류</v>
          </cell>
          <cell r="F113" t="str">
            <v>I0X6202</v>
          </cell>
          <cell r="G113">
            <v>43</v>
          </cell>
          <cell r="AB113">
            <v>55</v>
          </cell>
          <cell r="AC113">
            <v>5989550</v>
          </cell>
        </row>
        <row r="114">
          <cell r="B114" t="str">
            <v>의류</v>
          </cell>
          <cell r="F114" t="str">
            <v>I0X6202</v>
          </cell>
          <cell r="G114">
            <v>52</v>
          </cell>
          <cell r="AB114">
            <v>8</v>
          </cell>
          <cell r="AC114">
            <v>872000</v>
          </cell>
        </row>
        <row r="115">
          <cell r="B115" t="str">
            <v>의류</v>
          </cell>
          <cell r="F115" t="str">
            <v>I0X6203</v>
          </cell>
          <cell r="G115">
            <v>49</v>
          </cell>
          <cell r="AB115">
            <v>26</v>
          </cell>
          <cell r="AC115">
            <v>3771400</v>
          </cell>
        </row>
        <row r="116">
          <cell r="B116" t="str">
            <v>의류</v>
          </cell>
          <cell r="F116" t="str">
            <v>I0X6203</v>
          </cell>
          <cell r="G116">
            <v>75</v>
          </cell>
          <cell r="AB116">
            <v>1</v>
          </cell>
          <cell r="AC116">
            <v>33600</v>
          </cell>
        </row>
        <row r="117">
          <cell r="B117" t="str">
            <v>의류</v>
          </cell>
          <cell r="F117" t="str">
            <v>I0X6204</v>
          </cell>
          <cell r="G117">
            <v>27</v>
          </cell>
          <cell r="AB117">
            <v>6</v>
          </cell>
          <cell r="AC117">
            <v>806200</v>
          </cell>
        </row>
        <row r="118">
          <cell r="B118" t="str">
            <v>의류</v>
          </cell>
          <cell r="F118" t="str">
            <v>I0X6204</v>
          </cell>
          <cell r="G118">
            <v>48</v>
          </cell>
          <cell r="AB118">
            <v>21</v>
          </cell>
          <cell r="AC118">
            <v>2663400</v>
          </cell>
        </row>
        <row r="119">
          <cell r="B119" t="str">
            <v>의류</v>
          </cell>
          <cell r="F119" t="str">
            <v>I0X6205</v>
          </cell>
          <cell r="G119">
            <v>33</v>
          </cell>
          <cell r="AB119">
            <v>5</v>
          </cell>
          <cell r="AC119">
            <v>545000</v>
          </cell>
        </row>
        <row r="120">
          <cell r="B120" t="str">
            <v>의류</v>
          </cell>
          <cell r="F120" t="str">
            <v>I0X6205</v>
          </cell>
          <cell r="G120">
            <v>62</v>
          </cell>
          <cell r="AB120">
            <v>4</v>
          </cell>
          <cell r="AC120">
            <v>436000</v>
          </cell>
        </row>
        <row r="121">
          <cell r="B121" t="str">
            <v>의류</v>
          </cell>
          <cell r="F121" t="str">
            <v>I0X6206</v>
          </cell>
          <cell r="G121">
            <v>49</v>
          </cell>
          <cell r="AB121">
            <v>20</v>
          </cell>
          <cell r="AC121">
            <v>2405400</v>
          </cell>
        </row>
        <row r="122">
          <cell r="B122" t="str">
            <v>의류</v>
          </cell>
          <cell r="F122" t="str">
            <v>I0X7101</v>
          </cell>
          <cell r="G122">
            <v>37</v>
          </cell>
        </row>
        <row r="123">
          <cell r="B123" t="str">
            <v>의류</v>
          </cell>
          <cell r="F123" t="str">
            <v>I0X7101</v>
          </cell>
          <cell r="G123">
            <v>39</v>
          </cell>
        </row>
        <row r="124">
          <cell r="B124" t="str">
            <v>의류</v>
          </cell>
          <cell r="F124" t="str">
            <v>I0X7102</v>
          </cell>
          <cell r="G124">
            <v>49</v>
          </cell>
          <cell r="AB124">
            <v>1</v>
          </cell>
          <cell r="AC124">
            <v>-4700</v>
          </cell>
        </row>
        <row r="125">
          <cell r="B125" t="str">
            <v>의류</v>
          </cell>
          <cell r="F125" t="str">
            <v>I0X7102</v>
          </cell>
          <cell r="G125">
            <v>54</v>
          </cell>
          <cell r="AC125">
            <v>-7900</v>
          </cell>
        </row>
        <row r="126">
          <cell r="B126" t="str">
            <v>의류</v>
          </cell>
          <cell r="F126" t="str">
            <v>I0X7103</v>
          </cell>
          <cell r="G126">
            <v>34</v>
          </cell>
          <cell r="AB126">
            <v>8</v>
          </cell>
          <cell r="AC126">
            <v>598600</v>
          </cell>
        </row>
        <row r="127">
          <cell r="B127" t="str">
            <v>의류</v>
          </cell>
          <cell r="F127" t="str">
            <v>I0X7104</v>
          </cell>
          <cell r="G127">
            <v>49</v>
          </cell>
          <cell r="AB127">
            <v>4</v>
          </cell>
          <cell r="AC127">
            <v>276000</v>
          </cell>
        </row>
        <row r="128">
          <cell r="B128" t="str">
            <v>의류</v>
          </cell>
          <cell r="F128" t="str">
            <v>I0X7105</v>
          </cell>
          <cell r="G128">
            <v>43</v>
          </cell>
          <cell r="AB128">
            <v>5</v>
          </cell>
          <cell r="AC128">
            <v>345000</v>
          </cell>
        </row>
        <row r="129">
          <cell r="B129" t="str">
            <v>의류</v>
          </cell>
          <cell r="F129" t="str">
            <v>I0X7105</v>
          </cell>
          <cell r="G129">
            <v>49</v>
          </cell>
          <cell r="AB129">
            <v>6</v>
          </cell>
          <cell r="AC129">
            <v>414000</v>
          </cell>
        </row>
        <row r="130">
          <cell r="B130" t="str">
            <v>의류</v>
          </cell>
          <cell r="F130" t="str">
            <v>I0X7201</v>
          </cell>
          <cell r="G130">
            <v>34</v>
          </cell>
          <cell r="AB130">
            <v>22</v>
          </cell>
          <cell r="AC130">
            <v>1543700</v>
          </cell>
        </row>
        <row r="131">
          <cell r="B131" t="str">
            <v>의류</v>
          </cell>
          <cell r="F131" t="str">
            <v>I0X7201</v>
          </cell>
          <cell r="G131">
            <v>39</v>
          </cell>
          <cell r="AB131">
            <v>2</v>
          </cell>
          <cell r="AC131">
            <v>14800</v>
          </cell>
        </row>
        <row r="132">
          <cell r="B132" t="str">
            <v>의류</v>
          </cell>
          <cell r="F132" t="str">
            <v>I0X7201</v>
          </cell>
          <cell r="G132">
            <v>49</v>
          </cell>
          <cell r="AB132">
            <v>1</v>
          </cell>
          <cell r="AC132">
            <v>-183200</v>
          </cell>
        </row>
        <row r="133">
          <cell r="B133" t="str">
            <v>의류</v>
          </cell>
          <cell r="F133" t="str">
            <v>I0X7202</v>
          </cell>
          <cell r="G133">
            <v>43</v>
          </cell>
          <cell r="AB133">
            <v>19</v>
          </cell>
          <cell r="AC133">
            <v>1121000</v>
          </cell>
        </row>
        <row r="134">
          <cell r="B134" t="str">
            <v>의류</v>
          </cell>
          <cell r="F134" t="str">
            <v>I0X7202</v>
          </cell>
          <cell r="G134">
            <v>49</v>
          </cell>
          <cell r="AB134">
            <v>68</v>
          </cell>
          <cell r="AC134">
            <v>4012000</v>
          </cell>
        </row>
        <row r="135">
          <cell r="B135" t="str">
            <v>의류</v>
          </cell>
          <cell r="F135" t="str">
            <v>I0X7202</v>
          </cell>
          <cell r="G135">
            <v>53</v>
          </cell>
          <cell r="AB135">
            <v>52</v>
          </cell>
          <cell r="AC135">
            <v>3056200</v>
          </cell>
        </row>
        <row r="136">
          <cell r="B136" t="str">
            <v>의류</v>
          </cell>
          <cell r="F136" t="str">
            <v>I0X7203</v>
          </cell>
          <cell r="G136">
            <v>49</v>
          </cell>
          <cell r="AB136">
            <v>89</v>
          </cell>
          <cell r="AC136">
            <v>7835500</v>
          </cell>
        </row>
        <row r="137">
          <cell r="B137" t="str">
            <v>의류</v>
          </cell>
          <cell r="F137" t="str">
            <v>I0X7204</v>
          </cell>
          <cell r="G137">
            <v>31</v>
          </cell>
          <cell r="AB137">
            <v>11</v>
          </cell>
          <cell r="AC137">
            <v>989400</v>
          </cell>
        </row>
        <row r="138">
          <cell r="B138" t="str">
            <v>의류</v>
          </cell>
          <cell r="F138" t="str">
            <v>I0X7204</v>
          </cell>
          <cell r="G138">
            <v>45</v>
          </cell>
          <cell r="AB138">
            <v>42</v>
          </cell>
          <cell r="AC138">
            <v>3730400</v>
          </cell>
        </row>
        <row r="139">
          <cell r="B139" t="str">
            <v>의류</v>
          </cell>
          <cell r="F139" t="str">
            <v>I0X7205</v>
          </cell>
          <cell r="G139">
            <v>43</v>
          </cell>
          <cell r="AB139">
            <v>8</v>
          </cell>
          <cell r="AC139">
            <v>722400</v>
          </cell>
        </row>
        <row r="140">
          <cell r="B140" t="str">
            <v>의류</v>
          </cell>
          <cell r="F140" t="str">
            <v>I0X7206</v>
          </cell>
          <cell r="G140">
            <v>45</v>
          </cell>
          <cell r="AB140">
            <v>24</v>
          </cell>
          <cell r="AC140">
            <v>1656000</v>
          </cell>
        </row>
        <row r="141">
          <cell r="B141" t="str">
            <v>의류</v>
          </cell>
          <cell r="F141" t="str">
            <v>I0X7206</v>
          </cell>
          <cell r="G141">
            <v>79</v>
          </cell>
          <cell r="AB141">
            <v>5</v>
          </cell>
          <cell r="AC141">
            <v>345000</v>
          </cell>
        </row>
        <row r="142">
          <cell r="B142" t="str">
            <v>의류</v>
          </cell>
          <cell r="F142" t="str">
            <v>I0X7207</v>
          </cell>
          <cell r="G142">
            <v>49</v>
          </cell>
          <cell r="AB142">
            <v>16</v>
          </cell>
          <cell r="AC142">
            <v>1166100</v>
          </cell>
        </row>
        <row r="143">
          <cell r="B143" t="str">
            <v>의류</v>
          </cell>
          <cell r="F143" t="str">
            <v>I0X7207</v>
          </cell>
          <cell r="G143">
            <v>54</v>
          </cell>
          <cell r="AB143">
            <v>6</v>
          </cell>
          <cell r="AC143">
            <v>428200</v>
          </cell>
        </row>
        <row r="144">
          <cell r="B144" t="str">
            <v>의류</v>
          </cell>
          <cell r="F144" t="str">
            <v>I0X7208</v>
          </cell>
          <cell r="G144">
            <v>43</v>
          </cell>
          <cell r="AB144">
            <v>2</v>
          </cell>
          <cell r="AC144">
            <v>138000</v>
          </cell>
        </row>
        <row r="145">
          <cell r="B145" t="str">
            <v>의류</v>
          </cell>
          <cell r="F145" t="str">
            <v>I0X7208</v>
          </cell>
          <cell r="G145">
            <v>49</v>
          </cell>
          <cell r="AB145">
            <v>14</v>
          </cell>
          <cell r="AC145">
            <v>841500</v>
          </cell>
        </row>
        <row r="146">
          <cell r="B146" t="str">
            <v>의류</v>
          </cell>
          <cell r="F146" t="str">
            <v>I0X7209</v>
          </cell>
          <cell r="G146">
            <v>34</v>
          </cell>
          <cell r="AB146">
            <v>10</v>
          </cell>
          <cell r="AC146">
            <v>572300</v>
          </cell>
        </row>
        <row r="147">
          <cell r="B147" t="str">
            <v>의류</v>
          </cell>
          <cell r="F147" t="str">
            <v>I0X7209</v>
          </cell>
          <cell r="G147">
            <v>49</v>
          </cell>
          <cell r="AB147">
            <v>22</v>
          </cell>
          <cell r="AC147">
            <v>1138500</v>
          </cell>
        </row>
        <row r="148">
          <cell r="B148" t="str">
            <v>의류</v>
          </cell>
          <cell r="F148" t="str">
            <v>I0XV101</v>
          </cell>
          <cell r="G148">
            <v>36</v>
          </cell>
          <cell r="AB148">
            <v>2</v>
          </cell>
          <cell r="AC148">
            <v>232200</v>
          </cell>
        </row>
        <row r="149">
          <cell r="B149" t="str">
            <v>의류</v>
          </cell>
          <cell r="F149" t="str">
            <v>I0XV201</v>
          </cell>
          <cell r="G149">
            <v>36</v>
          </cell>
          <cell r="AB149">
            <v>6</v>
          </cell>
          <cell r="AC149">
            <v>648300</v>
          </cell>
        </row>
        <row r="150">
          <cell r="B150" t="str">
            <v>의류</v>
          </cell>
          <cell r="F150" t="str">
            <v>I0XV201</v>
          </cell>
          <cell r="G150">
            <v>48</v>
          </cell>
          <cell r="AB150">
            <v>12</v>
          </cell>
          <cell r="AC150">
            <v>1204700</v>
          </cell>
        </row>
        <row r="151">
          <cell r="B151" t="str">
            <v>악세</v>
          </cell>
          <cell r="F151" t="str">
            <v>IAXT201</v>
          </cell>
          <cell r="G151">
            <v>31</v>
          </cell>
          <cell r="AB151">
            <v>25</v>
          </cell>
          <cell r="AC151">
            <v>380000</v>
          </cell>
        </row>
        <row r="152">
          <cell r="B152" t="str">
            <v>악세</v>
          </cell>
          <cell r="F152" t="str">
            <v>IAXT201</v>
          </cell>
          <cell r="G152">
            <v>32</v>
          </cell>
          <cell r="AB152">
            <v>12</v>
          </cell>
          <cell r="AC152">
            <v>186200</v>
          </cell>
        </row>
        <row r="153">
          <cell r="B153" t="str">
            <v>악세</v>
          </cell>
          <cell r="F153" t="str">
            <v>IAXV101</v>
          </cell>
          <cell r="G153">
            <v>31</v>
          </cell>
          <cell r="AB153">
            <v>5</v>
          </cell>
          <cell r="AC153">
            <v>248000</v>
          </cell>
        </row>
        <row r="154">
          <cell r="B154" t="str">
            <v>악세</v>
          </cell>
          <cell r="F154" t="str">
            <v>IAXV101</v>
          </cell>
          <cell r="G154">
            <v>49</v>
          </cell>
          <cell r="AB154">
            <v>9</v>
          </cell>
          <cell r="AC154">
            <v>386400</v>
          </cell>
        </row>
        <row r="155">
          <cell r="B155" t="str">
            <v>악세</v>
          </cell>
          <cell r="F155" t="str">
            <v>IAXV102</v>
          </cell>
          <cell r="G155">
            <v>31</v>
          </cell>
          <cell r="AB155">
            <v>4</v>
          </cell>
          <cell r="AC155">
            <v>230400</v>
          </cell>
        </row>
        <row r="156">
          <cell r="B156" t="str">
            <v>악세</v>
          </cell>
          <cell r="F156" t="str">
            <v>IAXW101</v>
          </cell>
          <cell r="G156">
            <v>43</v>
          </cell>
          <cell r="AB156">
            <v>2</v>
          </cell>
          <cell r="AC156">
            <v>82400</v>
          </cell>
        </row>
        <row r="157">
          <cell r="B157" t="str">
            <v>악세</v>
          </cell>
          <cell r="F157" t="str">
            <v>IAXW101</v>
          </cell>
          <cell r="G157">
            <v>63</v>
          </cell>
        </row>
        <row r="158">
          <cell r="B158" t="str">
            <v>악세</v>
          </cell>
          <cell r="F158" t="str">
            <v>IAXW102</v>
          </cell>
          <cell r="G158">
            <v>34</v>
          </cell>
        </row>
        <row r="159">
          <cell r="B159" t="str">
            <v>악세</v>
          </cell>
          <cell r="F159" t="str">
            <v>IAXW103</v>
          </cell>
          <cell r="G159">
            <v>34</v>
          </cell>
          <cell r="AB159">
            <v>1</v>
          </cell>
          <cell r="AC159">
            <v>46400</v>
          </cell>
        </row>
        <row r="160">
          <cell r="B160" t="str">
            <v>악세</v>
          </cell>
          <cell r="F160" t="str">
            <v>IAXW103</v>
          </cell>
          <cell r="G160">
            <v>49</v>
          </cell>
          <cell r="AB160">
            <v>2</v>
          </cell>
          <cell r="AC160">
            <v>92800</v>
          </cell>
        </row>
        <row r="161">
          <cell r="B161" t="str">
            <v>악세</v>
          </cell>
          <cell r="F161" t="str">
            <v>IAXW104</v>
          </cell>
          <cell r="G161">
            <v>39</v>
          </cell>
          <cell r="AB161">
            <v>2</v>
          </cell>
          <cell r="AC161">
            <v>92800</v>
          </cell>
        </row>
        <row r="162">
          <cell r="B162" t="str">
            <v>악세</v>
          </cell>
          <cell r="F162" t="str">
            <v>IAXW105</v>
          </cell>
          <cell r="G162">
            <v>31</v>
          </cell>
          <cell r="AB162">
            <v>2</v>
          </cell>
          <cell r="AC162">
            <v>92800</v>
          </cell>
        </row>
        <row r="163">
          <cell r="B163" t="str">
            <v>악세</v>
          </cell>
          <cell r="F163" t="str">
            <v>IAXW105</v>
          </cell>
          <cell r="G163">
            <v>39</v>
          </cell>
        </row>
        <row r="164">
          <cell r="B164" t="str">
            <v>악세</v>
          </cell>
          <cell r="F164" t="str">
            <v>IAXW106</v>
          </cell>
          <cell r="G164">
            <v>34</v>
          </cell>
          <cell r="AB164">
            <v>4</v>
          </cell>
          <cell r="AC164">
            <v>172800</v>
          </cell>
        </row>
        <row r="165">
          <cell r="B165" t="str">
            <v>악세</v>
          </cell>
          <cell r="F165" t="str">
            <v>IAXW106</v>
          </cell>
          <cell r="G165">
            <v>49</v>
          </cell>
          <cell r="AB165">
            <v>3</v>
          </cell>
          <cell r="AC165">
            <v>129600</v>
          </cell>
        </row>
        <row r="166">
          <cell r="B166" t="str">
            <v>악세</v>
          </cell>
          <cell r="F166" t="str">
            <v>IAXW201</v>
          </cell>
          <cell r="G166">
            <v>31</v>
          </cell>
          <cell r="AB166">
            <v>8</v>
          </cell>
          <cell r="AC166">
            <v>371200</v>
          </cell>
        </row>
        <row r="167">
          <cell r="B167" t="str">
            <v>악세</v>
          </cell>
          <cell r="F167" t="str">
            <v>IAXW201</v>
          </cell>
          <cell r="G167">
            <v>45</v>
          </cell>
          <cell r="AB167">
            <v>13</v>
          </cell>
          <cell r="AC167">
            <v>603200</v>
          </cell>
        </row>
        <row r="168">
          <cell r="B168" t="str">
            <v>악세</v>
          </cell>
          <cell r="F168" t="str">
            <v>IAXW202</v>
          </cell>
          <cell r="G168">
            <v>49</v>
          </cell>
          <cell r="AB168">
            <v>2</v>
          </cell>
          <cell r="AC168">
            <v>56400</v>
          </cell>
        </row>
        <row r="169">
          <cell r="B169" t="str">
            <v>악세</v>
          </cell>
          <cell r="F169" t="str">
            <v>IAXW202</v>
          </cell>
          <cell r="G169">
            <v>53</v>
          </cell>
          <cell r="AB169">
            <v>5</v>
          </cell>
          <cell r="AC169">
            <v>216000</v>
          </cell>
        </row>
        <row r="170">
          <cell r="B170" t="str">
            <v>악세</v>
          </cell>
          <cell r="F170" t="str">
            <v>IAXW203</v>
          </cell>
          <cell r="G170">
            <v>49</v>
          </cell>
          <cell r="AB170">
            <v>7</v>
          </cell>
          <cell r="AC170">
            <v>324800</v>
          </cell>
        </row>
        <row r="171">
          <cell r="B171" t="str">
            <v>악세</v>
          </cell>
          <cell r="F171" t="str">
            <v>IAXW204</v>
          </cell>
          <cell r="G171">
            <v>49</v>
          </cell>
          <cell r="AB171">
            <v>5</v>
          </cell>
          <cell r="AC171">
            <v>232000</v>
          </cell>
        </row>
        <row r="172">
          <cell r="B172" t="str">
            <v>악세</v>
          </cell>
          <cell r="F172" t="str">
            <v>IAXW205</v>
          </cell>
          <cell r="G172">
            <v>32</v>
          </cell>
          <cell r="AB172">
            <v>4</v>
          </cell>
          <cell r="AC172">
            <v>185600</v>
          </cell>
        </row>
        <row r="173">
          <cell r="B173" t="str">
            <v>악세</v>
          </cell>
          <cell r="F173" t="str">
            <v>IAXW205</v>
          </cell>
          <cell r="G173">
            <v>43</v>
          </cell>
          <cell r="AB173">
            <v>6</v>
          </cell>
          <cell r="AC173">
            <v>278400</v>
          </cell>
        </row>
        <row r="174">
          <cell r="B174" t="str">
            <v>악세</v>
          </cell>
          <cell r="F174" t="str">
            <v>IAXW206</v>
          </cell>
          <cell r="G174">
            <v>43</v>
          </cell>
          <cell r="AB174">
            <v>5</v>
          </cell>
          <cell r="AC174">
            <v>216000</v>
          </cell>
        </row>
        <row r="175">
          <cell r="B175" t="str">
            <v>악세</v>
          </cell>
          <cell r="F175" t="str">
            <v>IAXW207</v>
          </cell>
          <cell r="G175">
            <v>31</v>
          </cell>
          <cell r="AB175">
            <v>2</v>
          </cell>
          <cell r="AC175">
            <v>92800</v>
          </cell>
        </row>
        <row r="176">
          <cell r="B176" t="str">
            <v>악세</v>
          </cell>
          <cell r="F176" t="str">
            <v>IAXW207</v>
          </cell>
          <cell r="G176">
            <v>39</v>
          </cell>
          <cell r="AB176">
            <v>6</v>
          </cell>
          <cell r="AC176">
            <v>278400</v>
          </cell>
        </row>
        <row r="177">
          <cell r="B177" t="str">
            <v>악세</v>
          </cell>
          <cell r="F177" t="str">
            <v>IAXW207</v>
          </cell>
          <cell r="G177">
            <v>76</v>
          </cell>
          <cell r="AB177">
            <v>2</v>
          </cell>
          <cell r="AC177">
            <v>92800</v>
          </cell>
        </row>
        <row r="178">
          <cell r="B178" t="str">
            <v>악세</v>
          </cell>
          <cell r="F178" t="str">
            <v>IAXW208</v>
          </cell>
          <cell r="G178">
            <v>49</v>
          </cell>
          <cell r="AB178">
            <v>7</v>
          </cell>
          <cell r="AC178">
            <v>294800</v>
          </cell>
        </row>
        <row r="179">
          <cell r="B179" t="str">
            <v>악세</v>
          </cell>
          <cell r="F179" t="str">
            <v>IAXW209</v>
          </cell>
          <cell r="G179">
            <v>49</v>
          </cell>
          <cell r="AB179">
            <v>1</v>
          </cell>
          <cell r="AC179">
            <v>49600</v>
          </cell>
        </row>
        <row r="180">
          <cell r="B180" t="str">
            <v>악세</v>
          </cell>
          <cell r="F180" t="str">
            <v>IAXW210</v>
          </cell>
          <cell r="G180">
            <v>32</v>
          </cell>
          <cell r="AB180">
            <v>6</v>
          </cell>
          <cell r="AC180">
            <v>267600</v>
          </cell>
        </row>
        <row r="181">
          <cell r="B181" t="str">
            <v>악세</v>
          </cell>
          <cell r="F181" t="str">
            <v>IAXW210</v>
          </cell>
          <cell r="G181">
            <v>49</v>
          </cell>
          <cell r="AB181">
            <v>10</v>
          </cell>
          <cell r="AC181">
            <v>496000</v>
          </cell>
        </row>
        <row r="182">
          <cell r="B182" t="str">
            <v>악세</v>
          </cell>
          <cell r="F182" t="str">
            <v>IAXW211</v>
          </cell>
          <cell r="G182">
            <v>37</v>
          </cell>
          <cell r="AB182">
            <v>5</v>
          </cell>
          <cell r="AC182">
            <v>178000</v>
          </cell>
        </row>
        <row r="183">
          <cell r="B183" t="str">
            <v>악세</v>
          </cell>
          <cell r="F183" t="str">
            <v>IAXW211</v>
          </cell>
          <cell r="G183">
            <v>43</v>
          </cell>
          <cell r="AB183">
            <v>4</v>
          </cell>
          <cell r="AC183">
            <v>166400</v>
          </cell>
        </row>
        <row r="184">
          <cell r="B184" t="str">
            <v>악세</v>
          </cell>
          <cell r="F184" t="str">
            <v>IAXW212</v>
          </cell>
          <cell r="G184">
            <v>39</v>
          </cell>
          <cell r="AB184">
            <v>5</v>
          </cell>
          <cell r="AC184">
            <v>208000</v>
          </cell>
        </row>
        <row r="185">
          <cell r="B185" t="str">
            <v>악세</v>
          </cell>
          <cell r="F185" t="str">
            <v>IAXW213</v>
          </cell>
          <cell r="G185">
            <v>45</v>
          </cell>
          <cell r="AB185">
            <v>6</v>
          </cell>
          <cell r="AC185">
            <v>312800</v>
          </cell>
        </row>
        <row r="186">
          <cell r="B186" t="str">
            <v>T커머스</v>
          </cell>
          <cell r="F186" t="str">
            <v>IEX1201</v>
          </cell>
          <cell r="G186">
            <v>34</v>
          </cell>
          <cell r="AB186">
            <v>31</v>
          </cell>
          <cell r="AC186">
            <v>1209000</v>
          </cell>
        </row>
        <row r="187">
          <cell r="B187" t="str">
            <v>T커머스</v>
          </cell>
          <cell r="F187" t="str">
            <v>IEX1202</v>
          </cell>
          <cell r="G187">
            <v>76</v>
          </cell>
          <cell r="AB187">
            <v>6</v>
          </cell>
          <cell r="AC187">
            <v>294000</v>
          </cell>
        </row>
        <row r="188">
          <cell r="B188" t="str">
            <v>T커머스</v>
          </cell>
          <cell r="F188" t="str">
            <v>IEX1203</v>
          </cell>
          <cell r="G188">
            <v>49</v>
          </cell>
          <cell r="AB188">
            <v>16</v>
          </cell>
          <cell r="AC188">
            <v>784000</v>
          </cell>
        </row>
        <row r="189">
          <cell r="B189" t="str">
            <v>T커머스</v>
          </cell>
          <cell r="F189" t="str">
            <v>IEX1204</v>
          </cell>
          <cell r="G189">
            <v>34</v>
          </cell>
        </row>
        <row r="190">
          <cell r="B190" t="str">
            <v>T커머스</v>
          </cell>
          <cell r="F190" t="str">
            <v>IEX1205</v>
          </cell>
          <cell r="G190">
            <v>73</v>
          </cell>
        </row>
        <row r="191">
          <cell r="B191" t="str">
            <v>T커머스</v>
          </cell>
          <cell r="F191" t="str">
            <v>IEX1206</v>
          </cell>
          <cell r="G191">
            <v>76</v>
          </cell>
        </row>
        <row r="192">
          <cell r="B192" t="str">
            <v>T커머스</v>
          </cell>
          <cell r="F192" t="str">
            <v>IEX7201</v>
          </cell>
          <cell r="G192">
            <v>32</v>
          </cell>
          <cell r="AB192">
            <v>-1</v>
          </cell>
          <cell r="AC192">
            <v>-53100</v>
          </cell>
        </row>
        <row r="193">
          <cell r="B193" t="str">
            <v>T커머스</v>
          </cell>
          <cell r="F193" t="str">
            <v>IEX7202</v>
          </cell>
          <cell r="G193">
            <v>49</v>
          </cell>
          <cell r="AB193">
            <v>81</v>
          </cell>
          <cell r="AC193">
            <v>5030100</v>
          </cell>
        </row>
        <row r="194">
          <cell r="B194" t="str">
            <v>T커머스</v>
          </cell>
          <cell r="F194" t="str">
            <v>IEX7203</v>
          </cell>
          <cell r="G194">
            <v>39</v>
          </cell>
          <cell r="AB194">
            <v>1</v>
          </cell>
          <cell r="AC194">
            <v>62100</v>
          </cell>
        </row>
        <row r="195">
          <cell r="B195" t="str">
            <v>의류</v>
          </cell>
          <cell r="F195" t="str">
            <v>INX1101</v>
          </cell>
          <cell r="G195">
            <v>31</v>
          </cell>
          <cell r="AB195">
            <v>2</v>
          </cell>
          <cell r="AC195">
            <v>124200</v>
          </cell>
        </row>
        <row r="196">
          <cell r="B196" t="str">
            <v>의류</v>
          </cell>
          <cell r="F196" t="str">
            <v>INX1101</v>
          </cell>
          <cell r="G196">
            <v>39</v>
          </cell>
          <cell r="AB196">
            <v>1</v>
          </cell>
          <cell r="AC196">
            <v>69000</v>
          </cell>
        </row>
        <row r="197">
          <cell r="B197" t="str">
            <v>의류</v>
          </cell>
          <cell r="F197" t="str">
            <v>INX1102</v>
          </cell>
          <cell r="G197">
            <v>49</v>
          </cell>
          <cell r="AB197">
            <v>2</v>
          </cell>
          <cell r="AC197">
            <v>142200</v>
          </cell>
        </row>
        <row r="198">
          <cell r="B198" t="str">
            <v>의류</v>
          </cell>
          <cell r="F198" t="str">
            <v>INX1102</v>
          </cell>
          <cell r="G198">
            <v>76</v>
          </cell>
        </row>
        <row r="199">
          <cell r="B199" t="str">
            <v>의류</v>
          </cell>
          <cell r="F199" t="str">
            <v>INX1103</v>
          </cell>
          <cell r="G199">
            <v>39</v>
          </cell>
        </row>
        <row r="200">
          <cell r="B200" t="str">
            <v>의류</v>
          </cell>
          <cell r="F200" t="str">
            <v>INX1103</v>
          </cell>
          <cell r="G200">
            <v>43</v>
          </cell>
        </row>
        <row r="201">
          <cell r="B201" t="str">
            <v>의류</v>
          </cell>
          <cell r="F201" t="str">
            <v>INX1104</v>
          </cell>
          <cell r="G201">
            <v>31</v>
          </cell>
          <cell r="AB201">
            <v>3</v>
          </cell>
          <cell r="AC201">
            <v>213300</v>
          </cell>
        </row>
        <row r="202">
          <cell r="B202" t="str">
            <v>의류</v>
          </cell>
          <cell r="F202" t="str">
            <v>INX1201</v>
          </cell>
          <cell r="G202">
            <v>37</v>
          </cell>
          <cell r="AB202">
            <v>3</v>
          </cell>
          <cell r="AC202">
            <v>147000</v>
          </cell>
        </row>
        <row r="203">
          <cell r="B203" t="str">
            <v>의류</v>
          </cell>
          <cell r="F203" t="str">
            <v>INX1201</v>
          </cell>
          <cell r="G203">
            <v>76</v>
          </cell>
          <cell r="AB203">
            <v>11</v>
          </cell>
          <cell r="AC203">
            <v>539000</v>
          </cell>
        </row>
        <row r="204">
          <cell r="B204" t="str">
            <v>의류</v>
          </cell>
          <cell r="F204" t="str">
            <v>INX1202</v>
          </cell>
          <cell r="G204">
            <v>34</v>
          </cell>
          <cell r="AB204">
            <v>3</v>
          </cell>
          <cell r="AC204">
            <v>180100</v>
          </cell>
        </row>
        <row r="205">
          <cell r="B205" t="str">
            <v>의류</v>
          </cell>
          <cell r="F205" t="str">
            <v>INX1202</v>
          </cell>
          <cell r="G205">
            <v>49</v>
          </cell>
        </row>
        <row r="206">
          <cell r="B206" t="str">
            <v>의류</v>
          </cell>
          <cell r="F206" t="str">
            <v>INX1203</v>
          </cell>
          <cell r="G206">
            <v>31</v>
          </cell>
          <cell r="AB206">
            <v>6</v>
          </cell>
          <cell r="AC206">
            <v>347100</v>
          </cell>
        </row>
        <row r="207">
          <cell r="B207" t="str">
            <v>의류</v>
          </cell>
          <cell r="F207" t="str">
            <v>INX1204</v>
          </cell>
          <cell r="G207">
            <v>22</v>
          </cell>
        </row>
        <row r="208">
          <cell r="B208" t="str">
            <v>의류</v>
          </cell>
          <cell r="F208" t="str">
            <v>INX1204</v>
          </cell>
          <cell r="G208">
            <v>39</v>
          </cell>
          <cell r="AB208">
            <v>4</v>
          </cell>
          <cell r="AC208">
            <v>230100</v>
          </cell>
        </row>
        <row r="209">
          <cell r="B209" t="str">
            <v>의류</v>
          </cell>
          <cell r="F209" t="str">
            <v>INX1205</v>
          </cell>
          <cell r="G209">
            <v>34</v>
          </cell>
          <cell r="AB209">
            <v>10</v>
          </cell>
          <cell r="AC209">
            <v>712600</v>
          </cell>
        </row>
        <row r="210">
          <cell r="B210" t="str">
            <v>의류</v>
          </cell>
          <cell r="F210" t="str">
            <v>INX1205</v>
          </cell>
          <cell r="G210">
            <v>39</v>
          </cell>
          <cell r="AB210">
            <v>4</v>
          </cell>
          <cell r="AC210">
            <v>308100</v>
          </cell>
        </row>
        <row r="211">
          <cell r="B211" t="str">
            <v>의류</v>
          </cell>
          <cell r="F211" t="str">
            <v>INX1206</v>
          </cell>
          <cell r="G211">
            <v>34</v>
          </cell>
          <cell r="AB211">
            <v>2</v>
          </cell>
          <cell r="AC211">
            <v>150100</v>
          </cell>
        </row>
        <row r="212">
          <cell r="B212" t="str">
            <v>의류</v>
          </cell>
          <cell r="F212" t="str">
            <v>INX1206</v>
          </cell>
          <cell r="G212">
            <v>49</v>
          </cell>
          <cell r="AB212">
            <v>2</v>
          </cell>
          <cell r="AC212">
            <v>158000</v>
          </cell>
        </row>
        <row r="213">
          <cell r="B213" t="str">
            <v>의류</v>
          </cell>
          <cell r="F213" t="str">
            <v>INX1207</v>
          </cell>
          <cell r="G213">
            <v>39</v>
          </cell>
          <cell r="AB213">
            <v>9</v>
          </cell>
          <cell r="AC213">
            <v>600300</v>
          </cell>
        </row>
        <row r="214">
          <cell r="B214" t="str">
            <v>의류</v>
          </cell>
          <cell r="F214" t="str">
            <v>INX1207</v>
          </cell>
          <cell r="G214">
            <v>43</v>
          </cell>
          <cell r="AB214">
            <v>9</v>
          </cell>
          <cell r="AC214">
            <v>586500</v>
          </cell>
        </row>
        <row r="215">
          <cell r="B215" t="str">
            <v>의류</v>
          </cell>
          <cell r="F215" t="str">
            <v>INX1208</v>
          </cell>
          <cell r="G215">
            <v>49</v>
          </cell>
          <cell r="AB215">
            <v>12</v>
          </cell>
          <cell r="AC215">
            <v>784300</v>
          </cell>
        </row>
        <row r="216">
          <cell r="B216" t="str">
            <v>의류</v>
          </cell>
          <cell r="F216" t="str">
            <v>INX1208</v>
          </cell>
          <cell r="G216">
            <v>63</v>
          </cell>
          <cell r="AB216">
            <v>4</v>
          </cell>
          <cell r="AC216">
            <v>308100</v>
          </cell>
        </row>
        <row r="217">
          <cell r="B217" t="str">
            <v>의류</v>
          </cell>
          <cell r="F217" t="str">
            <v>INX1210</v>
          </cell>
          <cell r="G217">
            <v>31</v>
          </cell>
          <cell r="AB217">
            <v>18</v>
          </cell>
          <cell r="AC217">
            <v>782600</v>
          </cell>
        </row>
        <row r="218">
          <cell r="B218" t="str">
            <v>의류</v>
          </cell>
          <cell r="F218" t="str">
            <v>INX1210</v>
          </cell>
          <cell r="G218">
            <v>32</v>
          </cell>
          <cell r="AB218">
            <v>13</v>
          </cell>
          <cell r="AC218">
            <v>557400</v>
          </cell>
        </row>
        <row r="219">
          <cell r="B219" t="str">
            <v>의류</v>
          </cell>
          <cell r="F219" t="str">
            <v>INX1210</v>
          </cell>
          <cell r="G219">
            <v>49</v>
          </cell>
          <cell r="AB219">
            <v>11</v>
          </cell>
          <cell r="AC219">
            <v>484500</v>
          </cell>
        </row>
        <row r="220">
          <cell r="B220" t="str">
            <v>의류</v>
          </cell>
          <cell r="F220" t="str">
            <v>INX1212</v>
          </cell>
          <cell r="G220">
            <v>31</v>
          </cell>
          <cell r="AB220">
            <v>15</v>
          </cell>
          <cell r="AC220">
            <v>1085500</v>
          </cell>
        </row>
        <row r="221">
          <cell r="B221" t="str">
            <v>의류</v>
          </cell>
          <cell r="F221" t="str">
            <v>INX1212</v>
          </cell>
          <cell r="G221">
            <v>34</v>
          </cell>
          <cell r="AB221">
            <v>7</v>
          </cell>
          <cell r="AC221">
            <v>485100</v>
          </cell>
        </row>
        <row r="222">
          <cell r="B222" t="str">
            <v>의류</v>
          </cell>
          <cell r="F222" t="str">
            <v>INX1212</v>
          </cell>
          <cell r="G222">
            <v>43</v>
          </cell>
          <cell r="AB222">
            <v>2</v>
          </cell>
          <cell r="AC222">
            <v>138000</v>
          </cell>
        </row>
        <row r="223">
          <cell r="B223" t="str">
            <v>의류</v>
          </cell>
          <cell r="F223" t="str">
            <v>INX4101</v>
          </cell>
          <cell r="G223">
            <v>34</v>
          </cell>
        </row>
        <row r="224">
          <cell r="B224" t="str">
            <v>의류</v>
          </cell>
          <cell r="F224" t="str">
            <v>INX6102</v>
          </cell>
          <cell r="G224">
            <v>36</v>
          </cell>
        </row>
        <row r="225">
          <cell r="B225" t="str">
            <v>의류</v>
          </cell>
          <cell r="F225" t="str">
            <v>INX6201</v>
          </cell>
          <cell r="G225">
            <v>31</v>
          </cell>
          <cell r="AB225">
            <v>3</v>
          </cell>
          <cell r="AC225">
            <v>372100</v>
          </cell>
        </row>
        <row r="226">
          <cell r="B226" t="str">
            <v>의류</v>
          </cell>
          <cell r="F226" t="str">
            <v>INX6201</v>
          </cell>
          <cell r="G226">
            <v>49</v>
          </cell>
          <cell r="AB226">
            <v>5</v>
          </cell>
          <cell r="AC226">
            <v>640300</v>
          </cell>
        </row>
        <row r="227">
          <cell r="B227" t="str">
            <v>의류</v>
          </cell>
          <cell r="F227" t="str">
            <v>INX6202</v>
          </cell>
          <cell r="G227">
            <v>39</v>
          </cell>
          <cell r="AB227">
            <v>3</v>
          </cell>
          <cell r="AC227">
            <v>345100</v>
          </cell>
        </row>
        <row r="228">
          <cell r="B228" t="str">
            <v>의류</v>
          </cell>
          <cell r="F228" t="str">
            <v>INX7101</v>
          </cell>
          <cell r="G228">
            <v>34</v>
          </cell>
          <cell r="AC228">
            <v>-8900</v>
          </cell>
        </row>
        <row r="229">
          <cell r="B229" t="str">
            <v>의류</v>
          </cell>
          <cell r="F229" t="str">
            <v>INX7101</v>
          </cell>
          <cell r="G229">
            <v>39</v>
          </cell>
          <cell r="AB229">
            <v>3</v>
          </cell>
          <cell r="AC229">
            <v>258100</v>
          </cell>
        </row>
        <row r="230">
          <cell r="B230" t="str">
            <v>의류</v>
          </cell>
          <cell r="F230" t="str">
            <v>INX7102</v>
          </cell>
          <cell r="G230">
            <v>39</v>
          </cell>
          <cell r="AB230">
            <v>9</v>
          </cell>
          <cell r="AC230">
            <v>876500</v>
          </cell>
        </row>
        <row r="231">
          <cell r="B231" t="str">
            <v>의류</v>
          </cell>
          <cell r="F231" t="str">
            <v>INX7201</v>
          </cell>
          <cell r="G231">
            <v>31</v>
          </cell>
          <cell r="AB231">
            <v>15</v>
          </cell>
          <cell r="AC231">
            <v>1185000</v>
          </cell>
        </row>
        <row r="232">
          <cell r="B232" t="str">
            <v>의류</v>
          </cell>
          <cell r="F232" t="str">
            <v>INX7201</v>
          </cell>
          <cell r="G232">
            <v>39</v>
          </cell>
          <cell r="AB232">
            <v>9</v>
          </cell>
          <cell r="AC232">
            <v>711000</v>
          </cell>
        </row>
        <row r="233">
          <cell r="B233" t="str">
            <v>의류</v>
          </cell>
          <cell r="F233" t="str">
            <v>INX7202</v>
          </cell>
          <cell r="G233">
            <v>32</v>
          </cell>
          <cell r="AB233">
            <v>17</v>
          </cell>
          <cell r="AC233">
            <v>1173000</v>
          </cell>
        </row>
        <row r="234">
          <cell r="B234" t="str">
            <v>의류</v>
          </cell>
          <cell r="F234" t="str">
            <v>INX7202</v>
          </cell>
          <cell r="G234">
            <v>76</v>
          </cell>
          <cell r="AB234">
            <v>5</v>
          </cell>
          <cell r="AC234">
            <v>345000</v>
          </cell>
        </row>
        <row r="235">
          <cell r="B235" t="str">
            <v>의류</v>
          </cell>
          <cell r="F235" t="str">
            <v>INX7203</v>
          </cell>
          <cell r="G235">
            <v>49</v>
          </cell>
          <cell r="AB235">
            <v>6</v>
          </cell>
          <cell r="AC235">
            <v>579500</v>
          </cell>
        </row>
        <row r="236">
          <cell r="B236" t="str">
            <v>의류</v>
          </cell>
          <cell r="F236" t="str">
            <v>ISX1201</v>
          </cell>
          <cell r="G236">
            <v>39</v>
          </cell>
          <cell r="AB236">
            <v>7</v>
          </cell>
          <cell r="AC236">
            <v>273000</v>
          </cell>
        </row>
        <row r="237">
          <cell r="B237" t="str">
            <v>의류</v>
          </cell>
          <cell r="F237" t="str">
            <v>ISX1201</v>
          </cell>
          <cell r="G237">
            <v>49</v>
          </cell>
          <cell r="AB237">
            <v>32</v>
          </cell>
          <cell r="AC237">
            <v>1244100</v>
          </cell>
        </row>
        <row r="238">
          <cell r="B238" t="str">
            <v>의류</v>
          </cell>
          <cell r="F238" t="str">
            <v>ISX1202</v>
          </cell>
          <cell r="G238">
            <v>34</v>
          </cell>
          <cell r="AB238">
            <v>10</v>
          </cell>
          <cell r="AC238">
            <v>490000</v>
          </cell>
        </row>
        <row r="239">
          <cell r="B239" t="str">
            <v>의류</v>
          </cell>
          <cell r="F239" t="str">
            <v>ISX1202</v>
          </cell>
          <cell r="G239">
            <v>73</v>
          </cell>
          <cell r="AB239">
            <v>10</v>
          </cell>
          <cell r="AC239">
            <v>490000</v>
          </cell>
        </row>
        <row r="240">
          <cell r="B240" t="str">
            <v>의류</v>
          </cell>
          <cell r="F240" t="str">
            <v>ISX1203</v>
          </cell>
          <cell r="G240">
            <v>49</v>
          </cell>
          <cell r="AB240">
            <v>2</v>
          </cell>
          <cell r="AC240">
            <v>98000</v>
          </cell>
        </row>
        <row r="241">
          <cell r="B241" t="str">
            <v>의류</v>
          </cell>
          <cell r="F241" t="str">
            <v>ISX1204</v>
          </cell>
          <cell r="G241">
            <v>49</v>
          </cell>
          <cell r="AB241">
            <v>11</v>
          </cell>
          <cell r="AC241">
            <v>514100</v>
          </cell>
        </row>
        <row r="242">
          <cell r="B242" t="str">
            <v>의류</v>
          </cell>
          <cell r="F242" t="str">
            <v>ISX1204</v>
          </cell>
          <cell r="G242">
            <v>78</v>
          </cell>
          <cell r="AB242">
            <v>17</v>
          </cell>
          <cell r="AC242">
            <v>793800</v>
          </cell>
        </row>
        <row r="243">
          <cell r="B243" t="str">
            <v>의류</v>
          </cell>
          <cell r="F243" t="str">
            <v>ISX1206</v>
          </cell>
          <cell r="G243">
            <v>49</v>
          </cell>
          <cell r="AB243">
            <v>8</v>
          </cell>
          <cell r="AC243">
            <v>288100</v>
          </cell>
        </row>
        <row r="244">
          <cell r="B244" t="str">
            <v>의류</v>
          </cell>
          <cell r="F244" t="str">
            <v>ISX1207</v>
          </cell>
          <cell r="G244">
            <v>73</v>
          </cell>
          <cell r="AB244">
            <v>3</v>
          </cell>
          <cell r="AC244">
            <v>165200</v>
          </cell>
        </row>
        <row r="245">
          <cell r="B245" t="str">
            <v>의류</v>
          </cell>
          <cell r="F245" t="str">
            <v>ISX1208</v>
          </cell>
          <cell r="G245">
            <v>49</v>
          </cell>
          <cell r="AB245">
            <v>2</v>
          </cell>
          <cell r="AC245">
            <v>112100</v>
          </cell>
        </row>
        <row r="246">
          <cell r="B246" t="str">
            <v>의류</v>
          </cell>
          <cell r="F246" t="str">
            <v>ITX1101</v>
          </cell>
          <cell r="G246">
            <v>43</v>
          </cell>
          <cell r="AB246">
            <v>3</v>
          </cell>
          <cell r="AC246">
            <v>165000</v>
          </cell>
        </row>
        <row r="247">
          <cell r="B247" t="str">
            <v>의류</v>
          </cell>
          <cell r="F247" t="str">
            <v>ITX1101</v>
          </cell>
          <cell r="G247">
            <v>73</v>
          </cell>
          <cell r="AB247">
            <v>2</v>
          </cell>
          <cell r="AC247">
            <v>110000</v>
          </cell>
        </row>
        <row r="248">
          <cell r="B248" t="str">
            <v>의류</v>
          </cell>
          <cell r="F248" t="str">
            <v>ITX1201</v>
          </cell>
          <cell r="G248">
            <v>22</v>
          </cell>
          <cell r="AB248">
            <v>8</v>
          </cell>
          <cell r="AC248">
            <v>372400</v>
          </cell>
        </row>
        <row r="249">
          <cell r="B249" t="str">
            <v>의류</v>
          </cell>
          <cell r="F249" t="str">
            <v>ITX1201</v>
          </cell>
          <cell r="G249">
            <v>34</v>
          </cell>
          <cell r="AB249">
            <v>18</v>
          </cell>
          <cell r="AC249">
            <v>837900</v>
          </cell>
        </row>
        <row r="250">
          <cell r="B250" t="str">
            <v>의류</v>
          </cell>
          <cell r="F250" t="str">
            <v>ITX1201</v>
          </cell>
          <cell r="G250">
            <v>43</v>
          </cell>
          <cell r="AB250">
            <v>9</v>
          </cell>
          <cell r="AC250">
            <v>406700</v>
          </cell>
        </row>
        <row r="251">
          <cell r="B251" t="str">
            <v>의류</v>
          </cell>
          <cell r="F251" t="str">
            <v>ITX1201</v>
          </cell>
          <cell r="G251">
            <v>49</v>
          </cell>
          <cell r="AB251">
            <v>32</v>
          </cell>
          <cell r="AC251">
            <v>1456750</v>
          </cell>
        </row>
        <row r="252">
          <cell r="B252" t="str">
            <v>의류</v>
          </cell>
          <cell r="F252" t="str">
            <v>ITX1201</v>
          </cell>
          <cell r="G252">
            <v>74</v>
          </cell>
          <cell r="AB252">
            <v>12</v>
          </cell>
          <cell r="AC252">
            <v>508600</v>
          </cell>
        </row>
        <row r="253">
          <cell r="B253" t="str">
            <v>의류</v>
          </cell>
          <cell r="F253" t="str">
            <v>ITX1202</v>
          </cell>
          <cell r="G253">
            <v>22</v>
          </cell>
          <cell r="AB253">
            <v>20</v>
          </cell>
          <cell r="AC253">
            <v>556800</v>
          </cell>
        </row>
        <row r="254">
          <cell r="B254" t="str">
            <v>의류</v>
          </cell>
          <cell r="F254" t="str">
            <v>ITX1202</v>
          </cell>
          <cell r="G254">
            <v>34</v>
          </cell>
          <cell r="AB254">
            <v>38</v>
          </cell>
          <cell r="AC254">
            <v>1073000</v>
          </cell>
        </row>
        <row r="255">
          <cell r="B255" t="str">
            <v>의류</v>
          </cell>
          <cell r="F255" t="str">
            <v>ITX1202</v>
          </cell>
          <cell r="G255">
            <v>49</v>
          </cell>
          <cell r="AB255">
            <v>42</v>
          </cell>
          <cell r="AC255">
            <v>1171900</v>
          </cell>
        </row>
        <row r="256">
          <cell r="B256" t="str">
            <v>의류</v>
          </cell>
          <cell r="F256" t="str">
            <v>ITX1202</v>
          </cell>
          <cell r="G256">
            <v>76</v>
          </cell>
          <cell r="AB256">
            <v>14</v>
          </cell>
          <cell r="AC256">
            <v>380200</v>
          </cell>
        </row>
        <row r="257">
          <cell r="B257" t="str">
            <v>의류</v>
          </cell>
          <cell r="F257" t="str">
            <v>ITX1203</v>
          </cell>
          <cell r="G257">
            <v>34</v>
          </cell>
          <cell r="AB257">
            <v>15</v>
          </cell>
          <cell r="AC257">
            <v>680700</v>
          </cell>
        </row>
        <row r="258">
          <cell r="B258" t="str">
            <v>의류</v>
          </cell>
          <cell r="F258" t="str">
            <v>ITX1203</v>
          </cell>
          <cell r="G258">
            <v>43</v>
          </cell>
          <cell r="AB258">
            <v>13</v>
          </cell>
          <cell r="AC258">
            <v>612500</v>
          </cell>
        </row>
        <row r="259">
          <cell r="B259" t="str">
            <v>의류</v>
          </cell>
          <cell r="F259" t="str">
            <v>ITX1204</v>
          </cell>
          <cell r="G259">
            <v>22</v>
          </cell>
          <cell r="AB259">
            <v>7</v>
          </cell>
          <cell r="AC259">
            <v>435400</v>
          </cell>
        </row>
        <row r="260">
          <cell r="B260" t="str">
            <v>의류</v>
          </cell>
          <cell r="F260" t="str">
            <v>ITX1204</v>
          </cell>
          <cell r="G260">
            <v>43</v>
          </cell>
          <cell r="AB260">
            <v>8</v>
          </cell>
          <cell r="AC260">
            <v>488200</v>
          </cell>
        </row>
        <row r="261">
          <cell r="B261" t="str">
            <v>의류</v>
          </cell>
          <cell r="F261" t="str">
            <v>ITX1205</v>
          </cell>
          <cell r="G261">
            <v>36</v>
          </cell>
          <cell r="AB261">
            <v>4</v>
          </cell>
          <cell r="AC261">
            <v>212200</v>
          </cell>
        </row>
        <row r="262">
          <cell r="B262" t="str">
            <v>의류</v>
          </cell>
          <cell r="F262" t="str">
            <v>ITX1205</v>
          </cell>
          <cell r="G262">
            <v>49</v>
          </cell>
          <cell r="AB262">
            <v>4</v>
          </cell>
          <cell r="AC262">
            <v>219100</v>
          </cell>
        </row>
        <row r="263">
          <cell r="B263" t="str">
            <v>의류</v>
          </cell>
          <cell r="F263" t="str">
            <v>ITX5101</v>
          </cell>
          <cell r="G263">
            <v>34</v>
          </cell>
        </row>
        <row r="264">
          <cell r="B264" t="str">
            <v>의류</v>
          </cell>
          <cell r="F264" t="str">
            <v>ITX7101</v>
          </cell>
          <cell r="G264">
            <v>32</v>
          </cell>
          <cell r="AB264">
            <v>9</v>
          </cell>
          <cell r="AC264">
            <v>495000</v>
          </cell>
        </row>
        <row r="265">
          <cell r="B265" t="str">
            <v>의류</v>
          </cell>
          <cell r="F265" t="str">
            <v>ITX7101</v>
          </cell>
          <cell r="G265">
            <v>49</v>
          </cell>
          <cell r="AB265">
            <v>3</v>
          </cell>
          <cell r="AC265">
            <v>165000</v>
          </cell>
        </row>
        <row r="266">
          <cell r="B266" t="str">
            <v>의류</v>
          </cell>
          <cell r="F266" t="str">
            <v>ITX7101</v>
          </cell>
          <cell r="G266">
            <v>53</v>
          </cell>
          <cell r="AB266">
            <v>7</v>
          </cell>
          <cell r="AC266">
            <v>385000</v>
          </cell>
        </row>
        <row r="267">
          <cell r="B267" t="str">
            <v>의류</v>
          </cell>
          <cell r="F267" t="str">
            <v>ITX7102</v>
          </cell>
          <cell r="G267">
            <v>34</v>
          </cell>
          <cell r="AB267">
            <v>6</v>
          </cell>
          <cell r="AC267">
            <v>544200</v>
          </cell>
        </row>
        <row r="268">
          <cell r="B268" t="str">
            <v>의류</v>
          </cell>
          <cell r="F268" t="str">
            <v>ITX7103</v>
          </cell>
          <cell r="G268">
            <v>49</v>
          </cell>
          <cell r="AB268">
            <v>3</v>
          </cell>
          <cell r="AC268">
            <v>267300</v>
          </cell>
        </row>
        <row r="269">
          <cell r="B269" t="str">
            <v>의류</v>
          </cell>
          <cell r="F269" t="str">
            <v>ITX7201</v>
          </cell>
          <cell r="G269">
            <v>39</v>
          </cell>
          <cell r="AB269">
            <v>26</v>
          </cell>
          <cell r="AC269">
            <v>2344800</v>
          </cell>
        </row>
        <row r="270">
          <cell r="B270" t="str">
            <v>의류</v>
          </cell>
          <cell r="F270" t="str">
            <v>ITX7201</v>
          </cell>
          <cell r="G270">
            <v>49</v>
          </cell>
          <cell r="AB270">
            <v>37</v>
          </cell>
          <cell r="AC270">
            <v>3304500</v>
          </cell>
        </row>
        <row r="271">
          <cell r="B271" t="str">
            <v>의류</v>
          </cell>
          <cell r="F271" t="str">
            <v>ITX7202</v>
          </cell>
          <cell r="G271">
            <v>37</v>
          </cell>
          <cell r="AB271">
            <v>17</v>
          </cell>
          <cell r="AC271">
            <v>1593400</v>
          </cell>
        </row>
        <row r="272">
          <cell r="B272" t="str">
            <v>의류</v>
          </cell>
          <cell r="F272" t="str">
            <v>ITX7202</v>
          </cell>
          <cell r="G272">
            <v>43</v>
          </cell>
          <cell r="AB272">
            <v>32</v>
          </cell>
          <cell r="AC272">
            <v>2959300</v>
          </cell>
        </row>
        <row r="273">
          <cell r="B273" t="str">
            <v>의류</v>
          </cell>
          <cell r="F273" t="str">
            <v>ITX7203</v>
          </cell>
          <cell r="G273">
            <v>34</v>
          </cell>
          <cell r="AB273">
            <v>22</v>
          </cell>
          <cell r="AC273">
            <v>1518000</v>
          </cell>
        </row>
        <row r="274">
          <cell r="B274" t="str">
            <v>의류</v>
          </cell>
          <cell r="F274" t="str">
            <v>ITX7204</v>
          </cell>
          <cell r="G274">
            <v>49</v>
          </cell>
          <cell r="AB274">
            <v>46</v>
          </cell>
          <cell r="AC274">
            <v>3167100</v>
          </cell>
        </row>
        <row r="275">
          <cell r="B275" t="str">
            <v>의류</v>
          </cell>
          <cell r="F275" t="str">
            <v>ITX7205</v>
          </cell>
          <cell r="G275">
            <v>49</v>
          </cell>
          <cell r="AB275">
            <v>29</v>
          </cell>
          <cell r="AC275">
            <v>2264200</v>
          </cell>
        </row>
        <row r="276">
          <cell r="B276" t="str">
            <v>의류</v>
          </cell>
          <cell r="F276" t="str">
            <v>ITX7206</v>
          </cell>
          <cell r="G276">
            <v>31</v>
          </cell>
          <cell r="AB276">
            <v>1</v>
          </cell>
          <cell r="AC276">
            <v>53100</v>
          </cell>
        </row>
        <row r="277">
          <cell r="B277" t="str">
            <v>의류</v>
          </cell>
          <cell r="F277" t="str">
            <v>ITX7206</v>
          </cell>
          <cell r="G277">
            <v>32</v>
          </cell>
          <cell r="AB277">
            <v>5</v>
          </cell>
          <cell r="AC277">
            <v>265500</v>
          </cell>
        </row>
        <row r="278">
          <cell r="B278" t="str">
            <v>의류</v>
          </cell>
          <cell r="F278" t="str">
            <v>ITX7206</v>
          </cell>
          <cell r="G278">
            <v>75</v>
          </cell>
          <cell r="AB278">
            <v>3</v>
          </cell>
          <cell r="AC278">
            <v>171100</v>
          </cell>
        </row>
        <row r="279">
          <cell r="B279" t="str">
            <v>의류</v>
          </cell>
          <cell r="F279" t="str">
            <v>ITX7207</v>
          </cell>
          <cell r="G279">
            <v>49</v>
          </cell>
          <cell r="AB279">
            <v>3</v>
          </cell>
          <cell r="AC279">
            <v>207000</v>
          </cell>
        </row>
        <row r="280">
          <cell r="B280" t="str">
            <v>의류</v>
          </cell>
          <cell r="F280" t="str">
            <v>ITX8101</v>
          </cell>
          <cell r="G280">
            <v>73</v>
          </cell>
          <cell r="AB280">
            <v>2</v>
          </cell>
          <cell r="AC280">
            <v>138000</v>
          </cell>
        </row>
        <row r="281">
          <cell r="B281" t="str">
            <v>의류</v>
          </cell>
          <cell r="F281" t="str">
            <v>ITX8102</v>
          </cell>
          <cell r="G281">
            <v>49</v>
          </cell>
          <cell r="AB281">
            <v>1</v>
          </cell>
          <cell r="AC281">
            <v>49000</v>
          </cell>
        </row>
        <row r="282">
          <cell r="B282" t="str">
            <v>의류</v>
          </cell>
          <cell r="F282" t="str">
            <v>ITX8103</v>
          </cell>
          <cell r="G282">
            <v>43</v>
          </cell>
          <cell r="AB282">
            <v>10</v>
          </cell>
          <cell r="AC282">
            <v>676200</v>
          </cell>
        </row>
        <row r="283">
          <cell r="B283" t="str">
            <v>의류</v>
          </cell>
          <cell r="F283" t="str">
            <v>ITX8103</v>
          </cell>
          <cell r="G283">
            <v>76</v>
          </cell>
          <cell r="AB283">
            <v>3</v>
          </cell>
          <cell r="AC283">
            <v>200100</v>
          </cell>
        </row>
        <row r="284">
          <cell r="B284" t="str">
            <v>의류</v>
          </cell>
          <cell r="F284" t="str">
            <v>ITX8104</v>
          </cell>
          <cell r="G284">
            <v>43</v>
          </cell>
          <cell r="AB284">
            <v>1</v>
          </cell>
          <cell r="AC284">
            <v>89000</v>
          </cell>
        </row>
        <row r="285">
          <cell r="B285" t="str">
            <v>의류</v>
          </cell>
          <cell r="F285" t="str">
            <v>ITX8201</v>
          </cell>
          <cell r="G285">
            <v>43</v>
          </cell>
          <cell r="AB285">
            <v>9</v>
          </cell>
          <cell r="AC285">
            <v>483300</v>
          </cell>
        </row>
        <row r="286">
          <cell r="B286" t="str">
            <v>의류</v>
          </cell>
          <cell r="F286" t="str">
            <v>ITX8202</v>
          </cell>
          <cell r="G286">
            <v>49</v>
          </cell>
          <cell r="AB286">
            <v>18</v>
          </cell>
          <cell r="AC286">
            <v>1260900</v>
          </cell>
        </row>
        <row r="287">
          <cell r="B287" t="str">
            <v>의류</v>
          </cell>
          <cell r="F287" t="str">
            <v>ITX8202</v>
          </cell>
          <cell r="G287">
            <v>79</v>
          </cell>
          <cell r="AB287">
            <v>19</v>
          </cell>
          <cell r="AC287">
            <v>1307800</v>
          </cell>
        </row>
        <row r="288">
          <cell r="B288" t="str">
            <v>의류</v>
          </cell>
          <cell r="F288" t="str">
            <v>ITX8203</v>
          </cell>
          <cell r="G288">
            <v>22</v>
          </cell>
          <cell r="AB288">
            <v>17</v>
          </cell>
          <cell r="AC288">
            <v>1063500</v>
          </cell>
        </row>
        <row r="289">
          <cell r="B289" t="str">
            <v>의류</v>
          </cell>
          <cell r="F289" t="str">
            <v>ITX8204</v>
          </cell>
          <cell r="G289">
            <v>73</v>
          </cell>
          <cell r="AB289">
            <v>19</v>
          </cell>
          <cell r="AC289">
            <v>1357300</v>
          </cell>
        </row>
        <row r="290">
          <cell r="B290" t="str">
            <v>의류</v>
          </cell>
          <cell r="F290" t="str">
            <v>ITX8205</v>
          </cell>
          <cell r="G290">
            <v>43</v>
          </cell>
          <cell r="AB290">
            <v>7</v>
          </cell>
          <cell r="AC290">
            <v>484100</v>
          </cell>
        </row>
        <row r="291">
          <cell r="B291" t="str">
            <v>의류</v>
          </cell>
          <cell r="F291" t="str">
            <v>ITX8206</v>
          </cell>
          <cell r="G291">
            <v>49</v>
          </cell>
          <cell r="AB291">
            <v>4</v>
          </cell>
          <cell r="AC291">
            <v>216000</v>
          </cell>
        </row>
        <row r="292">
          <cell r="B292" t="str">
            <v>의류</v>
          </cell>
          <cell r="F292" t="str">
            <v>ITX8207</v>
          </cell>
          <cell r="G292">
            <v>49</v>
          </cell>
          <cell r="AB292">
            <v>5</v>
          </cell>
          <cell r="AC292">
            <v>267400</v>
          </cell>
        </row>
        <row r="293">
          <cell r="B293" t="str">
            <v>의류</v>
          </cell>
          <cell r="F293" t="str">
            <v>ITX8208</v>
          </cell>
          <cell r="G293">
            <v>49</v>
          </cell>
          <cell r="AB293">
            <v>7</v>
          </cell>
          <cell r="AC293">
            <v>449200</v>
          </cell>
        </row>
        <row r="294">
          <cell r="B294" t="str">
            <v>의류</v>
          </cell>
          <cell r="F294" t="str">
            <v>ITX8209</v>
          </cell>
          <cell r="G294">
            <v>49</v>
          </cell>
          <cell r="AB294">
            <v>20</v>
          </cell>
          <cell r="AC294">
            <v>1295500</v>
          </cell>
        </row>
        <row r="295">
          <cell r="B295" t="str">
            <v>의류</v>
          </cell>
          <cell r="F295" t="str">
            <v>ITX8210</v>
          </cell>
          <cell r="G295">
            <v>49</v>
          </cell>
          <cell r="AB295">
            <v>17</v>
          </cell>
          <cell r="AC295">
            <v>1077100</v>
          </cell>
        </row>
        <row r="296">
          <cell r="B296" t="str">
            <v>의류</v>
          </cell>
          <cell r="F296" t="str">
            <v>ITX8211</v>
          </cell>
          <cell r="G296">
            <v>31</v>
          </cell>
          <cell r="AB296">
            <v>10</v>
          </cell>
          <cell r="AC296">
            <v>549300</v>
          </cell>
        </row>
        <row r="297">
          <cell r="B297" t="str">
            <v>의류</v>
          </cell>
          <cell r="F297" t="str">
            <v>ITX8212</v>
          </cell>
          <cell r="G297">
            <v>49</v>
          </cell>
          <cell r="AB297">
            <v>1</v>
          </cell>
          <cell r="AC297">
            <v>53100</v>
          </cell>
        </row>
        <row r="298">
          <cell r="B298" t="str">
            <v>의류</v>
          </cell>
          <cell r="F298" t="str">
            <v>ITX9101</v>
          </cell>
          <cell r="G298">
            <v>49</v>
          </cell>
        </row>
        <row r="299">
          <cell r="B299" t="str">
            <v>의류</v>
          </cell>
          <cell r="F299" t="str">
            <v>ITX9102</v>
          </cell>
          <cell r="G299">
            <v>34</v>
          </cell>
          <cell r="AB299">
            <v>1</v>
          </cell>
          <cell r="AC299">
            <v>161100</v>
          </cell>
        </row>
        <row r="300">
          <cell r="B300" t="str">
            <v>의류</v>
          </cell>
          <cell r="F300" t="str">
            <v>ITX9102</v>
          </cell>
          <cell r="G300">
            <v>49</v>
          </cell>
        </row>
        <row r="301">
          <cell r="B301" t="str">
            <v>의류</v>
          </cell>
          <cell r="F301" t="str">
            <v>ITX9103</v>
          </cell>
          <cell r="G301">
            <v>43</v>
          </cell>
          <cell r="AB301">
            <v>3</v>
          </cell>
          <cell r="AC301">
            <v>345100</v>
          </cell>
        </row>
        <row r="302">
          <cell r="B302" t="str">
            <v>의류</v>
          </cell>
          <cell r="F302" t="str">
            <v>ITX9103</v>
          </cell>
          <cell r="G302">
            <v>49</v>
          </cell>
          <cell r="AB302">
            <v>10</v>
          </cell>
          <cell r="AC302">
            <v>1190000</v>
          </cell>
        </row>
        <row r="303">
          <cell r="B303" t="str">
            <v>의류</v>
          </cell>
          <cell r="F303" t="str">
            <v>ITX9104</v>
          </cell>
          <cell r="G303">
            <v>34</v>
          </cell>
          <cell r="AB303">
            <v>3</v>
          </cell>
          <cell r="AC303">
            <v>387000</v>
          </cell>
        </row>
        <row r="304">
          <cell r="B304" t="str">
            <v>의류</v>
          </cell>
          <cell r="F304" t="str">
            <v>ITX9104</v>
          </cell>
          <cell r="G304">
            <v>49</v>
          </cell>
          <cell r="AB304">
            <v>5</v>
          </cell>
          <cell r="AC304">
            <v>632100</v>
          </cell>
        </row>
        <row r="305">
          <cell r="B305" t="str">
            <v>의류</v>
          </cell>
          <cell r="F305" t="str">
            <v>ITX9201</v>
          </cell>
          <cell r="G305">
            <v>37</v>
          </cell>
          <cell r="AB305">
            <v>14</v>
          </cell>
          <cell r="AC305">
            <v>2163200</v>
          </cell>
        </row>
        <row r="306">
          <cell r="B306" t="str">
            <v>의류</v>
          </cell>
          <cell r="F306" t="str">
            <v>ITX9201</v>
          </cell>
          <cell r="G306">
            <v>43</v>
          </cell>
          <cell r="AB306">
            <v>23</v>
          </cell>
          <cell r="AC306">
            <v>3577300</v>
          </cell>
        </row>
        <row r="307">
          <cell r="B307" t="str">
            <v>의류</v>
          </cell>
          <cell r="F307" t="str">
            <v>ITX9202</v>
          </cell>
          <cell r="G307">
            <v>49</v>
          </cell>
          <cell r="AB307">
            <v>4</v>
          </cell>
          <cell r="AC307">
            <v>736200</v>
          </cell>
        </row>
        <row r="308">
          <cell r="B308" t="str">
            <v>의류</v>
          </cell>
          <cell r="F308" t="str">
            <v>ITX9203</v>
          </cell>
          <cell r="G308">
            <v>43</v>
          </cell>
          <cell r="AB308">
            <v>21</v>
          </cell>
          <cell r="AC308">
            <v>3091800</v>
          </cell>
        </row>
        <row r="309">
          <cell r="B309" t="str">
            <v>의류</v>
          </cell>
          <cell r="F309" t="str">
            <v>ITX9204</v>
          </cell>
          <cell r="G309">
            <v>37</v>
          </cell>
          <cell r="AB309">
            <v>4</v>
          </cell>
          <cell r="AC309">
            <v>736300</v>
          </cell>
        </row>
        <row r="310">
          <cell r="B310" t="str">
            <v>의류</v>
          </cell>
          <cell r="F310" t="str">
            <v>ITX9205</v>
          </cell>
          <cell r="G310">
            <v>49</v>
          </cell>
          <cell r="AB310">
            <v>3</v>
          </cell>
          <cell r="AC310">
            <v>501200</v>
          </cell>
        </row>
        <row r="311">
          <cell r="B311" t="str">
            <v>의류</v>
          </cell>
          <cell r="F311" t="str">
            <v>ITX9206</v>
          </cell>
          <cell r="G311">
            <v>43</v>
          </cell>
          <cell r="AB311">
            <v>42</v>
          </cell>
          <cell r="AC311">
            <v>6937400</v>
          </cell>
        </row>
        <row r="312">
          <cell r="B312" t="str">
            <v>의류</v>
          </cell>
          <cell r="F312" t="str">
            <v>ITX9207</v>
          </cell>
          <cell r="G312">
            <v>43</v>
          </cell>
          <cell r="AB312">
            <v>4</v>
          </cell>
          <cell r="AC312">
            <v>680200</v>
          </cell>
        </row>
        <row r="313">
          <cell r="B313" t="str">
            <v>의류</v>
          </cell>
          <cell r="F313" t="str">
            <v>ITX9208</v>
          </cell>
          <cell r="G313">
            <v>49</v>
          </cell>
          <cell r="AB313">
            <v>14</v>
          </cell>
          <cell r="AC313">
            <v>2188550</v>
          </cell>
        </row>
        <row r="314">
          <cell r="B314" t="str">
            <v>의류</v>
          </cell>
          <cell r="F314" t="str">
            <v>ITXT101</v>
          </cell>
          <cell r="G314">
            <v>48</v>
          </cell>
        </row>
        <row r="315">
          <cell r="B315" t="str">
            <v>의류</v>
          </cell>
          <cell r="F315" t="str">
            <v>P0X1101</v>
          </cell>
          <cell r="G315">
            <v>32</v>
          </cell>
          <cell r="AC315">
            <v>-20000</v>
          </cell>
        </row>
        <row r="316">
          <cell r="B316" t="str">
            <v>의류</v>
          </cell>
          <cell r="F316" t="str">
            <v>P0X1101</v>
          </cell>
          <cell r="G316">
            <v>41</v>
          </cell>
          <cell r="AC316">
            <v>-3900</v>
          </cell>
        </row>
        <row r="317">
          <cell r="B317" t="str">
            <v>의류</v>
          </cell>
          <cell r="F317" t="str">
            <v>P0X1101</v>
          </cell>
          <cell r="G317">
            <v>49</v>
          </cell>
          <cell r="AB317">
            <v>1</v>
          </cell>
          <cell r="AC317">
            <v>39000</v>
          </cell>
        </row>
        <row r="318">
          <cell r="B318" t="str">
            <v>의류</v>
          </cell>
          <cell r="F318" t="str">
            <v>P0X1101</v>
          </cell>
          <cell r="G318">
            <v>75</v>
          </cell>
        </row>
        <row r="319">
          <cell r="B319" t="str">
            <v>의류</v>
          </cell>
          <cell r="F319" t="str">
            <v>P0X1102</v>
          </cell>
          <cell r="G319">
            <v>49</v>
          </cell>
          <cell r="AB319">
            <v>1</v>
          </cell>
          <cell r="AC319">
            <v>45000</v>
          </cell>
        </row>
        <row r="320">
          <cell r="B320" t="str">
            <v>의류</v>
          </cell>
          <cell r="F320" t="str">
            <v>P0X1102</v>
          </cell>
          <cell r="G320">
            <v>76</v>
          </cell>
          <cell r="AB320">
            <v>3</v>
          </cell>
          <cell r="AC320">
            <v>135000</v>
          </cell>
        </row>
        <row r="321">
          <cell r="B321" t="str">
            <v>의류</v>
          </cell>
          <cell r="F321" t="str">
            <v>P0X1102</v>
          </cell>
          <cell r="G321">
            <v>83</v>
          </cell>
          <cell r="AB321">
            <v>1</v>
          </cell>
          <cell r="AC321">
            <v>45000</v>
          </cell>
        </row>
        <row r="322">
          <cell r="B322" t="str">
            <v>의류</v>
          </cell>
          <cell r="F322" t="str">
            <v>P0X1103</v>
          </cell>
          <cell r="G322">
            <v>31</v>
          </cell>
          <cell r="AB322">
            <v>-1</v>
          </cell>
          <cell r="AC322">
            <v>-54000</v>
          </cell>
        </row>
        <row r="323">
          <cell r="B323" t="str">
            <v>의류</v>
          </cell>
          <cell r="F323" t="str">
            <v>P0X1103</v>
          </cell>
          <cell r="G323">
            <v>73</v>
          </cell>
        </row>
        <row r="324">
          <cell r="B324" t="str">
            <v>의류</v>
          </cell>
          <cell r="F324" t="str">
            <v>P0X1104</v>
          </cell>
          <cell r="G324">
            <v>63</v>
          </cell>
          <cell r="AB324">
            <v>-1</v>
          </cell>
          <cell r="AC324">
            <v>-79000</v>
          </cell>
        </row>
        <row r="325">
          <cell r="B325" t="str">
            <v>의류</v>
          </cell>
          <cell r="F325" t="str">
            <v>P0X1104</v>
          </cell>
          <cell r="G325">
            <v>73</v>
          </cell>
          <cell r="AB325">
            <v>2</v>
          </cell>
          <cell r="AC325">
            <v>142200</v>
          </cell>
        </row>
        <row r="326">
          <cell r="B326" t="str">
            <v>의류</v>
          </cell>
          <cell r="F326" t="str">
            <v>P0X1105</v>
          </cell>
          <cell r="G326">
            <v>49</v>
          </cell>
          <cell r="AB326">
            <v>-3</v>
          </cell>
          <cell r="AC326">
            <v>-237000</v>
          </cell>
        </row>
        <row r="327">
          <cell r="B327" t="str">
            <v>의류</v>
          </cell>
          <cell r="F327" t="str">
            <v>P0X1105</v>
          </cell>
          <cell r="G327">
            <v>74</v>
          </cell>
        </row>
        <row r="328">
          <cell r="B328" t="str">
            <v>의류</v>
          </cell>
          <cell r="F328" t="str">
            <v>P0X1106</v>
          </cell>
          <cell r="G328">
            <v>49</v>
          </cell>
        </row>
        <row r="329">
          <cell r="B329" t="str">
            <v>의류</v>
          </cell>
          <cell r="F329" t="str">
            <v>P0X1106</v>
          </cell>
          <cell r="G329">
            <v>71</v>
          </cell>
        </row>
        <row r="330">
          <cell r="B330" t="str">
            <v>의류</v>
          </cell>
          <cell r="F330" t="str">
            <v>P0X1106</v>
          </cell>
          <cell r="G330">
            <v>73</v>
          </cell>
        </row>
        <row r="331">
          <cell r="B331" t="str">
            <v>의류</v>
          </cell>
          <cell r="F331" t="str">
            <v>P0X1107</v>
          </cell>
          <cell r="G331">
            <v>63</v>
          </cell>
        </row>
        <row r="332">
          <cell r="B332" t="str">
            <v>의류</v>
          </cell>
          <cell r="F332" t="str">
            <v>P0X1108</v>
          </cell>
          <cell r="G332">
            <v>49</v>
          </cell>
          <cell r="AB332">
            <v>-4</v>
          </cell>
          <cell r="AC332">
            <v>-300200</v>
          </cell>
        </row>
        <row r="333">
          <cell r="B333" t="str">
            <v>의류</v>
          </cell>
          <cell r="F333" t="str">
            <v>P0X1108</v>
          </cell>
          <cell r="G333">
            <v>61</v>
          </cell>
          <cell r="AB333">
            <v>2</v>
          </cell>
          <cell r="AC333">
            <v>158000</v>
          </cell>
        </row>
        <row r="334">
          <cell r="B334" t="str">
            <v>의류</v>
          </cell>
          <cell r="F334" t="str">
            <v>P0X1151</v>
          </cell>
          <cell r="G334">
            <v>63</v>
          </cell>
          <cell r="AB334">
            <v>1</v>
          </cell>
          <cell r="AC334">
            <v>71100</v>
          </cell>
        </row>
        <row r="335">
          <cell r="B335" t="str">
            <v>의류</v>
          </cell>
          <cell r="F335" t="str">
            <v>P0X1151</v>
          </cell>
          <cell r="G335">
            <v>71</v>
          </cell>
          <cell r="AB335">
            <v>1</v>
          </cell>
          <cell r="AC335">
            <v>79000</v>
          </cell>
        </row>
        <row r="336">
          <cell r="B336" t="str">
            <v>의류</v>
          </cell>
          <cell r="F336" t="str">
            <v>P0X1201</v>
          </cell>
          <cell r="G336">
            <v>24</v>
          </cell>
          <cell r="AB336">
            <v>1</v>
          </cell>
          <cell r="AC336">
            <v>39000</v>
          </cell>
        </row>
        <row r="337">
          <cell r="B337" t="str">
            <v>의류</v>
          </cell>
          <cell r="F337" t="str">
            <v>P0X1201</v>
          </cell>
          <cell r="G337">
            <v>31</v>
          </cell>
          <cell r="AB337">
            <v>4</v>
          </cell>
          <cell r="AC337">
            <v>136000</v>
          </cell>
        </row>
        <row r="338">
          <cell r="B338" t="str">
            <v>의류</v>
          </cell>
          <cell r="F338" t="str">
            <v>P0X1201</v>
          </cell>
          <cell r="G338">
            <v>34</v>
          </cell>
          <cell r="AB338">
            <v>6</v>
          </cell>
          <cell r="AC338">
            <v>222300</v>
          </cell>
        </row>
        <row r="339">
          <cell r="B339" t="str">
            <v>의류</v>
          </cell>
          <cell r="F339" t="str">
            <v>P0X1201</v>
          </cell>
          <cell r="G339">
            <v>63</v>
          </cell>
          <cell r="AB339">
            <v>4</v>
          </cell>
          <cell r="AC339">
            <v>148200</v>
          </cell>
        </row>
        <row r="340">
          <cell r="B340" t="str">
            <v>의류</v>
          </cell>
          <cell r="F340" t="str">
            <v>P0X1201</v>
          </cell>
          <cell r="G340">
            <v>73</v>
          </cell>
          <cell r="AB340">
            <v>4</v>
          </cell>
          <cell r="AC340">
            <v>152100</v>
          </cell>
        </row>
        <row r="341">
          <cell r="B341" t="str">
            <v>의류</v>
          </cell>
          <cell r="F341" t="str">
            <v>P0X1202</v>
          </cell>
          <cell r="G341">
            <v>49</v>
          </cell>
          <cell r="AB341">
            <v>11</v>
          </cell>
          <cell r="AC341">
            <v>568600</v>
          </cell>
        </row>
        <row r="342">
          <cell r="B342" t="str">
            <v>의류</v>
          </cell>
          <cell r="F342" t="str">
            <v>P0X1202</v>
          </cell>
          <cell r="G342">
            <v>76</v>
          </cell>
          <cell r="AB342">
            <v>10</v>
          </cell>
          <cell r="AC342">
            <v>472200</v>
          </cell>
        </row>
        <row r="343">
          <cell r="B343" t="str">
            <v>의류</v>
          </cell>
          <cell r="F343" t="str">
            <v>P0X1203</v>
          </cell>
          <cell r="G343">
            <v>49</v>
          </cell>
          <cell r="AB343">
            <v>7</v>
          </cell>
          <cell r="AC343">
            <v>422300</v>
          </cell>
        </row>
        <row r="344">
          <cell r="B344" t="str">
            <v>의류</v>
          </cell>
          <cell r="F344" t="str">
            <v>P0X1203</v>
          </cell>
          <cell r="G344">
            <v>73</v>
          </cell>
          <cell r="AB344">
            <v>6</v>
          </cell>
          <cell r="AC344">
            <v>377100</v>
          </cell>
        </row>
        <row r="345">
          <cell r="B345" t="str">
            <v>의류</v>
          </cell>
          <cell r="F345" t="str">
            <v>P0X1204</v>
          </cell>
          <cell r="G345">
            <v>41</v>
          </cell>
          <cell r="AB345">
            <v>10</v>
          </cell>
          <cell r="AC345">
            <v>548700</v>
          </cell>
        </row>
        <row r="346">
          <cell r="B346" t="str">
            <v>의류</v>
          </cell>
          <cell r="F346" t="str">
            <v>P0X1204</v>
          </cell>
          <cell r="G346">
            <v>49</v>
          </cell>
          <cell r="AB346">
            <v>47</v>
          </cell>
          <cell r="AC346">
            <v>2472700</v>
          </cell>
        </row>
        <row r="347">
          <cell r="B347" t="str">
            <v>의류</v>
          </cell>
          <cell r="F347" t="str">
            <v>P0X1204</v>
          </cell>
          <cell r="G347">
            <v>71</v>
          </cell>
          <cell r="AB347">
            <v>18</v>
          </cell>
          <cell r="AC347">
            <v>958900</v>
          </cell>
        </row>
        <row r="348">
          <cell r="B348" t="str">
            <v>의류</v>
          </cell>
          <cell r="F348" t="str">
            <v>P0X1205</v>
          </cell>
          <cell r="G348">
            <v>31</v>
          </cell>
          <cell r="AB348">
            <v>9</v>
          </cell>
          <cell r="AC348">
            <v>621000</v>
          </cell>
        </row>
        <row r="349">
          <cell r="B349" t="str">
            <v>의류</v>
          </cell>
          <cell r="F349" t="str">
            <v>P0X1206</v>
          </cell>
          <cell r="G349">
            <v>24</v>
          </cell>
          <cell r="AB349">
            <v>8</v>
          </cell>
          <cell r="AC349">
            <v>246400</v>
          </cell>
        </row>
        <row r="350">
          <cell r="B350" t="str">
            <v>의류</v>
          </cell>
          <cell r="F350" t="str">
            <v>P0X1206</v>
          </cell>
          <cell r="G350">
            <v>73</v>
          </cell>
          <cell r="AB350">
            <v>14</v>
          </cell>
          <cell r="AC350">
            <v>534300</v>
          </cell>
        </row>
        <row r="351">
          <cell r="B351" t="str">
            <v>의류</v>
          </cell>
          <cell r="F351" t="str">
            <v>P0X1206</v>
          </cell>
          <cell r="G351">
            <v>83</v>
          </cell>
          <cell r="AB351">
            <v>10</v>
          </cell>
          <cell r="AC351">
            <v>348300</v>
          </cell>
        </row>
        <row r="352">
          <cell r="B352" t="str">
            <v>의류</v>
          </cell>
          <cell r="F352" t="str">
            <v>P0X1207</v>
          </cell>
          <cell r="G352">
            <v>31</v>
          </cell>
          <cell r="AB352">
            <v>13</v>
          </cell>
          <cell r="AC352">
            <v>609400</v>
          </cell>
        </row>
        <row r="353">
          <cell r="B353" t="str">
            <v>의류</v>
          </cell>
          <cell r="F353" t="str">
            <v>P0X1208</v>
          </cell>
          <cell r="G353">
            <v>26</v>
          </cell>
          <cell r="AB353">
            <v>14</v>
          </cell>
          <cell r="AC353">
            <v>826000</v>
          </cell>
        </row>
        <row r="354">
          <cell r="B354" t="str">
            <v>의류</v>
          </cell>
          <cell r="F354" t="str">
            <v>P0X1208</v>
          </cell>
          <cell r="G354">
            <v>49</v>
          </cell>
          <cell r="AB354">
            <v>16</v>
          </cell>
          <cell r="AC354">
            <v>924000</v>
          </cell>
        </row>
        <row r="355">
          <cell r="B355" t="str">
            <v>의류</v>
          </cell>
          <cell r="F355" t="str">
            <v>P0X1209</v>
          </cell>
          <cell r="G355">
            <v>41</v>
          </cell>
          <cell r="AB355">
            <v>3</v>
          </cell>
          <cell r="AC355">
            <v>193200</v>
          </cell>
        </row>
        <row r="356">
          <cell r="B356" t="str">
            <v>의류</v>
          </cell>
          <cell r="F356" t="str">
            <v>P0X1209</v>
          </cell>
          <cell r="G356">
            <v>73</v>
          </cell>
          <cell r="AB356">
            <v>4</v>
          </cell>
          <cell r="AC356">
            <v>232200</v>
          </cell>
        </row>
        <row r="357">
          <cell r="B357" t="str">
            <v>의류</v>
          </cell>
          <cell r="F357" t="str">
            <v>P0X1210</v>
          </cell>
          <cell r="G357">
            <v>43</v>
          </cell>
          <cell r="AB357">
            <v>3</v>
          </cell>
          <cell r="AC357">
            <v>177000</v>
          </cell>
        </row>
        <row r="358">
          <cell r="B358" t="str">
            <v>의류</v>
          </cell>
          <cell r="F358" t="str">
            <v>P0X1210</v>
          </cell>
          <cell r="G358">
            <v>76</v>
          </cell>
          <cell r="AB358">
            <v>5</v>
          </cell>
          <cell r="AC358">
            <v>295000</v>
          </cell>
        </row>
        <row r="359">
          <cell r="B359" t="str">
            <v>의류</v>
          </cell>
          <cell r="F359" t="str">
            <v>P0X1211</v>
          </cell>
          <cell r="G359">
            <v>49</v>
          </cell>
          <cell r="AB359">
            <v>9</v>
          </cell>
          <cell r="AC359">
            <v>441000</v>
          </cell>
        </row>
        <row r="360">
          <cell r="B360" t="str">
            <v>의류</v>
          </cell>
          <cell r="F360" t="str">
            <v>P0X1212</v>
          </cell>
          <cell r="G360">
            <v>26</v>
          </cell>
          <cell r="AB360">
            <v>2</v>
          </cell>
          <cell r="AC360">
            <v>131100</v>
          </cell>
        </row>
        <row r="361">
          <cell r="B361" t="str">
            <v>의류</v>
          </cell>
          <cell r="F361" t="str">
            <v>P0X1212</v>
          </cell>
          <cell r="G361">
            <v>49</v>
          </cell>
          <cell r="AB361">
            <v>12</v>
          </cell>
          <cell r="AC361">
            <v>764200</v>
          </cell>
        </row>
        <row r="362">
          <cell r="B362" t="str">
            <v>의류</v>
          </cell>
          <cell r="F362" t="str">
            <v>P0X1212</v>
          </cell>
          <cell r="G362">
            <v>76</v>
          </cell>
          <cell r="AB362">
            <v>14</v>
          </cell>
          <cell r="AC362">
            <v>822900</v>
          </cell>
        </row>
        <row r="363">
          <cell r="B363" t="str">
            <v>의류</v>
          </cell>
          <cell r="F363" t="str">
            <v>P0X1213</v>
          </cell>
          <cell r="G363">
            <v>22</v>
          </cell>
          <cell r="AB363">
            <v>11</v>
          </cell>
          <cell r="AC363">
            <v>539000</v>
          </cell>
        </row>
        <row r="364">
          <cell r="B364" t="str">
            <v>의류</v>
          </cell>
          <cell r="F364" t="str">
            <v>P0X1213</v>
          </cell>
          <cell r="G364">
            <v>39</v>
          </cell>
          <cell r="AB364">
            <v>28</v>
          </cell>
          <cell r="AC364">
            <v>1372000</v>
          </cell>
        </row>
        <row r="365">
          <cell r="B365" t="str">
            <v>의류</v>
          </cell>
          <cell r="F365" t="str">
            <v>P0X1213</v>
          </cell>
          <cell r="G365">
            <v>63</v>
          </cell>
          <cell r="AB365">
            <v>7</v>
          </cell>
          <cell r="AC365">
            <v>343000</v>
          </cell>
        </row>
        <row r="366">
          <cell r="B366" t="str">
            <v>의류</v>
          </cell>
          <cell r="F366" t="str">
            <v>P0X1214</v>
          </cell>
          <cell r="G366">
            <v>34</v>
          </cell>
          <cell r="AB366">
            <v>17</v>
          </cell>
          <cell r="AC366">
            <v>1003000</v>
          </cell>
        </row>
        <row r="367">
          <cell r="B367" t="str">
            <v>의류</v>
          </cell>
          <cell r="F367" t="str">
            <v>P0X1214</v>
          </cell>
          <cell r="G367">
            <v>49</v>
          </cell>
          <cell r="AB367">
            <v>15</v>
          </cell>
          <cell r="AC367">
            <v>882050</v>
          </cell>
        </row>
        <row r="368">
          <cell r="B368" t="str">
            <v>의류</v>
          </cell>
          <cell r="F368" t="str">
            <v>P0X1215</v>
          </cell>
          <cell r="G368">
            <v>22</v>
          </cell>
          <cell r="AB368">
            <v>10</v>
          </cell>
          <cell r="AC368">
            <v>540000</v>
          </cell>
        </row>
        <row r="369">
          <cell r="B369" t="str">
            <v>의류</v>
          </cell>
          <cell r="F369" t="str">
            <v>P0X1215</v>
          </cell>
          <cell r="G369">
            <v>73</v>
          </cell>
          <cell r="AB369">
            <v>12</v>
          </cell>
          <cell r="AC369">
            <v>648000</v>
          </cell>
        </row>
        <row r="370">
          <cell r="B370" t="str">
            <v>의류</v>
          </cell>
          <cell r="F370" t="str">
            <v>P0X1216</v>
          </cell>
          <cell r="G370">
            <v>49</v>
          </cell>
          <cell r="AB370">
            <v>39</v>
          </cell>
          <cell r="AC370">
            <v>2437200</v>
          </cell>
        </row>
        <row r="371">
          <cell r="B371" t="str">
            <v>의류</v>
          </cell>
          <cell r="F371" t="str">
            <v>P0X1216</v>
          </cell>
          <cell r="G371">
            <v>53</v>
          </cell>
          <cell r="AB371">
            <v>7</v>
          </cell>
          <cell r="AC371">
            <v>488400</v>
          </cell>
        </row>
        <row r="372">
          <cell r="B372" t="str">
            <v>의류</v>
          </cell>
          <cell r="F372" t="str">
            <v>P0X1217</v>
          </cell>
          <cell r="G372">
            <v>43</v>
          </cell>
          <cell r="AB372">
            <v>21</v>
          </cell>
          <cell r="AC372">
            <v>1343800</v>
          </cell>
        </row>
        <row r="373">
          <cell r="B373" t="str">
            <v>의류</v>
          </cell>
          <cell r="F373" t="str">
            <v>P0X1217</v>
          </cell>
          <cell r="G373">
            <v>63</v>
          </cell>
          <cell r="AB373">
            <v>19</v>
          </cell>
          <cell r="AC373">
            <v>1105800</v>
          </cell>
        </row>
        <row r="374">
          <cell r="B374" t="str">
            <v>의류</v>
          </cell>
          <cell r="F374" t="str">
            <v>P0X1219</v>
          </cell>
          <cell r="G374">
            <v>49</v>
          </cell>
          <cell r="AB374">
            <v>11</v>
          </cell>
          <cell r="AC374">
            <v>675500</v>
          </cell>
        </row>
        <row r="375">
          <cell r="B375" t="str">
            <v>의류</v>
          </cell>
          <cell r="F375" t="str">
            <v>P0X1219</v>
          </cell>
          <cell r="G375">
            <v>76</v>
          </cell>
          <cell r="AB375">
            <v>4</v>
          </cell>
          <cell r="AC375">
            <v>258600</v>
          </cell>
        </row>
        <row r="376">
          <cell r="B376" t="str">
            <v>의류</v>
          </cell>
          <cell r="F376" t="str">
            <v>P0X1220</v>
          </cell>
          <cell r="G376">
            <v>49</v>
          </cell>
          <cell r="AB376">
            <v>10</v>
          </cell>
          <cell r="AC376">
            <v>670500</v>
          </cell>
        </row>
        <row r="377">
          <cell r="B377" t="str">
            <v>의류</v>
          </cell>
          <cell r="F377" t="str">
            <v>P0X1220</v>
          </cell>
          <cell r="G377">
            <v>74</v>
          </cell>
          <cell r="AB377">
            <v>15</v>
          </cell>
          <cell r="AC377">
            <v>1089200</v>
          </cell>
        </row>
        <row r="378">
          <cell r="B378" t="str">
            <v>의류</v>
          </cell>
          <cell r="F378" t="str">
            <v>P0X1221</v>
          </cell>
          <cell r="G378">
            <v>49</v>
          </cell>
          <cell r="AB378">
            <v>45</v>
          </cell>
          <cell r="AC378">
            <v>2944900</v>
          </cell>
        </row>
        <row r="379">
          <cell r="B379" t="str">
            <v>의류</v>
          </cell>
          <cell r="F379" t="str">
            <v>P0X1221</v>
          </cell>
          <cell r="G379">
            <v>73</v>
          </cell>
          <cell r="AB379">
            <v>13</v>
          </cell>
          <cell r="AC379">
            <v>967500</v>
          </cell>
        </row>
        <row r="380">
          <cell r="B380" t="str">
            <v>의류</v>
          </cell>
          <cell r="F380" t="str">
            <v>P0X1222</v>
          </cell>
          <cell r="G380">
            <v>49</v>
          </cell>
          <cell r="AB380">
            <v>13</v>
          </cell>
          <cell r="AC380">
            <v>692000</v>
          </cell>
        </row>
        <row r="381">
          <cell r="B381" t="str">
            <v>의류</v>
          </cell>
          <cell r="F381" t="str">
            <v>P0X1222</v>
          </cell>
          <cell r="G381">
            <v>73</v>
          </cell>
          <cell r="AB381">
            <v>16</v>
          </cell>
          <cell r="AC381">
            <v>899000</v>
          </cell>
        </row>
        <row r="382">
          <cell r="B382" t="str">
            <v>의류</v>
          </cell>
          <cell r="F382" t="str">
            <v>P0X1223</v>
          </cell>
          <cell r="G382">
            <v>43</v>
          </cell>
          <cell r="AB382">
            <v>10</v>
          </cell>
          <cell r="AC382">
            <v>773200</v>
          </cell>
        </row>
        <row r="383">
          <cell r="B383" t="str">
            <v>의류</v>
          </cell>
          <cell r="F383" t="str">
            <v>P0X1223</v>
          </cell>
          <cell r="G383">
            <v>66</v>
          </cell>
          <cell r="AB383">
            <v>9</v>
          </cell>
          <cell r="AC383">
            <v>700800</v>
          </cell>
        </row>
        <row r="384">
          <cell r="B384" t="str">
            <v>의류</v>
          </cell>
          <cell r="F384" t="str">
            <v>P0X1224</v>
          </cell>
          <cell r="G384">
            <v>73</v>
          </cell>
          <cell r="AB384">
            <v>12</v>
          </cell>
          <cell r="AC384">
            <v>821000</v>
          </cell>
        </row>
        <row r="385">
          <cell r="B385" t="str">
            <v>의류</v>
          </cell>
          <cell r="F385" t="str">
            <v>P0X1225</v>
          </cell>
          <cell r="G385">
            <v>31</v>
          </cell>
          <cell r="AB385">
            <v>6</v>
          </cell>
          <cell r="AC385">
            <v>519250</v>
          </cell>
        </row>
        <row r="386">
          <cell r="B386" t="str">
            <v>의류</v>
          </cell>
          <cell r="F386" t="str">
            <v>P0X1226</v>
          </cell>
          <cell r="G386">
            <v>39</v>
          </cell>
          <cell r="AB386">
            <v>4</v>
          </cell>
          <cell r="AC386">
            <v>326400</v>
          </cell>
        </row>
        <row r="387">
          <cell r="B387" t="str">
            <v>의류</v>
          </cell>
          <cell r="F387" t="str">
            <v>P0X1226</v>
          </cell>
          <cell r="G387">
            <v>73</v>
          </cell>
          <cell r="AB387">
            <v>3</v>
          </cell>
          <cell r="AC387">
            <v>247200</v>
          </cell>
        </row>
        <row r="388">
          <cell r="B388" t="str">
            <v>의류</v>
          </cell>
          <cell r="F388" t="str">
            <v>P0X1227</v>
          </cell>
          <cell r="G388">
            <v>49</v>
          </cell>
          <cell r="AB388">
            <v>25</v>
          </cell>
          <cell r="AC388">
            <v>2195700</v>
          </cell>
        </row>
        <row r="389">
          <cell r="B389" t="str">
            <v>의류</v>
          </cell>
          <cell r="F389" t="str">
            <v>P0X1228</v>
          </cell>
          <cell r="G389">
            <v>26</v>
          </cell>
          <cell r="AB389">
            <v>5</v>
          </cell>
          <cell r="AC389">
            <v>319200</v>
          </cell>
        </row>
        <row r="390">
          <cell r="B390" t="str">
            <v>의류</v>
          </cell>
          <cell r="F390" t="str">
            <v>P0X1228</v>
          </cell>
          <cell r="G390">
            <v>31</v>
          </cell>
          <cell r="AB390">
            <v>6</v>
          </cell>
          <cell r="AC390">
            <v>450300</v>
          </cell>
        </row>
        <row r="391">
          <cell r="B391" t="str">
            <v>의류</v>
          </cell>
          <cell r="F391" t="str">
            <v>P0X1229</v>
          </cell>
          <cell r="G391">
            <v>43</v>
          </cell>
          <cell r="AB391">
            <v>3</v>
          </cell>
          <cell r="AC391">
            <v>147000</v>
          </cell>
        </row>
        <row r="392">
          <cell r="B392" t="str">
            <v>의류</v>
          </cell>
          <cell r="F392" t="str">
            <v>P0X1229</v>
          </cell>
          <cell r="G392">
            <v>74</v>
          </cell>
          <cell r="AB392">
            <v>9</v>
          </cell>
          <cell r="AC392">
            <v>441000</v>
          </cell>
        </row>
        <row r="393">
          <cell r="B393" t="str">
            <v>의류</v>
          </cell>
          <cell r="F393" t="str">
            <v>P0X1230</v>
          </cell>
          <cell r="G393">
            <v>39</v>
          </cell>
          <cell r="AB393">
            <v>4</v>
          </cell>
          <cell r="AC393">
            <v>196000</v>
          </cell>
        </row>
        <row r="394">
          <cell r="B394" t="str">
            <v>의류</v>
          </cell>
          <cell r="F394" t="str">
            <v>P0X1230</v>
          </cell>
          <cell r="G394">
            <v>43</v>
          </cell>
          <cell r="AB394">
            <v>2</v>
          </cell>
          <cell r="AC394">
            <v>98000</v>
          </cell>
        </row>
        <row r="395">
          <cell r="B395" t="str">
            <v>의류</v>
          </cell>
          <cell r="F395" t="str">
            <v>P0X1230</v>
          </cell>
          <cell r="G395">
            <v>73</v>
          </cell>
          <cell r="AB395">
            <v>1</v>
          </cell>
          <cell r="AC395">
            <v>49000</v>
          </cell>
        </row>
        <row r="396">
          <cell r="B396" t="str">
            <v>의류</v>
          </cell>
          <cell r="F396" t="str">
            <v>P0X1231</v>
          </cell>
          <cell r="G396">
            <v>49</v>
          </cell>
          <cell r="AB396">
            <v>4</v>
          </cell>
          <cell r="AC396">
            <v>316000</v>
          </cell>
        </row>
        <row r="397">
          <cell r="B397" t="str">
            <v>의류</v>
          </cell>
          <cell r="F397" t="str">
            <v>P0X1231</v>
          </cell>
          <cell r="G397">
            <v>71</v>
          </cell>
          <cell r="AB397">
            <v>4</v>
          </cell>
          <cell r="AC397">
            <v>288100</v>
          </cell>
        </row>
        <row r="398">
          <cell r="B398" t="str">
            <v>의류</v>
          </cell>
          <cell r="F398" t="str">
            <v>P0X1232</v>
          </cell>
          <cell r="G398">
            <v>73</v>
          </cell>
          <cell r="AB398">
            <v>3</v>
          </cell>
          <cell r="AC398">
            <v>187000</v>
          </cell>
        </row>
        <row r="399">
          <cell r="B399" t="str">
            <v>의류</v>
          </cell>
          <cell r="F399" t="str">
            <v>P0X1232</v>
          </cell>
          <cell r="G399">
            <v>83</v>
          </cell>
          <cell r="AB399">
            <v>12</v>
          </cell>
          <cell r="AC399">
            <v>826400</v>
          </cell>
        </row>
        <row r="400">
          <cell r="B400" t="str">
            <v>의류</v>
          </cell>
          <cell r="F400" t="str">
            <v>P0X1233</v>
          </cell>
          <cell r="G400">
            <v>83</v>
          </cell>
          <cell r="AB400">
            <v>5</v>
          </cell>
          <cell r="AC400">
            <v>295000</v>
          </cell>
        </row>
        <row r="401">
          <cell r="B401" t="str">
            <v>의류</v>
          </cell>
          <cell r="F401" t="str">
            <v>P0X1235</v>
          </cell>
          <cell r="G401">
            <v>45</v>
          </cell>
          <cell r="AB401">
            <v>15</v>
          </cell>
          <cell r="AC401">
            <v>1395600</v>
          </cell>
        </row>
        <row r="402">
          <cell r="B402" t="str">
            <v>의류</v>
          </cell>
          <cell r="F402" t="str">
            <v>P0X1236</v>
          </cell>
          <cell r="G402">
            <v>49</v>
          </cell>
          <cell r="AB402">
            <v>14</v>
          </cell>
          <cell r="AC402">
            <v>878400</v>
          </cell>
        </row>
        <row r="403">
          <cell r="B403" t="str">
            <v>의류</v>
          </cell>
          <cell r="F403" t="str">
            <v>P0X1237</v>
          </cell>
          <cell r="G403">
            <v>32</v>
          </cell>
          <cell r="AB403">
            <v>11</v>
          </cell>
          <cell r="AC403">
            <v>829500</v>
          </cell>
        </row>
        <row r="404">
          <cell r="B404" t="str">
            <v>의류</v>
          </cell>
          <cell r="F404" t="str">
            <v>P0X1237</v>
          </cell>
          <cell r="G404">
            <v>49</v>
          </cell>
          <cell r="AB404">
            <v>19</v>
          </cell>
          <cell r="AC404">
            <v>1282000</v>
          </cell>
        </row>
        <row r="405">
          <cell r="B405" t="str">
            <v>의류</v>
          </cell>
          <cell r="F405" t="str">
            <v>P0X1238</v>
          </cell>
          <cell r="G405">
            <v>49</v>
          </cell>
          <cell r="AB405">
            <v>13</v>
          </cell>
          <cell r="AC405">
            <v>712500</v>
          </cell>
        </row>
        <row r="406">
          <cell r="B406" t="str">
            <v>의류</v>
          </cell>
          <cell r="F406" t="str">
            <v>P0X1238</v>
          </cell>
          <cell r="G406">
            <v>73</v>
          </cell>
          <cell r="AB406">
            <v>11</v>
          </cell>
          <cell r="AC406">
            <v>654850</v>
          </cell>
        </row>
        <row r="407">
          <cell r="B407" t="str">
            <v>의류</v>
          </cell>
          <cell r="F407" t="str">
            <v>P0X1239</v>
          </cell>
          <cell r="G407">
            <v>39</v>
          </cell>
          <cell r="AB407">
            <v>10</v>
          </cell>
          <cell r="AC407">
            <v>595500</v>
          </cell>
        </row>
        <row r="408">
          <cell r="B408" t="str">
            <v>의류</v>
          </cell>
          <cell r="F408" t="str">
            <v>P0X1239</v>
          </cell>
          <cell r="G408">
            <v>45</v>
          </cell>
          <cell r="AB408">
            <v>9</v>
          </cell>
          <cell r="AC408">
            <v>580300</v>
          </cell>
        </row>
        <row r="409">
          <cell r="B409" t="str">
            <v>의류</v>
          </cell>
          <cell r="F409" t="str">
            <v>P0X1251</v>
          </cell>
          <cell r="G409">
            <v>49</v>
          </cell>
          <cell r="AB409">
            <v>3</v>
          </cell>
          <cell r="AC409">
            <v>159300</v>
          </cell>
        </row>
        <row r="410">
          <cell r="B410" t="str">
            <v>의류</v>
          </cell>
          <cell r="F410" t="str">
            <v>P0X1251</v>
          </cell>
          <cell r="G410">
            <v>71</v>
          </cell>
          <cell r="AB410">
            <v>1</v>
          </cell>
          <cell r="AC410">
            <v>47200</v>
          </cell>
        </row>
        <row r="411">
          <cell r="B411" t="str">
            <v>의류</v>
          </cell>
          <cell r="F411" t="str">
            <v>P0X1252</v>
          </cell>
          <cell r="G411">
            <v>21</v>
          </cell>
          <cell r="AB411">
            <v>1</v>
          </cell>
          <cell r="AC411">
            <v>49000</v>
          </cell>
        </row>
        <row r="412">
          <cell r="B412" t="str">
            <v>의류</v>
          </cell>
          <cell r="F412" t="str">
            <v>P0X1252</v>
          </cell>
          <cell r="G412">
            <v>43</v>
          </cell>
          <cell r="AB412">
            <v>3</v>
          </cell>
          <cell r="AC412">
            <v>147000</v>
          </cell>
        </row>
        <row r="413">
          <cell r="B413" t="str">
            <v>의류</v>
          </cell>
          <cell r="F413" t="str">
            <v>P0X1252</v>
          </cell>
          <cell r="G413">
            <v>73</v>
          </cell>
          <cell r="AB413">
            <v>8</v>
          </cell>
          <cell r="AC413">
            <v>392000</v>
          </cell>
        </row>
        <row r="414">
          <cell r="B414" t="str">
            <v>의류</v>
          </cell>
          <cell r="F414" t="str">
            <v>P0X1253</v>
          </cell>
          <cell r="G414">
            <v>63</v>
          </cell>
          <cell r="AB414">
            <v>10</v>
          </cell>
          <cell r="AC414">
            <v>590000</v>
          </cell>
        </row>
        <row r="415">
          <cell r="B415" t="str">
            <v>의류</v>
          </cell>
          <cell r="F415" t="str">
            <v>P0X1253</v>
          </cell>
          <cell r="G415">
            <v>73</v>
          </cell>
          <cell r="AB415">
            <v>6</v>
          </cell>
          <cell r="AC415">
            <v>354000</v>
          </cell>
        </row>
        <row r="416">
          <cell r="B416" t="str">
            <v>의류</v>
          </cell>
          <cell r="F416" t="str">
            <v>P0X6101</v>
          </cell>
          <cell r="G416">
            <v>22</v>
          </cell>
          <cell r="AB416">
            <v>12</v>
          </cell>
          <cell r="AC416">
            <v>828000</v>
          </cell>
        </row>
        <row r="417">
          <cell r="B417" t="str">
            <v>의류</v>
          </cell>
          <cell r="F417" t="str">
            <v>P0X6101</v>
          </cell>
          <cell r="G417">
            <v>76</v>
          </cell>
          <cell r="AB417">
            <v>1</v>
          </cell>
          <cell r="AC417">
            <v>69000</v>
          </cell>
        </row>
        <row r="418">
          <cell r="B418" t="str">
            <v>의류</v>
          </cell>
          <cell r="F418" t="str">
            <v>P0X6101</v>
          </cell>
          <cell r="G418">
            <v>83</v>
          </cell>
          <cell r="AB418">
            <v>5</v>
          </cell>
          <cell r="AC418">
            <v>345000</v>
          </cell>
        </row>
        <row r="419">
          <cell r="B419" t="str">
            <v>의류</v>
          </cell>
          <cell r="F419" t="str">
            <v>P0X6102</v>
          </cell>
          <cell r="G419">
            <v>43</v>
          </cell>
          <cell r="AB419">
            <v>1</v>
          </cell>
          <cell r="AC419">
            <v>139000</v>
          </cell>
        </row>
        <row r="420">
          <cell r="B420" t="str">
            <v>의류</v>
          </cell>
          <cell r="F420" t="str">
            <v>P0X6102</v>
          </cell>
          <cell r="G420">
            <v>73</v>
          </cell>
          <cell r="AB420">
            <v>-1</v>
          </cell>
          <cell r="AC420">
            <v>-152900</v>
          </cell>
        </row>
        <row r="421">
          <cell r="B421" t="str">
            <v>의류</v>
          </cell>
          <cell r="F421" t="str">
            <v>P0X6201</v>
          </cell>
          <cell r="G421">
            <v>43</v>
          </cell>
          <cell r="AB421">
            <v>6</v>
          </cell>
          <cell r="AC421">
            <v>572200</v>
          </cell>
        </row>
        <row r="422">
          <cell r="B422" t="str">
            <v>의류</v>
          </cell>
          <cell r="F422" t="str">
            <v>P0X6201</v>
          </cell>
          <cell r="G422">
            <v>49</v>
          </cell>
          <cell r="AB422">
            <v>6</v>
          </cell>
          <cell r="AC422">
            <v>533100</v>
          </cell>
        </row>
        <row r="423">
          <cell r="B423" t="str">
            <v>의류</v>
          </cell>
          <cell r="F423" t="str">
            <v>P0X6201</v>
          </cell>
          <cell r="G423">
            <v>74</v>
          </cell>
          <cell r="AB423">
            <v>14</v>
          </cell>
          <cell r="AC423">
            <v>1391500</v>
          </cell>
        </row>
        <row r="424">
          <cell r="B424" t="str">
            <v>의류</v>
          </cell>
          <cell r="F424" t="str">
            <v>P0X6202</v>
          </cell>
          <cell r="G424">
            <v>21</v>
          </cell>
          <cell r="AB424">
            <v>6</v>
          </cell>
          <cell r="AC424">
            <v>804400</v>
          </cell>
        </row>
        <row r="425">
          <cell r="B425" t="str">
            <v>의류</v>
          </cell>
          <cell r="F425" t="str">
            <v>P0X6202</v>
          </cell>
          <cell r="G425">
            <v>49</v>
          </cell>
          <cell r="AB425">
            <v>14</v>
          </cell>
          <cell r="AC425">
            <v>1862100</v>
          </cell>
        </row>
        <row r="426">
          <cell r="B426" t="str">
            <v>의류</v>
          </cell>
          <cell r="F426" t="str">
            <v>P0X6203</v>
          </cell>
          <cell r="G426">
            <v>39</v>
          </cell>
          <cell r="AB426">
            <v>12</v>
          </cell>
          <cell r="AC426">
            <v>1430600</v>
          </cell>
        </row>
        <row r="427">
          <cell r="B427" t="str">
            <v>의류</v>
          </cell>
          <cell r="F427" t="str">
            <v>P0X6203</v>
          </cell>
          <cell r="G427">
            <v>76</v>
          </cell>
          <cell r="AB427">
            <v>1</v>
          </cell>
          <cell r="AC427">
            <v>100600</v>
          </cell>
        </row>
        <row r="428">
          <cell r="B428" t="str">
            <v>의류</v>
          </cell>
          <cell r="F428" t="str">
            <v>P0X6204</v>
          </cell>
          <cell r="G428">
            <v>45</v>
          </cell>
          <cell r="AB428">
            <v>3</v>
          </cell>
          <cell r="AC428">
            <v>387400</v>
          </cell>
        </row>
        <row r="429">
          <cell r="B429" t="str">
            <v>의류</v>
          </cell>
          <cell r="F429" t="str">
            <v>P0X7101</v>
          </cell>
          <cell r="G429">
            <v>34</v>
          </cell>
          <cell r="AB429">
            <v>-2</v>
          </cell>
          <cell r="AC429">
            <v>-178000</v>
          </cell>
        </row>
        <row r="430">
          <cell r="B430" t="str">
            <v>의류</v>
          </cell>
          <cell r="F430" t="str">
            <v>P0X7101</v>
          </cell>
          <cell r="G430">
            <v>49</v>
          </cell>
        </row>
        <row r="431">
          <cell r="B431" t="str">
            <v>의류</v>
          </cell>
          <cell r="F431" t="str">
            <v>P0X7102</v>
          </cell>
          <cell r="G431">
            <v>49</v>
          </cell>
          <cell r="AB431">
            <v>16</v>
          </cell>
          <cell r="AC431">
            <v>880000</v>
          </cell>
        </row>
        <row r="432">
          <cell r="B432" t="str">
            <v>의류</v>
          </cell>
          <cell r="F432" t="str">
            <v>P0X7102</v>
          </cell>
          <cell r="G432">
            <v>53</v>
          </cell>
          <cell r="AB432">
            <v>3</v>
          </cell>
          <cell r="AC432">
            <v>165000</v>
          </cell>
        </row>
        <row r="433">
          <cell r="B433" t="str">
            <v>의류</v>
          </cell>
          <cell r="F433" t="str">
            <v>P0X7102</v>
          </cell>
          <cell r="G433">
            <v>75</v>
          </cell>
          <cell r="AB433">
            <v>3</v>
          </cell>
          <cell r="AC433">
            <v>162250</v>
          </cell>
        </row>
        <row r="434">
          <cell r="B434" t="str">
            <v>의류</v>
          </cell>
          <cell r="F434" t="str">
            <v>P0X7103</v>
          </cell>
          <cell r="G434">
            <v>34</v>
          </cell>
          <cell r="AB434">
            <v>11</v>
          </cell>
          <cell r="AC434">
            <v>755550</v>
          </cell>
        </row>
        <row r="435">
          <cell r="B435" t="str">
            <v>의류</v>
          </cell>
          <cell r="F435" t="str">
            <v>P0X7103</v>
          </cell>
          <cell r="G435">
            <v>49</v>
          </cell>
          <cell r="AB435">
            <v>22</v>
          </cell>
          <cell r="AC435">
            <v>1518000</v>
          </cell>
        </row>
        <row r="436">
          <cell r="B436" t="str">
            <v>의류</v>
          </cell>
          <cell r="F436" t="str">
            <v>P0X7104</v>
          </cell>
          <cell r="G436">
            <v>31</v>
          </cell>
          <cell r="AB436">
            <v>2</v>
          </cell>
          <cell r="AC436">
            <v>150100</v>
          </cell>
        </row>
        <row r="437">
          <cell r="B437" t="str">
            <v>의류</v>
          </cell>
          <cell r="F437" t="str">
            <v>P0X7104</v>
          </cell>
          <cell r="G437">
            <v>49</v>
          </cell>
          <cell r="AB437">
            <v>4</v>
          </cell>
          <cell r="AC437">
            <v>256000</v>
          </cell>
        </row>
        <row r="438">
          <cell r="B438" t="str">
            <v>의류</v>
          </cell>
          <cell r="F438" t="str">
            <v>P0X7201</v>
          </cell>
          <cell r="G438">
            <v>34</v>
          </cell>
          <cell r="AB438">
            <v>8</v>
          </cell>
          <cell r="AC438">
            <v>472000</v>
          </cell>
        </row>
        <row r="439">
          <cell r="B439" t="str">
            <v>의류</v>
          </cell>
          <cell r="F439" t="str">
            <v>P0X7201</v>
          </cell>
          <cell r="G439">
            <v>43</v>
          </cell>
          <cell r="AB439">
            <v>7</v>
          </cell>
          <cell r="AC439">
            <v>413000</v>
          </cell>
        </row>
        <row r="440">
          <cell r="B440" t="str">
            <v>의류</v>
          </cell>
          <cell r="F440" t="str">
            <v>P0X7201</v>
          </cell>
          <cell r="G440">
            <v>49</v>
          </cell>
          <cell r="AB440">
            <v>28</v>
          </cell>
          <cell r="AC440">
            <v>1632000</v>
          </cell>
        </row>
        <row r="441">
          <cell r="B441" t="str">
            <v>의류</v>
          </cell>
          <cell r="F441" t="str">
            <v>P0X7202</v>
          </cell>
          <cell r="G441">
            <v>49</v>
          </cell>
          <cell r="AB441">
            <v>33</v>
          </cell>
          <cell r="AC441">
            <v>1947000</v>
          </cell>
        </row>
        <row r="442">
          <cell r="B442" t="str">
            <v>의류</v>
          </cell>
          <cell r="F442" t="str">
            <v>P0X7202</v>
          </cell>
          <cell r="G442">
            <v>53</v>
          </cell>
          <cell r="AB442">
            <v>15</v>
          </cell>
          <cell r="AC442">
            <v>896800</v>
          </cell>
        </row>
        <row r="443">
          <cell r="B443" t="str">
            <v>의류</v>
          </cell>
          <cell r="F443" t="str">
            <v>P0X7203</v>
          </cell>
          <cell r="G443">
            <v>49</v>
          </cell>
          <cell r="AB443">
            <v>19</v>
          </cell>
          <cell r="AC443">
            <v>1497600</v>
          </cell>
        </row>
        <row r="444">
          <cell r="B444" t="str">
            <v>의류</v>
          </cell>
          <cell r="F444" t="str">
            <v>P0X7203</v>
          </cell>
          <cell r="G444">
            <v>53</v>
          </cell>
          <cell r="AB444">
            <v>2</v>
          </cell>
          <cell r="AC444">
            <v>118000</v>
          </cell>
        </row>
        <row r="445">
          <cell r="B445" t="str">
            <v>의류</v>
          </cell>
          <cell r="F445" t="str">
            <v>P0X7203</v>
          </cell>
          <cell r="G445">
            <v>73</v>
          </cell>
          <cell r="AB445">
            <v>10</v>
          </cell>
          <cell r="AC445">
            <v>813300</v>
          </cell>
        </row>
        <row r="446">
          <cell r="B446" t="str">
            <v>의류</v>
          </cell>
          <cell r="F446" t="str">
            <v>P0X7204</v>
          </cell>
          <cell r="G446">
            <v>22</v>
          </cell>
          <cell r="AB446">
            <v>15</v>
          </cell>
          <cell r="AC446">
            <v>1641700</v>
          </cell>
        </row>
        <row r="447">
          <cell r="B447" t="str">
            <v>의류</v>
          </cell>
          <cell r="F447" t="str">
            <v>P0X7204</v>
          </cell>
          <cell r="G447">
            <v>49</v>
          </cell>
          <cell r="AB447">
            <v>18</v>
          </cell>
          <cell r="AC447">
            <v>1948700</v>
          </cell>
        </row>
        <row r="448">
          <cell r="B448" t="str">
            <v>의류</v>
          </cell>
          <cell r="F448" t="str">
            <v>P0X7205</v>
          </cell>
          <cell r="G448">
            <v>43</v>
          </cell>
          <cell r="AB448">
            <v>32</v>
          </cell>
          <cell r="AC448">
            <v>2668200</v>
          </cell>
        </row>
        <row r="449">
          <cell r="B449" t="str">
            <v>의류</v>
          </cell>
          <cell r="F449" t="str">
            <v>P0X7205</v>
          </cell>
          <cell r="G449">
            <v>53</v>
          </cell>
          <cell r="AB449">
            <v>30</v>
          </cell>
          <cell r="AC449">
            <v>2375400</v>
          </cell>
        </row>
        <row r="450">
          <cell r="B450" t="str">
            <v>의류</v>
          </cell>
          <cell r="F450" t="str">
            <v>P0X7206</v>
          </cell>
          <cell r="G450">
            <v>32</v>
          </cell>
          <cell r="AB450">
            <v>26</v>
          </cell>
          <cell r="AC450">
            <v>2141700</v>
          </cell>
        </row>
        <row r="451">
          <cell r="B451" t="str">
            <v>의류</v>
          </cell>
          <cell r="F451" t="str">
            <v>P0X7206</v>
          </cell>
          <cell r="G451">
            <v>49</v>
          </cell>
          <cell r="AB451">
            <v>38</v>
          </cell>
          <cell r="AC451">
            <v>3055200</v>
          </cell>
        </row>
        <row r="452">
          <cell r="B452" t="str">
            <v>의류</v>
          </cell>
          <cell r="F452" t="str">
            <v>P0X7207</v>
          </cell>
          <cell r="G452">
            <v>39</v>
          </cell>
          <cell r="AB452">
            <v>25</v>
          </cell>
          <cell r="AC452">
            <v>1475000</v>
          </cell>
        </row>
        <row r="453">
          <cell r="B453" t="str">
            <v>의류</v>
          </cell>
          <cell r="F453" t="str">
            <v>P0X7207</v>
          </cell>
          <cell r="G453">
            <v>76</v>
          </cell>
          <cell r="AB453">
            <v>7</v>
          </cell>
          <cell r="AC453">
            <v>413000</v>
          </cell>
        </row>
        <row r="454">
          <cell r="B454" t="str">
            <v>의류</v>
          </cell>
          <cell r="F454" t="str">
            <v>P0X7208</v>
          </cell>
          <cell r="G454">
            <v>43</v>
          </cell>
          <cell r="AB454">
            <v>3</v>
          </cell>
          <cell r="AC454">
            <v>202000</v>
          </cell>
        </row>
        <row r="455">
          <cell r="B455" t="str">
            <v>의류</v>
          </cell>
          <cell r="F455" t="str">
            <v>P0X7208</v>
          </cell>
          <cell r="G455">
            <v>49</v>
          </cell>
          <cell r="AB455">
            <v>7</v>
          </cell>
          <cell r="AC455">
            <v>451000</v>
          </cell>
        </row>
        <row r="456">
          <cell r="B456" t="str">
            <v>의류</v>
          </cell>
          <cell r="F456" t="str">
            <v>P0X7209</v>
          </cell>
          <cell r="G456">
            <v>26</v>
          </cell>
          <cell r="AB456">
            <v>2</v>
          </cell>
          <cell r="AC456">
            <v>115200</v>
          </cell>
        </row>
        <row r="457">
          <cell r="B457" t="str">
            <v>의류</v>
          </cell>
          <cell r="F457" t="str">
            <v>P0X7209</v>
          </cell>
          <cell r="G457">
            <v>49</v>
          </cell>
          <cell r="AB457">
            <v>3</v>
          </cell>
          <cell r="AC457">
            <v>179200</v>
          </cell>
        </row>
        <row r="458">
          <cell r="B458" t="str">
            <v>의류</v>
          </cell>
          <cell r="F458" t="str">
            <v>P0XC101</v>
          </cell>
          <cell r="G458">
            <v>49</v>
          </cell>
          <cell r="AB458">
            <v>2</v>
          </cell>
          <cell r="AC458">
            <v>410200</v>
          </cell>
        </row>
        <row r="459">
          <cell r="B459" t="str">
            <v>의류</v>
          </cell>
          <cell r="F459" t="str">
            <v>P0XC101</v>
          </cell>
          <cell r="G459">
            <v>76</v>
          </cell>
          <cell r="AB459">
            <v>3</v>
          </cell>
          <cell r="AC459">
            <v>441900</v>
          </cell>
        </row>
        <row r="460">
          <cell r="B460" t="str">
            <v>의류</v>
          </cell>
          <cell r="F460" t="str">
            <v>P0XQ201</v>
          </cell>
          <cell r="G460">
            <v>49</v>
          </cell>
          <cell r="AB460">
            <v>3</v>
          </cell>
          <cell r="AC460">
            <v>242600</v>
          </cell>
        </row>
        <row r="461">
          <cell r="B461" t="str">
            <v>의류</v>
          </cell>
          <cell r="F461" t="str">
            <v>P0XQ201</v>
          </cell>
          <cell r="G461">
            <v>63</v>
          </cell>
          <cell r="AB461">
            <v>4</v>
          </cell>
          <cell r="AC461">
            <v>313100</v>
          </cell>
        </row>
        <row r="462">
          <cell r="B462" t="str">
            <v>의류</v>
          </cell>
          <cell r="F462" t="str">
            <v>P0XQ202</v>
          </cell>
          <cell r="G462">
            <v>73</v>
          </cell>
          <cell r="AB462">
            <v>5</v>
          </cell>
          <cell r="AC462">
            <v>396050</v>
          </cell>
        </row>
        <row r="463">
          <cell r="B463" t="str">
            <v>의류</v>
          </cell>
          <cell r="F463" t="str">
            <v>P0XQ203</v>
          </cell>
          <cell r="G463">
            <v>31</v>
          </cell>
          <cell r="AB463">
            <v>3</v>
          </cell>
          <cell r="AC463">
            <v>247200</v>
          </cell>
        </row>
        <row r="464">
          <cell r="B464" t="str">
            <v>의류</v>
          </cell>
          <cell r="F464" t="str">
            <v>P0XQ203</v>
          </cell>
          <cell r="G464">
            <v>49</v>
          </cell>
          <cell r="AB464">
            <v>11</v>
          </cell>
          <cell r="AC464">
            <v>949500</v>
          </cell>
        </row>
        <row r="465">
          <cell r="B465" t="str">
            <v>의류</v>
          </cell>
          <cell r="F465" t="str">
            <v>P0XT101</v>
          </cell>
          <cell r="G465">
            <v>32</v>
          </cell>
          <cell r="AB465">
            <v>-1</v>
          </cell>
          <cell r="AC465">
            <v>-179000</v>
          </cell>
        </row>
        <row r="466">
          <cell r="B466" t="str">
            <v>의류</v>
          </cell>
          <cell r="F466" t="str">
            <v>P0XT101</v>
          </cell>
          <cell r="G466">
            <v>41</v>
          </cell>
          <cell r="AB466">
            <v>-2</v>
          </cell>
          <cell r="AC466">
            <v>-388000</v>
          </cell>
        </row>
        <row r="467">
          <cell r="B467" t="str">
            <v>의류</v>
          </cell>
          <cell r="F467" t="str">
            <v>P0XT102</v>
          </cell>
          <cell r="G467">
            <v>49</v>
          </cell>
          <cell r="AB467">
            <v>1</v>
          </cell>
          <cell r="AC467">
            <v>119000</v>
          </cell>
        </row>
        <row r="468">
          <cell r="B468" t="str">
            <v>의류</v>
          </cell>
          <cell r="F468" t="str">
            <v>P0XT102</v>
          </cell>
          <cell r="G468">
            <v>76</v>
          </cell>
          <cell r="AB468">
            <v>3</v>
          </cell>
          <cell r="AC468">
            <v>357000</v>
          </cell>
        </row>
        <row r="469">
          <cell r="B469" t="str">
            <v>의류</v>
          </cell>
          <cell r="F469" t="str">
            <v>P0XT201</v>
          </cell>
          <cell r="G469">
            <v>49</v>
          </cell>
          <cell r="AB469">
            <v>9</v>
          </cell>
          <cell r="AC469">
            <v>1337400</v>
          </cell>
        </row>
        <row r="470">
          <cell r="B470" t="str">
            <v>의류</v>
          </cell>
          <cell r="F470" t="str">
            <v>P0XV101</v>
          </cell>
          <cell r="G470">
            <v>76</v>
          </cell>
        </row>
        <row r="471">
          <cell r="B471" t="str">
            <v>의류</v>
          </cell>
          <cell r="F471" t="str">
            <v>P0XV101</v>
          </cell>
          <cell r="G471">
            <v>83</v>
          </cell>
          <cell r="AB471">
            <v>3</v>
          </cell>
          <cell r="AC471">
            <v>387400</v>
          </cell>
        </row>
        <row r="472">
          <cell r="B472" t="str">
            <v>의류</v>
          </cell>
          <cell r="F472" t="str">
            <v>P0XV201</v>
          </cell>
          <cell r="G472">
            <v>31</v>
          </cell>
          <cell r="AB472">
            <v>4</v>
          </cell>
          <cell r="AC472">
            <v>439800</v>
          </cell>
        </row>
        <row r="473">
          <cell r="B473" t="str">
            <v>의류</v>
          </cell>
          <cell r="F473" t="str">
            <v>P0XV201</v>
          </cell>
          <cell r="G473">
            <v>49</v>
          </cell>
          <cell r="AB473">
            <v>18</v>
          </cell>
          <cell r="AC473">
            <v>1950600</v>
          </cell>
        </row>
        <row r="474">
          <cell r="B474" t="str">
            <v>의류</v>
          </cell>
          <cell r="F474" t="str">
            <v>P0XV202</v>
          </cell>
          <cell r="G474">
            <v>26</v>
          </cell>
          <cell r="AB474">
            <v>27</v>
          </cell>
          <cell r="AC474">
            <v>2928300</v>
          </cell>
        </row>
        <row r="475">
          <cell r="B475" t="str">
            <v>의류</v>
          </cell>
          <cell r="F475" t="str">
            <v>P0XV202</v>
          </cell>
          <cell r="G475">
            <v>49</v>
          </cell>
          <cell r="AB475">
            <v>43</v>
          </cell>
          <cell r="AC475">
            <v>4532800</v>
          </cell>
        </row>
        <row r="476">
          <cell r="B476" t="str">
            <v>의류</v>
          </cell>
          <cell r="F476" t="str">
            <v>P0XV203</v>
          </cell>
          <cell r="G476">
            <v>43</v>
          </cell>
          <cell r="AB476">
            <v>5</v>
          </cell>
          <cell r="AC476">
            <v>435100</v>
          </cell>
        </row>
        <row r="477">
          <cell r="B477" t="str">
            <v>의류</v>
          </cell>
          <cell r="F477" t="str">
            <v>P0XV203</v>
          </cell>
          <cell r="G477">
            <v>53</v>
          </cell>
          <cell r="AB477">
            <v>3</v>
          </cell>
          <cell r="AC477">
            <v>227100</v>
          </cell>
        </row>
        <row r="478">
          <cell r="B478" t="str">
            <v>악세</v>
          </cell>
          <cell r="F478" t="str">
            <v>PAXT101</v>
          </cell>
          <cell r="G478">
            <v>53</v>
          </cell>
          <cell r="AB478">
            <v>3</v>
          </cell>
          <cell r="AC478">
            <v>91200</v>
          </cell>
        </row>
        <row r="479">
          <cell r="B479" t="str">
            <v>악세</v>
          </cell>
          <cell r="F479" t="str">
            <v>PAXT201</v>
          </cell>
          <cell r="G479">
            <v>31</v>
          </cell>
          <cell r="AB479">
            <v>8</v>
          </cell>
          <cell r="AC479">
            <v>121600</v>
          </cell>
        </row>
        <row r="480">
          <cell r="B480" t="str">
            <v>악세</v>
          </cell>
          <cell r="F480" t="str">
            <v>PAXT201</v>
          </cell>
          <cell r="G480">
            <v>71</v>
          </cell>
          <cell r="AB480">
            <v>5</v>
          </cell>
          <cell r="AC480">
            <v>76000</v>
          </cell>
        </row>
        <row r="481">
          <cell r="B481" t="str">
            <v>악세</v>
          </cell>
          <cell r="F481" t="str">
            <v>PAXV101</v>
          </cell>
          <cell r="G481">
            <v>31</v>
          </cell>
          <cell r="AB481">
            <v>1</v>
          </cell>
          <cell r="AC481">
            <v>43200</v>
          </cell>
        </row>
        <row r="482">
          <cell r="B482" t="str">
            <v>악세</v>
          </cell>
          <cell r="F482" t="str">
            <v>PAXW101</v>
          </cell>
          <cell r="G482">
            <v>63</v>
          </cell>
        </row>
        <row r="483">
          <cell r="B483" t="str">
            <v>악세</v>
          </cell>
          <cell r="F483" t="str">
            <v>PAXW101</v>
          </cell>
          <cell r="G483">
            <v>74</v>
          </cell>
        </row>
        <row r="484">
          <cell r="B484" t="str">
            <v>악세</v>
          </cell>
          <cell r="F484" t="str">
            <v>PAXW102</v>
          </cell>
          <cell r="G484">
            <v>49</v>
          </cell>
          <cell r="AB484">
            <v>2</v>
          </cell>
          <cell r="AC484">
            <v>108800</v>
          </cell>
        </row>
        <row r="485">
          <cell r="B485" t="str">
            <v>악세</v>
          </cell>
          <cell r="F485" t="str">
            <v>PAXW102</v>
          </cell>
          <cell r="G485">
            <v>76</v>
          </cell>
        </row>
        <row r="486">
          <cell r="B486" t="str">
            <v>악세</v>
          </cell>
          <cell r="F486" t="str">
            <v>PAXW103</v>
          </cell>
          <cell r="G486">
            <v>49</v>
          </cell>
          <cell r="AB486">
            <v>2</v>
          </cell>
          <cell r="AC486">
            <v>99200</v>
          </cell>
        </row>
        <row r="487">
          <cell r="B487" t="str">
            <v>악세</v>
          </cell>
          <cell r="F487" t="str">
            <v>PAXW104</v>
          </cell>
          <cell r="G487">
            <v>76</v>
          </cell>
        </row>
        <row r="488">
          <cell r="B488" t="str">
            <v>악세</v>
          </cell>
          <cell r="F488" t="str">
            <v>PAXW105</v>
          </cell>
          <cell r="G488">
            <v>26</v>
          </cell>
          <cell r="AB488">
            <v>1</v>
          </cell>
          <cell r="AC488">
            <v>54400</v>
          </cell>
        </row>
        <row r="489">
          <cell r="B489" t="str">
            <v>악세</v>
          </cell>
          <cell r="F489" t="str">
            <v>PAXW105</v>
          </cell>
          <cell r="G489">
            <v>49</v>
          </cell>
          <cell r="AB489">
            <v>1</v>
          </cell>
          <cell r="AC489">
            <v>54400</v>
          </cell>
        </row>
        <row r="490">
          <cell r="B490" t="str">
            <v>악세</v>
          </cell>
          <cell r="F490" t="str">
            <v>PAXW106</v>
          </cell>
          <cell r="G490">
            <v>39</v>
          </cell>
          <cell r="AB490">
            <v>1</v>
          </cell>
          <cell r="AC490">
            <v>54400</v>
          </cell>
        </row>
        <row r="491">
          <cell r="B491" t="str">
            <v>악세</v>
          </cell>
          <cell r="F491" t="str">
            <v>PAXW201</v>
          </cell>
          <cell r="G491">
            <v>43</v>
          </cell>
          <cell r="AB491">
            <v>2</v>
          </cell>
          <cell r="AC491">
            <v>99200</v>
          </cell>
        </row>
        <row r="492">
          <cell r="B492" t="str">
            <v>악세</v>
          </cell>
          <cell r="F492" t="str">
            <v>PAXW201</v>
          </cell>
          <cell r="G492">
            <v>63</v>
          </cell>
          <cell r="AB492">
            <v>3</v>
          </cell>
          <cell r="AC492">
            <v>128800</v>
          </cell>
        </row>
        <row r="493">
          <cell r="B493" t="str">
            <v>악세</v>
          </cell>
          <cell r="F493" t="str">
            <v>PAXW202</v>
          </cell>
          <cell r="G493">
            <v>49</v>
          </cell>
          <cell r="AB493">
            <v>8</v>
          </cell>
          <cell r="AC493">
            <v>371200</v>
          </cell>
        </row>
        <row r="494">
          <cell r="B494" t="str">
            <v>악세</v>
          </cell>
          <cell r="F494" t="str">
            <v>PAXW202</v>
          </cell>
          <cell r="G494">
            <v>73</v>
          </cell>
          <cell r="AB494">
            <v>5</v>
          </cell>
          <cell r="AC494">
            <v>202000</v>
          </cell>
        </row>
        <row r="495">
          <cell r="B495" t="str">
            <v>악세</v>
          </cell>
          <cell r="F495" t="str">
            <v>PAXW203</v>
          </cell>
          <cell r="G495">
            <v>31</v>
          </cell>
          <cell r="AB495">
            <v>7</v>
          </cell>
          <cell r="AC495">
            <v>380800</v>
          </cell>
        </row>
        <row r="496">
          <cell r="B496" t="str">
            <v>악세</v>
          </cell>
          <cell r="F496" t="str">
            <v>PAXW204</v>
          </cell>
          <cell r="G496">
            <v>49</v>
          </cell>
          <cell r="AB496">
            <v>7</v>
          </cell>
          <cell r="AC496">
            <v>317200</v>
          </cell>
        </row>
        <row r="497">
          <cell r="B497" t="str">
            <v>악세</v>
          </cell>
          <cell r="F497" t="str">
            <v>PAXW204</v>
          </cell>
          <cell r="G497">
            <v>76</v>
          </cell>
          <cell r="AB497">
            <v>3</v>
          </cell>
          <cell r="AC497">
            <v>148800</v>
          </cell>
        </row>
        <row r="498">
          <cell r="B498" t="str">
            <v>악세</v>
          </cell>
          <cell r="F498" t="str">
            <v>PAXW205</v>
          </cell>
          <cell r="G498">
            <v>43</v>
          </cell>
          <cell r="AB498">
            <v>7</v>
          </cell>
          <cell r="AC498">
            <v>297200</v>
          </cell>
        </row>
        <row r="499">
          <cell r="B499" t="str">
            <v>악세</v>
          </cell>
          <cell r="F499" t="str">
            <v>PAXW206</v>
          </cell>
          <cell r="G499">
            <v>53</v>
          </cell>
          <cell r="AB499">
            <v>8</v>
          </cell>
          <cell r="AC499">
            <v>341200</v>
          </cell>
        </row>
        <row r="500">
          <cell r="B500" t="str">
            <v>악세</v>
          </cell>
          <cell r="F500" t="str">
            <v>PAXW207</v>
          </cell>
          <cell r="G500">
            <v>39</v>
          </cell>
          <cell r="AB500">
            <v>7</v>
          </cell>
          <cell r="AC500">
            <v>302400</v>
          </cell>
        </row>
        <row r="501">
          <cell r="B501" t="str">
            <v>악세</v>
          </cell>
          <cell r="F501" t="str">
            <v>PAXW207</v>
          </cell>
          <cell r="G501">
            <v>76</v>
          </cell>
          <cell r="AB501">
            <v>4</v>
          </cell>
          <cell r="AC501">
            <v>172800</v>
          </cell>
        </row>
        <row r="502">
          <cell r="B502" t="str">
            <v>악세</v>
          </cell>
          <cell r="F502" t="str">
            <v>PAXW208</v>
          </cell>
          <cell r="G502">
            <v>49</v>
          </cell>
          <cell r="AB502">
            <v>4</v>
          </cell>
          <cell r="AC502">
            <v>217600</v>
          </cell>
        </row>
        <row r="503">
          <cell r="B503" t="str">
            <v>악세</v>
          </cell>
          <cell r="F503" t="str">
            <v>PAXW208</v>
          </cell>
          <cell r="G503">
            <v>54</v>
          </cell>
          <cell r="AB503">
            <v>4</v>
          </cell>
          <cell r="AC503">
            <v>211200</v>
          </cell>
        </row>
        <row r="504">
          <cell r="B504" t="str">
            <v>악세</v>
          </cell>
          <cell r="F504" t="str">
            <v>PAXW209</v>
          </cell>
          <cell r="G504">
            <v>49</v>
          </cell>
        </row>
        <row r="505">
          <cell r="B505" t="str">
            <v>악세</v>
          </cell>
          <cell r="F505" t="str">
            <v>PAXW210</v>
          </cell>
          <cell r="G505">
            <v>39</v>
          </cell>
          <cell r="AB505">
            <v>9</v>
          </cell>
          <cell r="AC505">
            <v>429200</v>
          </cell>
        </row>
        <row r="506">
          <cell r="B506" t="str">
            <v>악세</v>
          </cell>
          <cell r="F506" t="str">
            <v>PAXW210</v>
          </cell>
          <cell r="G506">
            <v>49</v>
          </cell>
          <cell r="AB506">
            <v>14</v>
          </cell>
          <cell r="AC506">
            <v>609600</v>
          </cell>
        </row>
        <row r="507">
          <cell r="B507" t="str">
            <v>악세</v>
          </cell>
          <cell r="F507" t="str">
            <v>PAXW211</v>
          </cell>
          <cell r="G507">
            <v>49</v>
          </cell>
          <cell r="AB507">
            <v>7</v>
          </cell>
          <cell r="AC507">
            <v>350800</v>
          </cell>
        </row>
        <row r="508">
          <cell r="B508" t="str">
            <v>악세</v>
          </cell>
          <cell r="F508" t="str">
            <v>PAXW211</v>
          </cell>
          <cell r="G508">
            <v>67</v>
          </cell>
          <cell r="AB508">
            <v>3</v>
          </cell>
          <cell r="AC508">
            <v>163200</v>
          </cell>
        </row>
        <row r="509">
          <cell r="B509" t="str">
            <v>악세</v>
          </cell>
          <cell r="F509" t="str">
            <v>PAXW212</v>
          </cell>
          <cell r="G509">
            <v>31</v>
          </cell>
          <cell r="AB509">
            <v>7</v>
          </cell>
          <cell r="AC509">
            <v>294800</v>
          </cell>
        </row>
        <row r="510">
          <cell r="B510" t="str">
            <v>악세</v>
          </cell>
          <cell r="F510" t="str">
            <v>PAXW212</v>
          </cell>
          <cell r="G510">
            <v>49</v>
          </cell>
          <cell r="AB510">
            <v>9</v>
          </cell>
          <cell r="AC510">
            <v>423400</v>
          </cell>
        </row>
        <row r="511">
          <cell r="B511" t="str">
            <v>악세</v>
          </cell>
          <cell r="F511" t="str">
            <v>PAXW213</v>
          </cell>
          <cell r="G511">
            <v>43</v>
          </cell>
          <cell r="AB511">
            <v>9</v>
          </cell>
          <cell r="AC511">
            <v>389600</v>
          </cell>
        </row>
        <row r="512">
          <cell r="B512" t="str">
            <v>악세</v>
          </cell>
          <cell r="F512" t="str">
            <v>PAXX101</v>
          </cell>
          <cell r="G512">
            <v>39</v>
          </cell>
          <cell r="AB512">
            <v>6</v>
          </cell>
          <cell r="AC512">
            <v>660000</v>
          </cell>
        </row>
        <row r="513">
          <cell r="B513" t="str">
            <v>악세</v>
          </cell>
          <cell r="F513" t="str">
            <v>PAXX102</v>
          </cell>
          <cell r="G513">
            <v>49</v>
          </cell>
          <cell r="AB513">
            <v>1</v>
          </cell>
          <cell r="AC513">
            <v>118400</v>
          </cell>
        </row>
        <row r="514">
          <cell r="B514" t="str">
            <v>악세</v>
          </cell>
          <cell r="F514" t="str">
            <v>PAXY101</v>
          </cell>
          <cell r="G514">
            <v>31</v>
          </cell>
          <cell r="AB514">
            <v>4</v>
          </cell>
          <cell r="AC514">
            <v>38400</v>
          </cell>
        </row>
        <row r="515">
          <cell r="B515" t="str">
            <v>악세</v>
          </cell>
          <cell r="F515" t="str">
            <v>PAXY101</v>
          </cell>
          <cell r="G515">
            <v>39</v>
          </cell>
          <cell r="AB515">
            <v>2</v>
          </cell>
          <cell r="AC515">
            <v>19200</v>
          </cell>
        </row>
        <row r="516">
          <cell r="B516" t="str">
            <v>악세</v>
          </cell>
          <cell r="F516" t="str">
            <v>PAXY102</v>
          </cell>
          <cell r="G516">
            <v>49</v>
          </cell>
          <cell r="AB516">
            <v>2</v>
          </cell>
          <cell r="AC516">
            <v>19200</v>
          </cell>
        </row>
        <row r="517">
          <cell r="B517" t="str">
            <v>T커머스</v>
          </cell>
          <cell r="F517" t="str">
            <v>PEX1201</v>
          </cell>
          <cell r="G517">
            <v>43</v>
          </cell>
          <cell r="AB517">
            <v>32</v>
          </cell>
          <cell r="AC517">
            <v>1411200</v>
          </cell>
        </row>
        <row r="518">
          <cell r="B518" t="str">
            <v>T커머스</v>
          </cell>
          <cell r="F518" t="str">
            <v>PEX1202</v>
          </cell>
          <cell r="G518">
            <v>49</v>
          </cell>
          <cell r="AB518">
            <v>35</v>
          </cell>
          <cell r="AC518">
            <v>1852600</v>
          </cell>
        </row>
        <row r="519">
          <cell r="B519" t="str">
            <v>T커머스</v>
          </cell>
          <cell r="F519" t="str">
            <v>PEX1203</v>
          </cell>
          <cell r="G519">
            <v>73</v>
          </cell>
          <cell r="AB519">
            <v>7</v>
          </cell>
          <cell r="AC519">
            <v>347900</v>
          </cell>
        </row>
        <row r="520">
          <cell r="B520" t="str">
            <v>T커머스</v>
          </cell>
          <cell r="F520" t="str">
            <v>PEX1204</v>
          </cell>
          <cell r="G520">
            <v>49</v>
          </cell>
        </row>
        <row r="521">
          <cell r="B521" t="str">
            <v>T커머스</v>
          </cell>
          <cell r="F521" t="str">
            <v>PEX1205</v>
          </cell>
          <cell r="G521">
            <v>49</v>
          </cell>
        </row>
        <row r="522">
          <cell r="B522" t="str">
            <v>T커머스</v>
          </cell>
          <cell r="F522" t="str">
            <v>PEX1206</v>
          </cell>
          <cell r="G522">
            <v>76</v>
          </cell>
        </row>
        <row r="523">
          <cell r="B523" t="str">
            <v>T커머스</v>
          </cell>
          <cell r="F523" t="str">
            <v>PEX7201</v>
          </cell>
          <cell r="G523">
            <v>49</v>
          </cell>
        </row>
        <row r="524">
          <cell r="B524" t="str">
            <v>T커머스</v>
          </cell>
          <cell r="F524" t="str">
            <v>PEX7202</v>
          </cell>
          <cell r="G524">
            <v>39</v>
          </cell>
        </row>
        <row r="525">
          <cell r="B525" t="str">
            <v>T커머스</v>
          </cell>
          <cell r="F525" t="str">
            <v>PEX7203</v>
          </cell>
          <cell r="G525">
            <v>73</v>
          </cell>
          <cell r="AB525">
            <v>8</v>
          </cell>
          <cell r="AC525">
            <v>312000</v>
          </cell>
        </row>
        <row r="526">
          <cell r="B526" t="str">
            <v>의류</v>
          </cell>
          <cell r="F526" t="str">
            <v>PNX1101</v>
          </cell>
          <cell r="G526">
            <v>23</v>
          </cell>
        </row>
        <row r="527">
          <cell r="B527" t="str">
            <v>의류</v>
          </cell>
          <cell r="F527" t="str">
            <v>PNX1101</v>
          </cell>
          <cell r="G527">
            <v>31</v>
          </cell>
          <cell r="AB527">
            <v>1</v>
          </cell>
          <cell r="AC527">
            <v>59000</v>
          </cell>
        </row>
        <row r="528">
          <cell r="B528" t="str">
            <v>의류</v>
          </cell>
          <cell r="F528" t="str">
            <v>PNX1102</v>
          </cell>
          <cell r="G528">
            <v>39</v>
          </cell>
          <cell r="AB528">
            <v>2</v>
          </cell>
          <cell r="AC528">
            <v>101100</v>
          </cell>
        </row>
        <row r="529">
          <cell r="B529" t="str">
            <v>의류</v>
          </cell>
          <cell r="F529" t="str">
            <v>PNX1102</v>
          </cell>
          <cell r="G529">
            <v>76</v>
          </cell>
        </row>
        <row r="530">
          <cell r="B530" t="str">
            <v>의류</v>
          </cell>
          <cell r="F530" t="str">
            <v>PNX1103</v>
          </cell>
          <cell r="G530">
            <v>49</v>
          </cell>
          <cell r="AB530">
            <v>-1</v>
          </cell>
          <cell r="AC530">
            <v>-59000</v>
          </cell>
        </row>
        <row r="531">
          <cell r="B531" t="str">
            <v>의류</v>
          </cell>
          <cell r="F531" t="str">
            <v>PNX1103</v>
          </cell>
          <cell r="G531">
            <v>63</v>
          </cell>
          <cell r="AB531">
            <v>3</v>
          </cell>
          <cell r="AC531">
            <v>177000</v>
          </cell>
        </row>
        <row r="532">
          <cell r="B532" t="str">
            <v>의류</v>
          </cell>
          <cell r="F532" t="str">
            <v>PNX1201</v>
          </cell>
          <cell r="G532">
            <v>31</v>
          </cell>
          <cell r="AB532">
            <v>23</v>
          </cell>
          <cell r="AC532">
            <v>1097600</v>
          </cell>
        </row>
        <row r="533">
          <cell r="B533" t="str">
            <v>의류</v>
          </cell>
          <cell r="F533" t="str">
            <v>PNX1202</v>
          </cell>
          <cell r="G533">
            <v>63</v>
          </cell>
          <cell r="AB533">
            <v>3</v>
          </cell>
          <cell r="AC533">
            <v>199100</v>
          </cell>
        </row>
        <row r="534">
          <cell r="B534" t="str">
            <v>의류</v>
          </cell>
          <cell r="F534" t="str">
            <v>PNX1202</v>
          </cell>
          <cell r="G534">
            <v>66</v>
          </cell>
          <cell r="AB534">
            <v>2</v>
          </cell>
          <cell r="AC534">
            <v>158000</v>
          </cell>
        </row>
        <row r="535">
          <cell r="B535" t="str">
            <v>의류</v>
          </cell>
          <cell r="F535" t="str">
            <v>PNX1203</v>
          </cell>
          <cell r="G535">
            <v>22</v>
          </cell>
          <cell r="AB535">
            <v>1</v>
          </cell>
          <cell r="AC535">
            <v>69000</v>
          </cell>
        </row>
        <row r="536">
          <cell r="B536" t="str">
            <v>의류</v>
          </cell>
          <cell r="F536" t="str">
            <v>PNX1203</v>
          </cell>
          <cell r="G536">
            <v>31</v>
          </cell>
          <cell r="AB536">
            <v>2</v>
          </cell>
          <cell r="AC536">
            <v>108000</v>
          </cell>
        </row>
        <row r="537">
          <cell r="B537" t="str">
            <v>의류</v>
          </cell>
          <cell r="F537" t="str">
            <v>PNX1204</v>
          </cell>
          <cell r="G537">
            <v>39</v>
          </cell>
          <cell r="AB537">
            <v>5</v>
          </cell>
          <cell r="AC537">
            <v>253200</v>
          </cell>
        </row>
        <row r="538">
          <cell r="B538" t="str">
            <v>의류</v>
          </cell>
          <cell r="F538" t="str">
            <v>PNX1204</v>
          </cell>
          <cell r="G538">
            <v>67</v>
          </cell>
          <cell r="AB538">
            <v>4</v>
          </cell>
          <cell r="AC538">
            <v>218300</v>
          </cell>
        </row>
        <row r="539">
          <cell r="B539" t="str">
            <v>의류</v>
          </cell>
          <cell r="F539" t="str">
            <v>PNX1205</v>
          </cell>
          <cell r="G539">
            <v>31</v>
          </cell>
          <cell r="AB539">
            <v>2</v>
          </cell>
          <cell r="AC539">
            <v>104550</v>
          </cell>
        </row>
        <row r="540">
          <cell r="B540" t="str">
            <v>의류</v>
          </cell>
          <cell r="F540" t="str">
            <v>PNX1205</v>
          </cell>
          <cell r="G540">
            <v>63</v>
          </cell>
          <cell r="AB540">
            <v>1</v>
          </cell>
          <cell r="AC540">
            <v>62100</v>
          </cell>
        </row>
        <row r="541">
          <cell r="B541" t="str">
            <v>의류</v>
          </cell>
          <cell r="F541" t="str">
            <v>PNX1206</v>
          </cell>
          <cell r="G541">
            <v>34</v>
          </cell>
          <cell r="AB541">
            <v>9</v>
          </cell>
          <cell r="AC541">
            <v>519600</v>
          </cell>
        </row>
        <row r="542">
          <cell r="B542" t="str">
            <v>의류</v>
          </cell>
          <cell r="F542" t="str">
            <v>PNX1206</v>
          </cell>
          <cell r="G542">
            <v>73</v>
          </cell>
          <cell r="AB542">
            <v>1</v>
          </cell>
          <cell r="AC542">
            <v>69000</v>
          </cell>
        </row>
        <row r="543">
          <cell r="B543" t="str">
            <v>의류</v>
          </cell>
          <cell r="F543" t="str">
            <v>PNX1207</v>
          </cell>
          <cell r="G543">
            <v>31</v>
          </cell>
          <cell r="AB543">
            <v>-1</v>
          </cell>
          <cell r="AC543">
            <v>-69000</v>
          </cell>
        </row>
        <row r="544">
          <cell r="B544" t="str">
            <v>의류</v>
          </cell>
          <cell r="F544" t="str">
            <v>PNX1208</v>
          </cell>
          <cell r="G544">
            <v>32</v>
          </cell>
          <cell r="AB544">
            <v>7</v>
          </cell>
          <cell r="AC544">
            <v>483000</v>
          </cell>
        </row>
        <row r="545">
          <cell r="B545" t="str">
            <v>의류</v>
          </cell>
          <cell r="F545" t="str">
            <v>PNX1208</v>
          </cell>
          <cell r="G545">
            <v>49</v>
          </cell>
          <cell r="AB545">
            <v>9</v>
          </cell>
          <cell r="AC545">
            <v>586500</v>
          </cell>
        </row>
        <row r="546">
          <cell r="B546" t="str">
            <v>의류</v>
          </cell>
          <cell r="F546" t="str">
            <v>PNX1209</v>
          </cell>
          <cell r="G546">
            <v>39</v>
          </cell>
          <cell r="AB546">
            <v>3</v>
          </cell>
          <cell r="AC546">
            <v>277200</v>
          </cell>
        </row>
        <row r="547">
          <cell r="B547" t="str">
            <v>의류</v>
          </cell>
          <cell r="F547" t="str">
            <v>PNX1209</v>
          </cell>
          <cell r="G547">
            <v>73</v>
          </cell>
          <cell r="AB547">
            <v>1</v>
          </cell>
          <cell r="AC547">
            <v>89100</v>
          </cell>
        </row>
        <row r="548">
          <cell r="B548" t="str">
            <v>의류</v>
          </cell>
          <cell r="F548" t="str">
            <v>PNX1210</v>
          </cell>
          <cell r="G548">
            <v>31</v>
          </cell>
          <cell r="AB548">
            <v>9</v>
          </cell>
          <cell r="AC548">
            <v>421400</v>
          </cell>
        </row>
        <row r="549">
          <cell r="B549" t="str">
            <v>의류</v>
          </cell>
          <cell r="F549" t="str">
            <v>PNX1211</v>
          </cell>
          <cell r="G549">
            <v>41</v>
          </cell>
          <cell r="AB549">
            <v>4</v>
          </cell>
          <cell r="AC549">
            <v>219100</v>
          </cell>
        </row>
        <row r="550">
          <cell r="B550" t="str">
            <v>의류</v>
          </cell>
          <cell r="F550" t="str">
            <v>PNX1211</v>
          </cell>
          <cell r="G550">
            <v>49</v>
          </cell>
          <cell r="AB550">
            <v>4</v>
          </cell>
          <cell r="AC550">
            <v>249100</v>
          </cell>
        </row>
        <row r="551">
          <cell r="B551" t="str">
            <v>의류</v>
          </cell>
          <cell r="F551" t="str">
            <v>PNX1211</v>
          </cell>
          <cell r="G551">
            <v>66</v>
          </cell>
          <cell r="AB551">
            <v>2</v>
          </cell>
          <cell r="AC551">
            <v>131100</v>
          </cell>
        </row>
        <row r="552">
          <cell r="B552" t="str">
            <v>의류</v>
          </cell>
          <cell r="F552" t="str">
            <v>PNX6101</v>
          </cell>
          <cell r="G552">
            <v>39</v>
          </cell>
          <cell r="AB552">
            <v>-6</v>
          </cell>
          <cell r="AC552">
            <v>-834000</v>
          </cell>
        </row>
        <row r="553">
          <cell r="B553" t="str">
            <v>의류</v>
          </cell>
          <cell r="F553" t="str">
            <v>PNX6201</v>
          </cell>
          <cell r="G553">
            <v>31</v>
          </cell>
          <cell r="AB553">
            <v>7</v>
          </cell>
          <cell r="AC553">
            <v>797200</v>
          </cell>
        </row>
        <row r="554">
          <cell r="B554" t="str">
            <v>의류</v>
          </cell>
          <cell r="F554" t="str">
            <v>PNX6201</v>
          </cell>
          <cell r="G554">
            <v>63</v>
          </cell>
          <cell r="AB554">
            <v>13</v>
          </cell>
          <cell r="AC554">
            <v>1496050</v>
          </cell>
        </row>
        <row r="555">
          <cell r="B555" t="str">
            <v>의류</v>
          </cell>
          <cell r="F555" t="str">
            <v>PNX7101</v>
          </cell>
          <cell r="G555">
            <v>76</v>
          </cell>
        </row>
        <row r="556">
          <cell r="B556" t="str">
            <v>의류</v>
          </cell>
          <cell r="F556" t="str">
            <v>PNX7102</v>
          </cell>
          <cell r="G556">
            <v>34</v>
          </cell>
          <cell r="AB556">
            <v>1</v>
          </cell>
          <cell r="AC556">
            <v>69000</v>
          </cell>
        </row>
        <row r="557">
          <cell r="B557" t="str">
            <v>의류</v>
          </cell>
          <cell r="F557" t="str">
            <v>PNX7102</v>
          </cell>
          <cell r="G557">
            <v>39</v>
          </cell>
        </row>
        <row r="558">
          <cell r="B558" t="str">
            <v>의류</v>
          </cell>
          <cell r="F558" t="str">
            <v>PNX7201</v>
          </cell>
          <cell r="G558">
            <v>49</v>
          </cell>
          <cell r="AB558">
            <v>7</v>
          </cell>
          <cell r="AC558">
            <v>671600</v>
          </cell>
        </row>
        <row r="559">
          <cell r="B559" t="str">
            <v>의류</v>
          </cell>
          <cell r="F559" t="str">
            <v>PNX7202</v>
          </cell>
          <cell r="G559">
            <v>31</v>
          </cell>
          <cell r="AB559">
            <v>17</v>
          </cell>
          <cell r="AC559">
            <v>1473700</v>
          </cell>
        </row>
        <row r="560">
          <cell r="B560" t="str">
            <v>의류</v>
          </cell>
          <cell r="F560" t="str">
            <v>PNX7202</v>
          </cell>
          <cell r="G560">
            <v>39</v>
          </cell>
          <cell r="AB560">
            <v>22</v>
          </cell>
          <cell r="AC560">
            <v>2028100</v>
          </cell>
        </row>
        <row r="561">
          <cell r="B561" t="str">
            <v>의류</v>
          </cell>
          <cell r="F561" t="str">
            <v>PNX7203</v>
          </cell>
          <cell r="G561">
            <v>31</v>
          </cell>
          <cell r="AB561">
            <v>16</v>
          </cell>
          <cell r="AC561">
            <v>944000</v>
          </cell>
        </row>
        <row r="562">
          <cell r="B562" t="str">
            <v>의류</v>
          </cell>
          <cell r="F562" t="str">
            <v>PNX7203</v>
          </cell>
          <cell r="G562">
            <v>49</v>
          </cell>
          <cell r="AB562">
            <v>26</v>
          </cell>
          <cell r="AC562">
            <v>1534000</v>
          </cell>
        </row>
        <row r="563">
          <cell r="B563" t="str">
            <v>의류</v>
          </cell>
          <cell r="F563" t="str">
            <v>PNX7204</v>
          </cell>
          <cell r="G563">
            <v>39</v>
          </cell>
          <cell r="AB563">
            <v>4</v>
          </cell>
          <cell r="AC563">
            <v>236800</v>
          </cell>
        </row>
        <row r="564">
          <cell r="B564" t="str">
            <v>의류</v>
          </cell>
          <cell r="F564" t="str">
            <v>PNX7204</v>
          </cell>
          <cell r="G564">
            <v>76</v>
          </cell>
          <cell r="AB564">
            <v>3</v>
          </cell>
          <cell r="AC564">
            <v>135600</v>
          </cell>
        </row>
        <row r="565">
          <cell r="B565" t="str">
            <v>의류</v>
          </cell>
          <cell r="F565" t="str">
            <v>PNXQ101</v>
          </cell>
          <cell r="G565">
            <v>31</v>
          </cell>
        </row>
        <row r="566">
          <cell r="B566" t="str">
            <v>의류</v>
          </cell>
          <cell r="F566" t="str">
            <v>PNXQ101</v>
          </cell>
          <cell r="G566">
            <v>39</v>
          </cell>
        </row>
        <row r="567">
          <cell r="B567" t="str">
            <v>의류</v>
          </cell>
          <cell r="F567" t="str">
            <v>PNXQ201</v>
          </cell>
          <cell r="G567">
            <v>31</v>
          </cell>
          <cell r="AB567">
            <v>1</v>
          </cell>
          <cell r="AC567">
            <v>69000</v>
          </cell>
        </row>
        <row r="568">
          <cell r="B568" t="str">
            <v>의류</v>
          </cell>
          <cell r="F568" t="str">
            <v>PNXQ202</v>
          </cell>
          <cell r="G568">
            <v>34</v>
          </cell>
          <cell r="AB568">
            <v>1</v>
          </cell>
          <cell r="AC568">
            <v>84600</v>
          </cell>
        </row>
        <row r="569">
          <cell r="B569" t="str">
            <v>의류</v>
          </cell>
          <cell r="F569" t="str">
            <v>PNXQ202</v>
          </cell>
          <cell r="G569">
            <v>39</v>
          </cell>
          <cell r="AB569">
            <v>1</v>
          </cell>
          <cell r="AC569">
            <v>94000</v>
          </cell>
        </row>
        <row r="570">
          <cell r="B570" t="str">
            <v>의류</v>
          </cell>
          <cell r="F570" t="str">
            <v>PNXV101</v>
          </cell>
          <cell r="G570">
            <v>39</v>
          </cell>
          <cell r="AB570">
            <v>3</v>
          </cell>
          <cell r="AC570">
            <v>387000</v>
          </cell>
        </row>
        <row r="571">
          <cell r="B571" t="str">
            <v>의류</v>
          </cell>
          <cell r="F571" t="str">
            <v>PNXV101</v>
          </cell>
          <cell r="G571">
            <v>76</v>
          </cell>
          <cell r="AB571">
            <v>-1</v>
          </cell>
          <cell r="AC571">
            <v>-129000</v>
          </cell>
        </row>
        <row r="572">
          <cell r="B572" t="str">
            <v>의류</v>
          </cell>
          <cell r="F572" t="str">
            <v>PNXV201</v>
          </cell>
          <cell r="G572">
            <v>32</v>
          </cell>
          <cell r="AB572">
            <v>5</v>
          </cell>
          <cell r="AC572">
            <v>523200</v>
          </cell>
        </row>
        <row r="573">
          <cell r="B573" t="str">
            <v>의류</v>
          </cell>
          <cell r="F573" t="str">
            <v>PNXV201</v>
          </cell>
          <cell r="G573">
            <v>39</v>
          </cell>
          <cell r="AB573">
            <v>12</v>
          </cell>
          <cell r="AC573">
            <v>1141700</v>
          </cell>
        </row>
        <row r="574">
          <cell r="B574" t="str">
            <v>의류</v>
          </cell>
          <cell r="F574" t="str">
            <v>PSX1201</v>
          </cell>
          <cell r="G574">
            <v>39</v>
          </cell>
          <cell r="AB574">
            <v>3</v>
          </cell>
          <cell r="AC574">
            <v>151200</v>
          </cell>
        </row>
        <row r="575">
          <cell r="B575" t="str">
            <v>의류</v>
          </cell>
          <cell r="F575" t="str">
            <v>PSX1202</v>
          </cell>
          <cell r="G575">
            <v>27</v>
          </cell>
          <cell r="AB575">
            <v>4</v>
          </cell>
          <cell r="AC575">
            <v>181300</v>
          </cell>
        </row>
        <row r="576">
          <cell r="B576" t="str">
            <v>의류</v>
          </cell>
          <cell r="F576" t="str">
            <v>PSX1202</v>
          </cell>
          <cell r="G576">
            <v>63</v>
          </cell>
        </row>
        <row r="577">
          <cell r="B577" t="str">
            <v>의류</v>
          </cell>
          <cell r="F577" t="str">
            <v>PSX1202</v>
          </cell>
          <cell r="G577">
            <v>74</v>
          </cell>
          <cell r="AB577">
            <v>1</v>
          </cell>
          <cell r="AC577">
            <v>36750</v>
          </cell>
        </row>
        <row r="578">
          <cell r="B578" t="str">
            <v>의류</v>
          </cell>
          <cell r="F578" t="str">
            <v>PSX1203</v>
          </cell>
          <cell r="G578">
            <v>49</v>
          </cell>
          <cell r="AB578">
            <v>18</v>
          </cell>
          <cell r="AC578">
            <v>1048200</v>
          </cell>
        </row>
        <row r="579">
          <cell r="B579" t="str">
            <v>의류</v>
          </cell>
          <cell r="F579" t="str">
            <v>PSX1204</v>
          </cell>
          <cell r="G579">
            <v>63</v>
          </cell>
          <cell r="AB579">
            <v>4</v>
          </cell>
          <cell r="AC579">
            <v>212400</v>
          </cell>
        </row>
        <row r="580">
          <cell r="B580" t="str">
            <v>의류</v>
          </cell>
          <cell r="F580" t="str">
            <v>PSX1205</v>
          </cell>
          <cell r="G580">
            <v>21</v>
          </cell>
          <cell r="AB580">
            <v>1</v>
          </cell>
          <cell r="AC580">
            <v>59000</v>
          </cell>
        </row>
        <row r="581">
          <cell r="B581" t="str">
            <v>의류</v>
          </cell>
          <cell r="F581" t="str">
            <v>PSX1205</v>
          </cell>
          <cell r="G581">
            <v>53</v>
          </cell>
          <cell r="AB581">
            <v>7</v>
          </cell>
          <cell r="AC581">
            <v>381200</v>
          </cell>
        </row>
        <row r="582">
          <cell r="B582" t="str">
            <v>의류</v>
          </cell>
          <cell r="F582" t="str">
            <v>PSX1206</v>
          </cell>
          <cell r="G582">
            <v>39</v>
          </cell>
          <cell r="AB582">
            <v>1</v>
          </cell>
          <cell r="AC582">
            <v>59000</v>
          </cell>
        </row>
        <row r="583">
          <cell r="B583" t="str">
            <v>의류</v>
          </cell>
          <cell r="F583" t="str">
            <v>PTX1101</v>
          </cell>
          <cell r="G583">
            <v>22</v>
          </cell>
          <cell r="AB583">
            <v>-1</v>
          </cell>
          <cell r="AC583">
            <v>-39000</v>
          </cell>
        </row>
        <row r="584">
          <cell r="B584" t="str">
            <v>의류</v>
          </cell>
          <cell r="F584" t="str">
            <v>PTX1101</v>
          </cell>
          <cell r="G584">
            <v>49</v>
          </cell>
          <cell r="AB584">
            <v>1</v>
          </cell>
          <cell r="AC584">
            <v>39000</v>
          </cell>
        </row>
        <row r="585">
          <cell r="B585" t="str">
            <v>의류</v>
          </cell>
          <cell r="F585" t="str">
            <v>PTX1102</v>
          </cell>
          <cell r="G585">
            <v>49</v>
          </cell>
          <cell r="AB585">
            <v>1</v>
          </cell>
          <cell r="AC585">
            <v>59000</v>
          </cell>
        </row>
        <row r="586">
          <cell r="B586" t="str">
            <v>의류</v>
          </cell>
          <cell r="F586" t="str">
            <v>PTX1102</v>
          </cell>
          <cell r="G586">
            <v>61</v>
          </cell>
        </row>
        <row r="587">
          <cell r="B587" t="str">
            <v>의류</v>
          </cell>
          <cell r="F587" t="str">
            <v>PTX1103</v>
          </cell>
          <cell r="G587">
            <v>49</v>
          </cell>
          <cell r="AB587">
            <v>1</v>
          </cell>
          <cell r="AC587">
            <v>62100</v>
          </cell>
        </row>
        <row r="588">
          <cell r="B588" t="str">
            <v>의류</v>
          </cell>
          <cell r="F588" t="str">
            <v>PTX1201</v>
          </cell>
          <cell r="G588">
            <v>26</v>
          </cell>
          <cell r="AB588">
            <v>6</v>
          </cell>
          <cell r="AC588">
            <v>284200</v>
          </cell>
        </row>
        <row r="589">
          <cell r="B589" t="str">
            <v>의류</v>
          </cell>
          <cell r="F589" t="str">
            <v>PTX1201</v>
          </cell>
          <cell r="G589">
            <v>49</v>
          </cell>
          <cell r="AB589">
            <v>8</v>
          </cell>
          <cell r="AC589">
            <v>387100</v>
          </cell>
        </row>
        <row r="590">
          <cell r="B590" t="str">
            <v>의류</v>
          </cell>
          <cell r="F590" t="str">
            <v>PTX1202</v>
          </cell>
          <cell r="G590">
            <v>37</v>
          </cell>
          <cell r="AB590">
            <v>3</v>
          </cell>
          <cell r="AC590">
            <v>141100</v>
          </cell>
        </row>
        <row r="591">
          <cell r="B591" t="str">
            <v>의류</v>
          </cell>
          <cell r="F591" t="str">
            <v>PTX1202</v>
          </cell>
          <cell r="G591">
            <v>49</v>
          </cell>
          <cell r="AB591">
            <v>1</v>
          </cell>
          <cell r="AC591">
            <v>33100</v>
          </cell>
        </row>
        <row r="592">
          <cell r="B592" t="str">
            <v>의류</v>
          </cell>
          <cell r="F592" t="str">
            <v>PTX1203</v>
          </cell>
          <cell r="G592">
            <v>31</v>
          </cell>
          <cell r="AB592">
            <v>2</v>
          </cell>
          <cell r="AC592">
            <v>124200</v>
          </cell>
        </row>
        <row r="593">
          <cell r="B593" t="str">
            <v>의류</v>
          </cell>
          <cell r="F593" t="str">
            <v>PTX1204</v>
          </cell>
          <cell r="G593">
            <v>49</v>
          </cell>
          <cell r="AB593">
            <v>8</v>
          </cell>
          <cell r="AC593">
            <v>372400</v>
          </cell>
        </row>
        <row r="594">
          <cell r="B594" t="str">
            <v>의류</v>
          </cell>
          <cell r="F594" t="str">
            <v>PTX1205</v>
          </cell>
          <cell r="G594">
            <v>37</v>
          </cell>
          <cell r="AB594">
            <v>8</v>
          </cell>
          <cell r="AC594">
            <v>300300</v>
          </cell>
        </row>
        <row r="595">
          <cell r="B595" t="str">
            <v>의류</v>
          </cell>
          <cell r="F595" t="str">
            <v>PTX1205</v>
          </cell>
          <cell r="G595">
            <v>39</v>
          </cell>
          <cell r="AB595">
            <v>6</v>
          </cell>
          <cell r="AC595">
            <v>210100</v>
          </cell>
        </row>
        <row r="596">
          <cell r="B596" t="str">
            <v>의류</v>
          </cell>
          <cell r="F596" t="str">
            <v>PTX1206</v>
          </cell>
          <cell r="G596">
            <v>26</v>
          </cell>
          <cell r="AB596">
            <v>16</v>
          </cell>
          <cell r="AC596">
            <v>568900</v>
          </cell>
        </row>
        <row r="597">
          <cell r="B597" t="str">
            <v>의류</v>
          </cell>
          <cell r="F597" t="str">
            <v>PTX1206</v>
          </cell>
          <cell r="G597">
            <v>46</v>
          </cell>
          <cell r="AB597">
            <v>46</v>
          </cell>
          <cell r="AC597">
            <v>1731600</v>
          </cell>
        </row>
        <row r="598">
          <cell r="B598" t="str">
            <v>의류</v>
          </cell>
          <cell r="F598" t="str">
            <v>PTX1206</v>
          </cell>
          <cell r="G598">
            <v>76</v>
          </cell>
          <cell r="AB598">
            <v>19</v>
          </cell>
          <cell r="AC598">
            <v>697600</v>
          </cell>
        </row>
        <row r="599">
          <cell r="B599" t="str">
            <v>의류</v>
          </cell>
          <cell r="F599" t="str">
            <v>PTX1207</v>
          </cell>
          <cell r="G599">
            <v>31</v>
          </cell>
          <cell r="AB599">
            <v>5</v>
          </cell>
          <cell r="AC599">
            <v>245000</v>
          </cell>
        </row>
        <row r="600">
          <cell r="B600" t="str">
            <v>의류</v>
          </cell>
          <cell r="F600" t="str">
            <v>PTX1207</v>
          </cell>
          <cell r="G600">
            <v>72</v>
          </cell>
          <cell r="AB600">
            <v>1</v>
          </cell>
          <cell r="AC600">
            <v>44100</v>
          </cell>
        </row>
        <row r="601">
          <cell r="B601" t="str">
            <v>의류</v>
          </cell>
          <cell r="F601" t="str">
            <v>PTX1208</v>
          </cell>
          <cell r="G601">
            <v>26</v>
          </cell>
          <cell r="AB601">
            <v>2</v>
          </cell>
          <cell r="AC601">
            <v>106200</v>
          </cell>
        </row>
        <row r="602">
          <cell r="B602" t="str">
            <v>의류</v>
          </cell>
          <cell r="F602" t="str">
            <v>PTX1208</v>
          </cell>
          <cell r="G602">
            <v>49</v>
          </cell>
          <cell r="AB602">
            <v>7</v>
          </cell>
          <cell r="AC602">
            <v>365300</v>
          </cell>
        </row>
        <row r="603">
          <cell r="B603" t="str">
            <v>의류</v>
          </cell>
          <cell r="F603" t="str">
            <v>PTX1209</v>
          </cell>
          <cell r="G603">
            <v>44</v>
          </cell>
          <cell r="AB603">
            <v>5</v>
          </cell>
          <cell r="AC603">
            <v>195400</v>
          </cell>
        </row>
        <row r="604">
          <cell r="B604" t="str">
            <v>의류</v>
          </cell>
          <cell r="F604" t="str">
            <v>PTX1209</v>
          </cell>
          <cell r="G604">
            <v>74</v>
          </cell>
          <cell r="AB604">
            <v>2</v>
          </cell>
          <cell r="AC604">
            <v>63100</v>
          </cell>
        </row>
        <row r="605">
          <cell r="B605" t="str">
            <v>의류</v>
          </cell>
          <cell r="F605" t="str">
            <v>PTX5101</v>
          </cell>
          <cell r="G605">
            <v>49</v>
          </cell>
          <cell r="AB605">
            <v>2</v>
          </cell>
          <cell r="AC605">
            <v>218000</v>
          </cell>
        </row>
        <row r="606">
          <cell r="B606" t="str">
            <v>의류</v>
          </cell>
          <cell r="F606" t="str">
            <v>PTX6201</v>
          </cell>
          <cell r="G606">
            <v>28</v>
          </cell>
          <cell r="AB606">
            <v>6</v>
          </cell>
          <cell r="AC606">
            <v>789300</v>
          </cell>
        </row>
        <row r="607">
          <cell r="B607" t="str">
            <v>의류</v>
          </cell>
          <cell r="F607" t="str">
            <v>PTX6201</v>
          </cell>
          <cell r="G607">
            <v>49</v>
          </cell>
          <cell r="AB607">
            <v>6</v>
          </cell>
          <cell r="AC607">
            <v>729100</v>
          </cell>
        </row>
        <row r="608">
          <cell r="B608" t="str">
            <v>의류</v>
          </cell>
          <cell r="F608" t="str">
            <v>PTX7101</v>
          </cell>
          <cell r="G608">
            <v>39</v>
          </cell>
          <cell r="AB608">
            <v>2</v>
          </cell>
          <cell r="AC608">
            <v>202300</v>
          </cell>
        </row>
        <row r="609">
          <cell r="B609" t="str">
            <v>의류</v>
          </cell>
          <cell r="F609" t="str">
            <v>PTX7101</v>
          </cell>
          <cell r="G609">
            <v>54</v>
          </cell>
          <cell r="AB609">
            <v>1</v>
          </cell>
          <cell r="AC609">
            <v>119000</v>
          </cell>
        </row>
        <row r="610">
          <cell r="B610" t="str">
            <v>의류</v>
          </cell>
          <cell r="F610" t="str">
            <v>PTX7102</v>
          </cell>
          <cell r="G610">
            <v>34</v>
          </cell>
        </row>
        <row r="611">
          <cell r="B611" t="str">
            <v>의류</v>
          </cell>
          <cell r="F611" t="str">
            <v>PTX7103</v>
          </cell>
          <cell r="G611">
            <v>45</v>
          </cell>
          <cell r="AB611">
            <v>3</v>
          </cell>
          <cell r="AC611">
            <v>257100</v>
          </cell>
        </row>
        <row r="612">
          <cell r="B612" t="str">
            <v>의류</v>
          </cell>
          <cell r="F612" t="str">
            <v>PTX7104</v>
          </cell>
          <cell r="G612">
            <v>39</v>
          </cell>
          <cell r="AB612">
            <v>2</v>
          </cell>
          <cell r="AC612">
            <v>106200</v>
          </cell>
        </row>
        <row r="613">
          <cell r="B613" t="str">
            <v>의류</v>
          </cell>
          <cell r="F613" t="str">
            <v>PTX7201</v>
          </cell>
          <cell r="G613">
            <v>31</v>
          </cell>
          <cell r="AB613">
            <v>4</v>
          </cell>
          <cell r="AC613">
            <v>326200</v>
          </cell>
        </row>
        <row r="614">
          <cell r="B614" t="str">
            <v>의류</v>
          </cell>
          <cell r="F614" t="str">
            <v>PTX7201</v>
          </cell>
          <cell r="G614">
            <v>43</v>
          </cell>
          <cell r="AB614">
            <v>6</v>
          </cell>
          <cell r="AC614">
            <v>474300</v>
          </cell>
        </row>
        <row r="615">
          <cell r="B615" t="str">
            <v>의류</v>
          </cell>
          <cell r="F615" t="str">
            <v>PTX7202</v>
          </cell>
          <cell r="G615">
            <v>39</v>
          </cell>
          <cell r="AB615">
            <v>13</v>
          </cell>
          <cell r="AC615">
            <v>962000</v>
          </cell>
        </row>
        <row r="616">
          <cell r="B616" t="str">
            <v>의류</v>
          </cell>
          <cell r="F616" t="str">
            <v>PTX7202</v>
          </cell>
          <cell r="G616">
            <v>53</v>
          </cell>
          <cell r="AB616">
            <v>10</v>
          </cell>
          <cell r="AC616">
            <v>740000</v>
          </cell>
        </row>
        <row r="617">
          <cell r="B617" t="str">
            <v>의류</v>
          </cell>
          <cell r="F617" t="str">
            <v>PTX7203</v>
          </cell>
          <cell r="G617">
            <v>39</v>
          </cell>
          <cell r="AB617">
            <v>23</v>
          </cell>
          <cell r="AC617">
            <v>1223400</v>
          </cell>
        </row>
        <row r="618">
          <cell r="B618" t="str">
            <v>의류</v>
          </cell>
          <cell r="F618" t="str">
            <v>PTX7204</v>
          </cell>
          <cell r="G618">
            <v>43</v>
          </cell>
          <cell r="AB618">
            <v>6</v>
          </cell>
          <cell r="AC618">
            <v>278600</v>
          </cell>
        </row>
        <row r="619">
          <cell r="B619" t="str">
            <v>의류</v>
          </cell>
          <cell r="F619" t="str">
            <v>PTX7204</v>
          </cell>
          <cell r="G619">
            <v>45</v>
          </cell>
          <cell r="AB619">
            <v>8</v>
          </cell>
          <cell r="AC619">
            <v>385800</v>
          </cell>
        </row>
        <row r="620">
          <cell r="B620" t="str">
            <v>의류</v>
          </cell>
          <cell r="F620" t="str">
            <v>PTX7204</v>
          </cell>
          <cell r="G620">
            <v>49</v>
          </cell>
          <cell r="AB620">
            <v>12</v>
          </cell>
          <cell r="AC620">
            <v>566400</v>
          </cell>
        </row>
        <row r="621">
          <cell r="B621" t="str">
            <v>의류</v>
          </cell>
          <cell r="F621" t="str">
            <v>PTX7205</v>
          </cell>
          <cell r="G621">
            <v>31</v>
          </cell>
          <cell r="AB621">
            <v>4</v>
          </cell>
          <cell r="AC621">
            <v>213200</v>
          </cell>
        </row>
        <row r="622">
          <cell r="B622" t="str">
            <v>의류</v>
          </cell>
          <cell r="F622" t="str">
            <v>PTX8101</v>
          </cell>
          <cell r="G622">
            <v>27</v>
          </cell>
          <cell r="AB622">
            <v>3</v>
          </cell>
          <cell r="AC622">
            <v>297000</v>
          </cell>
        </row>
        <row r="623">
          <cell r="B623" t="str">
            <v>의류</v>
          </cell>
          <cell r="F623" t="str">
            <v>PTX8101</v>
          </cell>
          <cell r="G623">
            <v>71</v>
          </cell>
          <cell r="AB623">
            <v>2</v>
          </cell>
          <cell r="AC623">
            <v>218000</v>
          </cell>
        </row>
        <row r="624">
          <cell r="B624" t="str">
            <v>의류</v>
          </cell>
          <cell r="F624" t="str">
            <v>PTX8102</v>
          </cell>
          <cell r="G624">
            <v>73</v>
          </cell>
          <cell r="AB624">
            <v>2</v>
          </cell>
          <cell r="AC624">
            <v>188100</v>
          </cell>
        </row>
        <row r="625">
          <cell r="B625" t="str">
            <v>의류</v>
          </cell>
          <cell r="F625" t="str">
            <v>PTX8201</v>
          </cell>
          <cell r="G625">
            <v>31</v>
          </cell>
          <cell r="AB625">
            <v>9</v>
          </cell>
          <cell r="AC625">
            <v>627600</v>
          </cell>
        </row>
        <row r="626">
          <cell r="B626" t="str">
            <v>의류</v>
          </cell>
          <cell r="F626" t="str">
            <v>PTX8202</v>
          </cell>
          <cell r="G626">
            <v>49</v>
          </cell>
          <cell r="AB626">
            <v>20</v>
          </cell>
          <cell r="AC626">
            <v>1524400</v>
          </cell>
        </row>
        <row r="627">
          <cell r="B627" t="str">
            <v>의류</v>
          </cell>
          <cell r="F627" t="str">
            <v>PTX8203</v>
          </cell>
          <cell r="G627">
            <v>37</v>
          </cell>
          <cell r="AB627">
            <v>4</v>
          </cell>
          <cell r="AC627">
            <v>335100</v>
          </cell>
        </row>
        <row r="628">
          <cell r="B628" t="str">
            <v>의류</v>
          </cell>
          <cell r="F628" t="str">
            <v>PTX8203</v>
          </cell>
          <cell r="G628">
            <v>67</v>
          </cell>
          <cell r="AB628">
            <v>5</v>
          </cell>
          <cell r="AC628">
            <v>474100</v>
          </cell>
        </row>
        <row r="629">
          <cell r="B629" t="str">
            <v>의류</v>
          </cell>
          <cell r="F629" t="str">
            <v>PTX8204</v>
          </cell>
          <cell r="G629">
            <v>39</v>
          </cell>
          <cell r="AB629">
            <v>6</v>
          </cell>
          <cell r="AC629">
            <v>427200</v>
          </cell>
        </row>
        <row r="630">
          <cell r="B630" t="str">
            <v>의류</v>
          </cell>
          <cell r="F630" t="str">
            <v>PTX8205</v>
          </cell>
          <cell r="G630">
            <v>49</v>
          </cell>
          <cell r="AB630">
            <v>7</v>
          </cell>
          <cell r="AC630">
            <v>567400</v>
          </cell>
        </row>
        <row r="631">
          <cell r="B631" t="str">
            <v>의류</v>
          </cell>
          <cell r="F631" t="str">
            <v>PTX8206</v>
          </cell>
          <cell r="G631">
            <v>73</v>
          </cell>
          <cell r="AB631">
            <v>10</v>
          </cell>
          <cell r="AC631">
            <v>930400</v>
          </cell>
        </row>
        <row r="632">
          <cell r="B632" t="str">
            <v>의류</v>
          </cell>
          <cell r="F632" t="str">
            <v>PTX9101</v>
          </cell>
          <cell r="G632">
            <v>37</v>
          </cell>
          <cell r="AB632">
            <v>2</v>
          </cell>
          <cell r="AC632">
            <v>220600</v>
          </cell>
        </row>
        <row r="633">
          <cell r="B633" t="str">
            <v>의류</v>
          </cell>
          <cell r="F633" t="str">
            <v>PTX9101</v>
          </cell>
          <cell r="G633">
            <v>49</v>
          </cell>
          <cell r="AB633">
            <v>-1</v>
          </cell>
          <cell r="AC633">
            <v>-179000</v>
          </cell>
        </row>
        <row r="634">
          <cell r="B634" t="str">
            <v>의류</v>
          </cell>
          <cell r="F634" t="str">
            <v>PTX9201</v>
          </cell>
          <cell r="G634">
            <v>49</v>
          </cell>
          <cell r="AB634">
            <v>2</v>
          </cell>
          <cell r="AC634">
            <v>232200</v>
          </cell>
        </row>
        <row r="635">
          <cell r="B635" t="str">
            <v>의류</v>
          </cell>
          <cell r="F635" t="str">
            <v>PTXC101</v>
          </cell>
          <cell r="G635">
            <v>26</v>
          </cell>
        </row>
        <row r="636">
          <cell r="B636" t="str">
            <v>의류</v>
          </cell>
          <cell r="F636" t="str">
            <v>PTXC101</v>
          </cell>
          <cell r="G636">
            <v>49</v>
          </cell>
        </row>
        <row r="637">
          <cell r="B637" t="str">
            <v>의류</v>
          </cell>
          <cell r="F637" t="str">
            <v>PTXT101</v>
          </cell>
          <cell r="G637">
            <v>26</v>
          </cell>
          <cell r="AB637">
            <v>1</v>
          </cell>
          <cell r="AC637">
            <v>129000</v>
          </cell>
        </row>
        <row r="638">
          <cell r="B638" t="str">
            <v>의류</v>
          </cell>
          <cell r="F638" t="str">
            <v>PTXT101</v>
          </cell>
          <cell r="G638">
            <v>41</v>
          </cell>
          <cell r="AB638">
            <v>1</v>
          </cell>
          <cell r="AC638">
            <v>129000</v>
          </cell>
        </row>
        <row r="639">
          <cell r="B639" t="str">
            <v>의류</v>
          </cell>
          <cell r="F639" t="str">
            <v>PTXT102</v>
          </cell>
          <cell r="G639">
            <v>49</v>
          </cell>
          <cell r="AC639">
            <v>-37800</v>
          </cell>
        </row>
        <row r="640">
          <cell r="B640" t="str">
            <v>의류</v>
          </cell>
          <cell r="F640" t="str">
            <v>PTXT201</v>
          </cell>
          <cell r="G640">
            <v>26</v>
          </cell>
          <cell r="AB640">
            <v>12</v>
          </cell>
          <cell r="AC640">
            <v>1730300</v>
          </cell>
        </row>
        <row r="641">
          <cell r="B641" t="str">
            <v>의류</v>
          </cell>
          <cell r="F641" t="str">
            <v>PTXV101</v>
          </cell>
          <cell r="G641">
            <v>26</v>
          </cell>
          <cell r="AB641">
            <v>3</v>
          </cell>
          <cell r="AC641">
            <v>327000</v>
          </cell>
        </row>
        <row r="642">
          <cell r="B642" t="str">
            <v>의류</v>
          </cell>
          <cell r="F642" t="str">
            <v>PTXV101</v>
          </cell>
          <cell r="G642">
            <v>49</v>
          </cell>
          <cell r="AB642">
            <v>1</v>
          </cell>
          <cell r="AC642">
            <v>109000</v>
          </cell>
        </row>
      </sheetData>
      <sheetData sheetId="6">
        <row r="2">
          <cell r="D2" t="str">
            <v>I0Y1101</v>
          </cell>
          <cell r="E2">
            <v>22</v>
          </cell>
          <cell r="AB2">
            <v>43167</v>
          </cell>
        </row>
        <row r="3">
          <cell r="D3" t="str">
            <v>I0Y1101</v>
          </cell>
          <cell r="E3">
            <v>31</v>
          </cell>
          <cell r="AB3">
            <v>43152</v>
          </cell>
        </row>
        <row r="4">
          <cell r="D4" t="str">
            <v>I0Y1101</v>
          </cell>
          <cell r="E4">
            <v>34</v>
          </cell>
          <cell r="AB4">
            <v>43152</v>
          </cell>
        </row>
        <row r="5">
          <cell r="D5" t="str">
            <v>I0Y1101</v>
          </cell>
          <cell r="E5">
            <v>49</v>
          </cell>
          <cell r="AB5">
            <v>43167</v>
          </cell>
        </row>
        <row r="6">
          <cell r="D6" t="str">
            <v>I0Y1101</v>
          </cell>
          <cell r="E6">
            <v>76</v>
          </cell>
          <cell r="AB6">
            <v>43167</v>
          </cell>
        </row>
        <row r="7">
          <cell r="D7" t="str">
            <v>5건</v>
          </cell>
          <cell r="E7" t="str">
            <v>평균단가</v>
          </cell>
        </row>
        <row r="10">
          <cell r="D10" t="str">
            <v>I0Y1102</v>
          </cell>
          <cell r="E10">
            <v>22</v>
          </cell>
          <cell r="AB10">
            <v>43140</v>
          </cell>
        </row>
        <row r="11">
          <cell r="D11" t="str">
            <v>I0Y1102</v>
          </cell>
          <cell r="E11">
            <v>76</v>
          </cell>
          <cell r="AB11">
            <v>43140</v>
          </cell>
        </row>
        <row r="12">
          <cell r="D12" t="str">
            <v>2건</v>
          </cell>
          <cell r="E12" t="str">
            <v>평균단가</v>
          </cell>
        </row>
        <row r="15">
          <cell r="D15" t="str">
            <v>I0Y1103</v>
          </cell>
          <cell r="E15">
            <v>34</v>
          </cell>
          <cell r="AB15">
            <v>43158</v>
          </cell>
        </row>
        <row r="16">
          <cell r="D16" t="str">
            <v>I0Y1103</v>
          </cell>
          <cell r="E16">
            <v>49</v>
          </cell>
          <cell r="AB16">
            <v>43159</v>
          </cell>
        </row>
        <row r="17">
          <cell r="D17" t="str">
            <v>2건</v>
          </cell>
          <cell r="E17" t="str">
            <v>평균단가</v>
          </cell>
        </row>
        <row r="20">
          <cell r="D20" t="str">
            <v>I0Y1104</v>
          </cell>
          <cell r="E20">
            <v>49</v>
          </cell>
          <cell r="AB20">
            <v>43133</v>
          </cell>
        </row>
        <row r="21">
          <cell r="D21" t="str">
            <v>I0Y1104</v>
          </cell>
          <cell r="E21">
            <v>63</v>
          </cell>
          <cell r="AB21">
            <v>43133</v>
          </cell>
        </row>
        <row r="22">
          <cell r="D22" t="str">
            <v>2건</v>
          </cell>
          <cell r="E22" t="str">
            <v>평균단가</v>
          </cell>
        </row>
        <row r="25">
          <cell r="D25" t="str">
            <v>I0Y1105</v>
          </cell>
          <cell r="E25">
            <v>32</v>
          </cell>
          <cell r="AB25">
            <v>43143</v>
          </cell>
        </row>
        <row r="26">
          <cell r="D26" t="str">
            <v>I0Y1105</v>
          </cell>
          <cell r="E26">
            <v>49</v>
          </cell>
          <cell r="AB26">
            <v>43143</v>
          </cell>
        </row>
        <row r="27">
          <cell r="D27" t="str">
            <v>2건</v>
          </cell>
          <cell r="E27" t="str">
            <v>평균단가</v>
          </cell>
        </row>
        <row r="30">
          <cell r="D30" t="str">
            <v>I0Y1106</v>
          </cell>
          <cell r="E30">
            <v>34</v>
          </cell>
          <cell r="AB30">
            <v>43158</v>
          </cell>
        </row>
        <row r="31">
          <cell r="D31" t="str">
            <v>I0Y1106</v>
          </cell>
          <cell r="E31">
            <v>73</v>
          </cell>
          <cell r="AB31">
            <v>43158</v>
          </cell>
        </row>
        <row r="32">
          <cell r="D32" t="str">
            <v>2건</v>
          </cell>
          <cell r="E32" t="str">
            <v>평균단가</v>
          </cell>
        </row>
        <row r="35">
          <cell r="D35" t="str">
            <v>I0Y1107</v>
          </cell>
          <cell r="E35">
            <v>34</v>
          </cell>
          <cell r="AB35">
            <v>43140</v>
          </cell>
        </row>
        <row r="36">
          <cell r="D36" t="str">
            <v>I0Y1107</v>
          </cell>
          <cell r="E36">
            <v>76</v>
          </cell>
          <cell r="AB36">
            <v>43140</v>
          </cell>
        </row>
        <row r="37">
          <cell r="D37" t="str">
            <v>2건</v>
          </cell>
          <cell r="E37" t="str">
            <v>평균단가</v>
          </cell>
        </row>
        <row r="40">
          <cell r="D40" t="str">
            <v>I0Y1108</v>
          </cell>
          <cell r="E40">
            <v>22</v>
          </cell>
          <cell r="AB40">
            <v>43143</v>
          </cell>
        </row>
        <row r="41">
          <cell r="D41" t="str">
            <v>I0Y1108</v>
          </cell>
          <cell r="E41">
            <v>49</v>
          </cell>
          <cell r="AB41">
            <v>43143</v>
          </cell>
        </row>
        <row r="42">
          <cell r="D42" t="str">
            <v>2건</v>
          </cell>
          <cell r="E42" t="str">
            <v>평균단가</v>
          </cell>
        </row>
        <row r="45">
          <cell r="D45" t="str">
            <v>I0Y1201</v>
          </cell>
          <cell r="E45">
            <v>22</v>
          </cell>
          <cell r="AB45">
            <v>43194</v>
          </cell>
        </row>
        <row r="46">
          <cell r="D46" t="str">
            <v>I0Y1201</v>
          </cell>
          <cell r="E46">
            <v>31</v>
          </cell>
          <cell r="AB46">
            <v>43215</v>
          </cell>
        </row>
        <row r="47">
          <cell r="D47" t="str">
            <v>I0Y1201</v>
          </cell>
          <cell r="E47">
            <v>34</v>
          </cell>
          <cell r="AB47">
            <v>43194</v>
          </cell>
        </row>
        <row r="48">
          <cell r="D48" t="str">
            <v>I0Y1201</v>
          </cell>
          <cell r="E48">
            <v>39</v>
          </cell>
          <cell r="AB48">
            <v>43215</v>
          </cell>
        </row>
        <row r="49">
          <cell r="D49" t="str">
            <v>I0Y1201</v>
          </cell>
          <cell r="E49">
            <v>43</v>
          </cell>
          <cell r="AB49">
            <v>43215</v>
          </cell>
        </row>
        <row r="50">
          <cell r="D50" t="str">
            <v>I0Y1201</v>
          </cell>
          <cell r="E50">
            <v>49</v>
          </cell>
          <cell r="AB50">
            <v>43215</v>
          </cell>
        </row>
        <row r="51">
          <cell r="D51" t="str">
            <v>I0Y1201</v>
          </cell>
          <cell r="E51">
            <v>73</v>
          </cell>
          <cell r="AB51">
            <v>43215</v>
          </cell>
        </row>
        <row r="52">
          <cell r="D52" t="str">
            <v>I0Y1201</v>
          </cell>
          <cell r="E52">
            <v>76</v>
          </cell>
          <cell r="AB52">
            <v>43215</v>
          </cell>
        </row>
        <row r="53">
          <cell r="D53" t="str">
            <v>8건</v>
          </cell>
          <cell r="E53" t="str">
            <v>평균단가</v>
          </cell>
        </row>
        <row r="56">
          <cell r="D56" t="str">
            <v>I0Y1202</v>
          </cell>
          <cell r="E56">
            <v>31</v>
          </cell>
          <cell r="AB56">
            <v>43189</v>
          </cell>
        </row>
        <row r="57">
          <cell r="D57" t="str">
            <v>I0Y1202</v>
          </cell>
          <cell r="E57">
            <v>49</v>
          </cell>
          <cell r="AB57">
            <v>43196</v>
          </cell>
        </row>
        <row r="58">
          <cell r="D58" t="str">
            <v>2건</v>
          </cell>
          <cell r="E58" t="str">
            <v>평균단가</v>
          </cell>
        </row>
        <row r="61">
          <cell r="D61" t="str">
            <v>I0Y1203</v>
          </cell>
          <cell r="E61">
            <v>22</v>
          </cell>
          <cell r="AB61">
            <v>43194</v>
          </cell>
        </row>
        <row r="62">
          <cell r="D62" t="str">
            <v>I0Y1203</v>
          </cell>
          <cell r="E62">
            <v>34</v>
          </cell>
          <cell r="AB62">
            <v>43194</v>
          </cell>
        </row>
        <row r="63">
          <cell r="D63" t="str">
            <v>I0Y1203</v>
          </cell>
          <cell r="E63">
            <v>49</v>
          </cell>
          <cell r="AB63">
            <v>43194</v>
          </cell>
        </row>
        <row r="64">
          <cell r="D64" t="str">
            <v>3건</v>
          </cell>
          <cell r="E64" t="str">
            <v>평균단가</v>
          </cell>
        </row>
        <row r="67">
          <cell r="D67" t="str">
            <v>I0Y1204</v>
          </cell>
          <cell r="E67">
            <v>49</v>
          </cell>
          <cell r="AB67">
            <v>43222</v>
          </cell>
        </row>
        <row r="68">
          <cell r="D68" t="str">
            <v>I0Y1204</v>
          </cell>
          <cell r="E68">
            <v>66</v>
          </cell>
          <cell r="AB68">
            <v>43222</v>
          </cell>
        </row>
        <row r="69">
          <cell r="D69" t="str">
            <v>2건</v>
          </cell>
          <cell r="E69" t="str">
            <v>평균단가</v>
          </cell>
        </row>
        <row r="72">
          <cell r="D72" t="str">
            <v>I0Y1205</v>
          </cell>
          <cell r="E72">
            <v>31</v>
          </cell>
          <cell r="AB72">
            <v>43180</v>
          </cell>
        </row>
        <row r="73">
          <cell r="D73" t="str">
            <v>I0Y1205</v>
          </cell>
          <cell r="E73">
            <v>34</v>
          </cell>
          <cell r="AB73">
            <v>43180</v>
          </cell>
        </row>
        <row r="74">
          <cell r="D74" t="str">
            <v>2건</v>
          </cell>
          <cell r="E74" t="str">
            <v>평균단가</v>
          </cell>
        </row>
        <row r="77">
          <cell r="D77" t="str">
            <v>I0Y1206</v>
          </cell>
          <cell r="E77">
            <v>31</v>
          </cell>
          <cell r="AB77">
            <v>43179</v>
          </cell>
        </row>
        <row r="78">
          <cell r="D78" t="str">
            <v>I0Y1206</v>
          </cell>
          <cell r="E78">
            <v>39</v>
          </cell>
          <cell r="AB78">
            <v>43179</v>
          </cell>
        </row>
        <row r="79">
          <cell r="D79" t="str">
            <v>2건</v>
          </cell>
          <cell r="E79" t="str">
            <v>평균단가</v>
          </cell>
        </row>
        <row r="82">
          <cell r="D82" t="str">
            <v>I0Y1207</v>
          </cell>
          <cell r="E82">
            <v>43</v>
          </cell>
          <cell r="AB82">
            <v>43196</v>
          </cell>
        </row>
        <row r="83">
          <cell r="D83" t="str">
            <v>I0Y1207</v>
          </cell>
          <cell r="E83">
            <v>63</v>
          </cell>
          <cell r="AB83">
            <v>43189</v>
          </cell>
        </row>
        <row r="84">
          <cell r="D84" t="str">
            <v>I0Y1207</v>
          </cell>
          <cell r="E84">
            <v>66</v>
          </cell>
          <cell r="AB84">
            <v>43203</v>
          </cell>
        </row>
        <row r="85">
          <cell r="D85" t="str">
            <v>3건</v>
          </cell>
          <cell r="E85" t="str">
            <v>평균단가</v>
          </cell>
        </row>
        <row r="88">
          <cell r="D88" t="str">
            <v>I0Y1208</v>
          </cell>
          <cell r="E88">
            <v>31</v>
          </cell>
          <cell r="AB88">
            <v>43222</v>
          </cell>
        </row>
        <row r="89">
          <cell r="D89" t="str">
            <v>I0Y1208</v>
          </cell>
          <cell r="E89">
            <v>34</v>
          </cell>
          <cell r="AB89">
            <v>43222</v>
          </cell>
        </row>
        <row r="90">
          <cell r="D90" t="str">
            <v>I0Y1208</v>
          </cell>
          <cell r="E90">
            <v>49</v>
          </cell>
          <cell r="AB90">
            <v>43222</v>
          </cell>
        </row>
        <row r="91">
          <cell r="D91" t="str">
            <v>3건</v>
          </cell>
          <cell r="E91" t="str">
            <v>평균단가</v>
          </cell>
        </row>
        <row r="94">
          <cell r="D94" t="str">
            <v>I0Y1209</v>
          </cell>
          <cell r="E94">
            <v>43</v>
          </cell>
          <cell r="AB94">
            <v>43230</v>
          </cell>
        </row>
        <row r="95">
          <cell r="D95" t="str">
            <v>I0Y1209</v>
          </cell>
          <cell r="E95">
            <v>49</v>
          </cell>
          <cell r="AB95">
            <v>43230</v>
          </cell>
        </row>
        <row r="96">
          <cell r="D96" t="str">
            <v>2건</v>
          </cell>
          <cell r="E96" t="str">
            <v>평균단가</v>
          </cell>
        </row>
        <row r="99">
          <cell r="D99" t="str">
            <v>I0Y1210</v>
          </cell>
          <cell r="E99">
            <v>49</v>
          </cell>
          <cell r="AB99">
            <v>43179</v>
          </cell>
        </row>
        <row r="100">
          <cell r="D100" t="str">
            <v>I0Y1210</v>
          </cell>
          <cell r="E100">
            <v>73</v>
          </cell>
          <cell r="AB100">
            <v>43179</v>
          </cell>
        </row>
        <row r="101">
          <cell r="D101" t="str">
            <v>2건</v>
          </cell>
          <cell r="E101" t="str">
            <v>평균단가</v>
          </cell>
        </row>
        <row r="104">
          <cell r="D104" t="str">
            <v>I0Y1211</v>
          </cell>
          <cell r="E104">
            <v>22</v>
          </cell>
          <cell r="AB104">
            <v>43189</v>
          </cell>
        </row>
        <row r="105">
          <cell r="D105" t="str">
            <v>I0Y1211</v>
          </cell>
          <cell r="E105">
            <v>73</v>
          </cell>
          <cell r="AB105">
            <v>43189</v>
          </cell>
        </row>
        <row r="106">
          <cell r="D106" t="str">
            <v>2건</v>
          </cell>
          <cell r="E106" t="str">
            <v>평균단가</v>
          </cell>
        </row>
        <row r="109">
          <cell r="D109" t="str">
            <v>I0Y1212</v>
          </cell>
          <cell r="E109">
            <v>22</v>
          </cell>
          <cell r="AB109">
            <v>43203</v>
          </cell>
        </row>
        <row r="110">
          <cell r="D110" t="str">
            <v>I0Y1212</v>
          </cell>
          <cell r="E110">
            <v>45</v>
          </cell>
          <cell r="AB110">
            <v>43203</v>
          </cell>
        </row>
        <row r="111">
          <cell r="D111" t="str">
            <v>2건</v>
          </cell>
          <cell r="E111" t="str">
            <v>평균단가</v>
          </cell>
        </row>
        <row r="114">
          <cell r="D114" t="str">
            <v>I0Y1213</v>
          </cell>
          <cell r="E114">
            <v>49</v>
          </cell>
          <cell r="AB114">
            <v>43224</v>
          </cell>
        </row>
        <row r="115">
          <cell r="D115" t="str">
            <v>I0Y1213</v>
          </cell>
          <cell r="E115">
            <v>76</v>
          </cell>
          <cell r="AB115">
            <v>43209</v>
          </cell>
        </row>
        <row r="116">
          <cell r="D116" t="str">
            <v>2건</v>
          </cell>
          <cell r="E116" t="str">
            <v>평균단가</v>
          </cell>
        </row>
        <row r="119">
          <cell r="D119" t="str">
            <v>I0Y1214</v>
          </cell>
          <cell r="E119">
            <v>34</v>
          </cell>
          <cell r="AB119">
            <v>43203</v>
          </cell>
        </row>
        <row r="120">
          <cell r="D120" t="str">
            <v>I0Y1214</v>
          </cell>
          <cell r="E120">
            <v>73</v>
          </cell>
          <cell r="AB120">
            <v>43217</v>
          </cell>
        </row>
        <row r="121">
          <cell r="D121" t="str">
            <v>2건</v>
          </cell>
          <cell r="E121" t="str">
            <v>평균단가</v>
          </cell>
        </row>
        <row r="124">
          <cell r="D124" t="str">
            <v>I0Y1215</v>
          </cell>
          <cell r="E124">
            <v>49</v>
          </cell>
          <cell r="AB124">
            <v>43196</v>
          </cell>
        </row>
        <row r="125">
          <cell r="D125" t="str">
            <v>1건</v>
          </cell>
          <cell r="E125" t="str">
            <v>평균단가</v>
          </cell>
        </row>
        <row r="128">
          <cell r="D128" t="str">
            <v>I0Y1216</v>
          </cell>
          <cell r="E128">
            <v>31</v>
          </cell>
          <cell r="AB128">
            <v>43180</v>
          </cell>
        </row>
        <row r="129">
          <cell r="D129" t="str">
            <v>I0Y1216</v>
          </cell>
          <cell r="E129">
            <v>32</v>
          </cell>
          <cell r="AB129">
            <v>43180</v>
          </cell>
        </row>
        <row r="130">
          <cell r="D130" t="str">
            <v>I0Y1216</v>
          </cell>
          <cell r="E130">
            <v>49</v>
          </cell>
          <cell r="AB130">
            <v>43180</v>
          </cell>
        </row>
        <row r="131">
          <cell r="D131" t="str">
            <v>3건</v>
          </cell>
          <cell r="E131" t="str">
            <v>평균단가</v>
          </cell>
        </row>
        <row r="134">
          <cell r="D134" t="str">
            <v>평균단가</v>
          </cell>
          <cell r="E134">
            <v>14904</v>
          </cell>
        </row>
        <row r="137">
          <cell r="D137" t="str">
            <v>I0Y4101</v>
          </cell>
          <cell r="E137">
            <v>49</v>
          </cell>
          <cell r="AB137">
            <v>43159</v>
          </cell>
        </row>
        <row r="138">
          <cell r="D138" t="str">
            <v>1건</v>
          </cell>
          <cell r="E138" t="str">
            <v>평균단가</v>
          </cell>
        </row>
        <row r="141">
          <cell r="D141" t="str">
            <v>평균단가</v>
          </cell>
          <cell r="E141">
            <v>40637</v>
          </cell>
        </row>
        <row r="144">
          <cell r="D144" t="str">
            <v>I0Y6101</v>
          </cell>
          <cell r="E144">
            <v>22</v>
          </cell>
          <cell r="AB144">
            <v>43137</v>
          </cell>
        </row>
        <row r="145">
          <cell r="D145" t="str">
            <v>I0Y6101</v>
          </cell>
          <cell r="E145">
            <v>49</v>
          </cell>
          <cell r="AB145">
            <v>43137</v>
          </cell>
        </row>
        <row r="146">
          <cell r="D146" t="str">
            <v>2건</v>
          </cell>
          <cell r="E146" t="str">
            <v>평균단가</v>
          </cell>
        </row>
        <row r="149">
          <cell r="D149" t="str">
            <v>I0Y6102</v>
          </cell>
          <cell r="E149">
            <v>31</v>
          </cell>
          <cell r="AB149">
            <v>43143</v>
          </cell>
        </row>
        <row r="150">
          <cell r="D150" t="str">
            <v>I0Y6102</v>
          </cell>
          <cell r="E150">
            <v>49</v>
          </cell>
          <cell r="AB150">
            <v>43143</v>
          </cell>
        </row>
        <row r="151">
          <cell r="D151" t="str">
            <v>2건</v>
          </cell>
          <cell r="E151" t="str">
            <v>평균단가</v>
          </cell>
        </row>
        <row r="154">
          <cell r="D154" t="str">
            <v>I0Y6103</v>
          </cell>
          <cell r="E154">
            <v>22</v>
          </cell>
          <cell r="AB154">
            <v>43137</v>
          </cell>
        </row>
        <row r="155">
          <cell r="D155" t="str">
            <v>I0Y6103</v>
          </cell>
          <cell r="E155">
            <v>49</v>
          </cell>
          <cell r="AB155">
            <v>43137</v>
          </cell>
        </row>
        <row r="156">
          <cell r="D156" t="str">
            <v>2건</v>
          </cell>
          <cell r="E156" t="str">
            <v>평균단가</v>
          </cell>
        </row>
        <row r="159">
          <cell r="D159" t="str">
            <v>I0Y6104</v>
          </cell>
          <cell r="E159">
            <v>48</v>
          </cell>
          <cell r="AB159">
            <v>43140</v>
          </cell>
        </row>
        <row r="160">
          <cell r="D160" t="str">
            <v>I0Y6104</v>
          </cell>
          <cell r="E160">
            <v>63</v>
          </cell>
          <cell r="AB160">
            <v>43140</v>
          </cell>
        </row>
        <row r="161">
          <cell r="D161" t="str">
            <v>2건</v>
          </cell>
          <cell r="E161" t="str">
            <v>평균단가</v>
          </cell>
        </row>
        <row r="164">
          <cell r="D164" t="str">
            <v>I0Y6201</v>
          </cell>
          <cell r="E164">
            <v>22</v>
          </cell>
          <cell r="AB164">
            <v>43171</v>
          </cell>
        </row>
        <row r="165">
          <cell r="D165" t="str">
            <v>I0Y6201</v>
          </cell>
          <cell r="E165">
            <v>49</v>
          </cell>
          <cell r="AB165">
            <v>43171</v>
          </cell>
        </row>
        <row r="166">
          <cell r="D166" t="str">
            <v>I0Y6201</v>
          </cell>
          <cell r="E166">
            <v>63</v>
          </cell>
          <cell r="AB166">
            <v>43171</v>
          </cell>
        </row>
        <row r="167">
          <cell r="D167" t="str">
            <v>I0Y6201</v>
          </cell>
          <cell r="E167">
            <v>77</v>
          </cell>
          <cell r="AB167">
            <v>43171</v>
          </cell>
        </row>
        <row r="168">
          <cell r="D168" t="str">
            <v>4건</v>
          </cell>
          <cell r="E168" t="str">
            <v>평균단가</v>
          </cell>
        </row>
        <row r="171">
          <cell r="D171" t="str">
            <v>I0Y6202</v>
          </cell>
          <cell r="E171">
            <v>32</v>
          </cell>
          <cell r="AB171">
            <v>43168</v>
          </cell>
        </row>
        <row r="172">
          <cell r="D172" t="str">
            <v>I0Y6202</v>
          </cell>
          <cell r="E172">
            <v>49</v>
          </cell>
          <cell r="AB172">
            <v>43168</v>
          </cell>
        </row>
        <row r="173">
          <cell r="D173" t="str">
            <v>2건</v>
          </cell>
          <cell r="E173" t="str">
            <v>평균단가</v>
          </cell>
        </row>
        <row r="176">
          <cell r="D176" t="str">
            <v>평균단가</v>
          </cell>
          <cell r="E176">
            <v>33470</v>
          </cell>
        </row>
        <row r="179">
          <cell r="D179" t="str">
            <v>I0Y7101</v>
          </cell>
          <cell r="E179">
            <v>37</v>
          </cell>
          <cell r="AB179">
            <v>43151</v>
          </cell>
        </row>
        <row r="180">
          <cell r="D180" t="str">
            <v>I0Y7101</v>
          </cell>
          <cell r="E180">
            <v>49</v>
          </cell>
          <cell r="AB180">
            <v>43151</v>
          </cell>
        </row>
        <row r="181">
          <cell r="D181" t="str">
            <v>2건</v>
          </cell>
          <cell r="E181" t="str">
            <v>평균단가</v>
          </cell>
        </row>
        <row r="184">
          <cell r="D184" t="str">
            <v>I0Y7102</v>
          </cell>
          <cell r="E184">
            <v>37</v>
          </cell>
          <cell r="AB184">
            <v>43140</v>
          </cell>
        </row>
        <row r="185">
          <cell r="D185" t="str">
            <v>I0Y7102</v>
          </cell>
          <cell r="E185">
            <v>49</v>
          </cell>
          <cell r="AB185">
            <v>43140</v>
          </cell>
        </row>
        <row r="186">
          <cell r="D186" t="str">
            <v>I0Y7102</v>
          </cell>
          <cell r="E186">
            <v>54</v>
          </cell>
          <cell r="AB186">
            <v>43140</v>
          </cell>
        </row>
        <row r="187">
          <cell r="D187" t="str">
            <v>3건</v>
          </cell>
          <cell r="E187" t="str">
            <v>평균단가</v>
          </cell>
        </row>
        <row r="190">
          <cell r="D190" t="str">
            <v>I0Y7103</v>
          </cell>
          <cell r="E190">
            <v>37</v>
          </cell>
          <cell r="AB190">
            <v>43151</v>
          </cell>
        </row>
        <row r="191">
          <cell r="D191" t="str">
            <v>I0Y7103</v>
          </cell>
          <cell r="E191">
            <v>43</v>
          </cell>
          <cell r="AB191">
            <v>43151</v>
          </cell>
        </row>
        <row r="192">
          <cell r="D192" t="str">
            <v>2건</v>
          </cell>
          <cell r="E192" t="str">
            <v>평균단가</v>
          </cell>
        </row>
        <row r="195">
          <cell r="D195" t="str">
            <v>I0Y7104</v>
          </cell>
          <cell r="E195">
            <v>32</v>
          </cell>
          <cell r="AB195">
            <v>43151</v>
          </cell>
        </row>
        <row r="196">
          <cell r="D196" t="str">
            <v>I0Y7104</v>
          </cell>
          <cell r="E196">
            <v>49</v>
          </cell>
          <cell r="AB196">
            <v>43151</v>
          </cell>
        </row>
        <row r="197">
          <cell r="D197" t="str">
            <v>2건</v>
          </cell>
          <cell r="E197" t="str">
            <v>평균단가</v>
          </cell>
        </row>
        <row r="200">
          <cell r="D200" t="str">
            <v>I0Y7105</v>
          </cell>
          <cell r="E200">
            <v>39</v>
          </cell>
          <cell r="AB200">
            <v>43140</v>
          </cell>
        </row>
        <row r="201">
          <cell r="D201" t="str">
            <v>1건</v>
          </cell>
          <cell r="E201" t="str">
            <v>평균단가</v>
          </cell>
        </row>
        <row r="204">
          <cell r="D204" t="str">
            <v>I0Y7201</v>
          </cell>
          <cell r="E204">
            <v>32</v>
          </cell>
          <cell r="AB204">
            <v>43167</v>
          </cell>
        </row>
        <row r="205">
          <cell r="D205" t="str">
            <v>I0Y7201</v>
          </cell>
          <cell r="E205">
            <v>43</v>
          </cell>
          <cell r="AB205">
            <v>43167</v>
          </cell>
        </row>
        <row r="206">
          <cell r="D206" t="str">
            <v>I0Y7201</v>
          </cell>
          <cell r="E206">
            <v>49</v>
          </cell>
          <cell r="AB206">
            <v>43167</v>
          </cell>
        </row>
        <row r="207">
          <cell r="D207" t="str">
            <v>3건</v>
          </cell>
          <cell r="E207" t="str">
            <v>평균단가</v>
          </cell>
        </row>
        <row r="210">
          <cell r="D210" t="str">
            <v>I0Y7202</v>
          </cell>
          <cell r="E210">
            <v>43</v>
          </cell>
          <cell r="AB210">
            <v>43167</v>
          </cell>
        </row>
        <row r="211">
          <cell r="D211" t="str">
            <v>I0Y7202</v>
          </cell>
          <cell r="E211">
            <v>49</v>
          </cell>
          <cell r="AB211">
            <v>43167</v>
          </cell>
        </row>
        <row r="212">
          <cell r="D212" t="str">
            <v>I0Y7202</v>
          </cell>
          <cell r="E212">
            <v>53</v>
          </cell>
          <cell r="AB212">
            <v>43167</v>
          </cell>
        </row>
        <row r="213">
          <cell r="D213" t="str">
            <v>3건</v>
          </cell>
          <cell r="E213" t="str">
            <v>평균단가</v>
          </cell>
        </row>
        <row r="216">
          <cell r="D216" t="str">
            <v>I0Y7203</v>
          </cell>
          <cell r="E216">
            <v>34</v>
          </cell>
          <cell r="AB216">
            <v>43171</v>
          </cell>
        </row>
        <row r="217">
          <cell r="D217" t="str">
            <v>I0Y7203</v>
          </cell>
          <cell r="E217">
            <v>49</v>
          </cell>
          <cell r="AB217">
            <v>43171</v>
          </cell>
        </row>
        <row r="218">
          <cell r="D218" t="str">
            <v>2건</v>
          </cell>
          <cell r="E218" t="str">
            <v>평균단가</v>
          </cell>
        </row>
        <row r="221">
          <cell r="D221" t="str">
            <v>I0Y7204</v>
          </cell>
          <cell r="E221">
            <v>37</v>
          </cell>
          <cell r="AB221">
            <v>43167</v>
          </cell>
        </row>
        <row r="222">
          <cell r="D222" t="str">
            <v>1건</v>
          </cell>
          <cell r="E222" t="str">
            <v>평균단가</v>
          </cell>
        </row>
        <row r="225">
          <cell r="D225" t="str">
            <v>I0Y7205</v>
          </cell>
          <cell r="E225">
            <v>31</v>
          </cell>
          <cell r="AB225">
            <v>43203</v>
          </cell>
        </row>
        <row r="226">
          <cell r="D226" t="str">
            <v>I0Y7205</v>
          </cell>
          <cell r="E226">
            <v>49</v>
          </cell>
          <cell r="AB226">
            <v>43203</v>
          </cell>
        </row>
        <row r="227">
          <cell r="D227" t="str">
            <v>I0Y7205</v>
          </cell>
          <cell r="E227">
            <v>53</v>
          </cell>
          <cell r="AB227">
            <v>43203</v>
          </cell>
        </row>
        <row r="228">
          <cell r="D228" t="str">
            <v>3건</v>
          </cell>
          <cell r="E228" t="str">
            <v>평균단가</v>
          </cell>
        </row>
        <row r="231">
          <cell r="D231" t="str">
            <v>I0Y7206</v>
          </cell>
          <cell r="E231">
            <v>45</v>
          </cell>
          <cell r="AB231">
            <v>43203</v>
          </cell>
        </row>
        <row r="232">
          <cell r="D232" t="str">
            <v>I0Y7206</v>
          </cell>
          <cell r="E232">
            <v>49</v>
          </cell>
          <cell r="AB232">
            <v>43203</v>
          </cell>
        </row>
        <row r="233">
          <cell r="D233" t="str">
            <v>2건</v>
          </cell>
          <cell r="E233" t="str">
            <v>평균단가</v>
          </cell>
        </row>
        <row r="236">
          <cell r="D236" t="str">
            <v>I0Y7207</v>
          </cell>
          <cell r="E236">
            <v>37</v>
          </cell>
          <cell r="AB236">
            <v>43194</v>
          </cell>
        </row>
        <row r="237">
          <cell r="D237" t="str">
            <v>I0Y7207</v>
          </cell>
          <cell r="E237">
            <v>43</v>
          </cell>
          <cell r="AB237">
            <v>43194</v>
          </cell>
        </row>
        <row r="238">
          <cell r="D238" t="str">
            <v>I0Y7207</v>
          </cell>
          <cell r="E238">
            <v>49</v>
          </cell>
          <cell r="AB238">
            <v>43194</v>
          </cell>
        </row>
        <row r="239">
          <cell r="D239" t="str">
            <v>3건</v>
          </cell>
          <cell r="E239" t="str">
            <v>평균단가</v>
          </cell>
        </row>
        <row r="242">
          <cell r="D242" t="str">
            <v>I0Y7208</v>
          </cell>
          <cell r="E242">
            <v>34</v>
          </cell>
          <cell r="AB242">
            <v>43214</v>
          </cell>
        </row>
        <row r="243">
          <cell r="D243" t="str">
            <v>I0Y7208</v>
          </cell>
          <cell r="E243">
            <v>49</v>
          </cell>
          <cell r="AB243">
            <v>43214</v>
          </cell>
        </row>
        <row r="244">
          <cell r="D244" t="str">
            <v>2건</v>
          </cell>
          <cell r="E244" t="str">
            <v>평균단가</v>
          </cell>
        </row>
        <row r="247">
          <cell r="D247" t="str">
            <v>평균단가</v>
          </cell>
          <cell r="E247">
            <v>16134</v>
          </cell>
        </row>
        <row r="250">
          <cell r="D250" t="str">
            <v>I0YV201</v>
          </cell>
          <cell r="E250">
            <v>36</v>
          </cell>
          <cell r="AB250">
            <v>43180</v>
          </cell>
        </row>
        <row r="251">
          <cell r="D251" t="str">
            <v>I0YV201</v>
          </cell>
          <cell r="E251">
            <v>49</v>
          </cell>
          <cell r="AB251">
            <v>43180</v>
          </cell>
        </row>
        <row r="252">
          <cell r="D252" t="str">
            <v>2건</v>
          </cell>
          <cell r="E252" t="str">
            <v>평균단가</v>
          </cell>
        </row>
        <row r="255">
          <cell r="D255" t="str">
            <v>평균단가</v>
          </cell>
          <cell r="E255">
            <v>27663</v>
          </cell>
        </row>
        <row r="258">
          <cell r="D258" t="str">
            <v>평균단가</v>
          </cell>
          <cell r="E258">
            <v>17733</v>
          </cell>
        </row>
        <row r="261">
          <cell r="D261" t="str">
            <v>IAYG101</v>
          </cell>
          <cell r="E261">
            <v>31</v>
          </cell>
          <cell r="AB261">
            <v>43189</v>
          </cell>
        </row>
        <row r="262">
          <cell r="D262" t="str">
            <v>1건</v>
          </cell>
          <cell r="E262" t="str">
            <v>평균단가</v>
          </cell>
        </row>
        <row r="265">
          <cell r="D265" t="str">
            <v>평균단가</v>
          </cell>
          <cell r="E265">
            <v>9582</v>
          </cell>
        </row>
        <row r="268">
          <cell r="D268" t="str">
            <v>IAYT101</v>
          </cell>
          <cell r="E268">
            <v>34</v>
          </cell>
          <cell r="AB268">
            <v>43124</v>
          </cell>
        </row>
        <row r="269">
          <cell r="D269" t="str">
            <v>1건</v>
          </cell>
          <cell r="E269" t="str">
            <v>평균단가</v>
          </cell>
        </row>
        <row r="272">
          <cell r="D272" t="str">
            <v>IAYT102</v>
          </cell>
          <cell r="E272">
            <v>31</v>
          </cell>
          <cell r="AB272">
            <v>43124</v>
          </cell>
        </row>
        <row r="273">
          <cell r="D273" t="str">
            <v>IAYT102</v>
          </cell>
          <cell r="E273">
            <v>39</v>
          </cell>
          <cell r="AB273">
            <v>43124</v>
          </cell>
        </row>
        <row r="274">
          <cell r="D274" t="str">
            <v>2건</v>
          </cell>
          <cell r="E274" t="str">
            <v>평균단가</v>
          </cell>
        </row>
        <row r="277">
          <cell r="D277" t="str">
            <v>IAYT201</v>
          </cell>
          <cell r="E277">
            <v>31</v>
          </cell>
          <cell r="AB277">
            <v>43245</v>
          </cell>
        </row>
        <row r="278">
          <cell r="D278" t="str">
            <v>1건</v>
          </cell>
          <cell r="E278" t="str">
            <v>평균단가</v>
          </cell>
        </row>
        <row r="281">
          <cell r="D281" t="str">
            <v>평균단가</v>
          </cell>
          <cell r="E281">
            <v>6461</v>
          </cell>
        </row>
        <row r="284">
          <cell r="D284" t="str">
            <v>IAYV201</v>
          </cell>
          <cell r="E284">
            <v>49</v>
          </cell>
          <cell r="AB284">
            <v>43189</v>
          </cell>
        </row>
        <row r="285">
          <cell r="D285" t="str">
            <v>1건</v>
          </cell>
          <cell r="E285" t="str">
            <v>평균단가</v>
          </cell>
        </row>
        <row r="288">
          <cell r="D288" t="str">
            <v>평균단가</v>
          </cell>
          <cell r="E288">
            <v>20101</v>
          </cell>
        </row>
        <row r="291">
          <cell r="D291" t="str">
            <v>IAYW101</v>
          </cell>
          <cell r="E291">
            <v>49</v>
          </cell>
          <cell r="AB291">
            <v>43178</v>
          </cell>
        </row>
        <row r="292">
          <cell r="D292" t="str">
            <v>1건</v>
          </cell>
          <cell r="E292" t="str">
            <v>평균단가</v>
          </cell>
        </row>
        <row r="295">
          <cell r="D295" t="str">
            <v>IAYW102</v>
          </cell>
          <cell r="E295">
            <v>37</v>
          </cell>
          <cell r="AB295">
            <v>43144</v>
          </cell>
        </row>
        <row r="296">
          <cell r="D296" t="str">
            <v>1건</v>
          </cell>
          <cell r="E296" t="str">
            <v>평균단가</v>
          </cell>
        </row>
        <row r="299">
          <cell r="D299" t="str">
            <v>IAYW103</v>
          </cell>
          <cell r="E299">
            <v>22</v>
          </cell>
          <cell r="AB299">
            <v>43178</v>
          </cell>
        </row>
        <row r="300">
          <cell r="D300" t="str">
            <v>IAYW103</v>
          </cell>
          <cell r="E300">
            <v>49</v>
          </cell>
          <cell r="AB300">
            <v>43178</v>
          </cell>
        </row>
        <row r="301">
          <cell r="D301" t="str">
            <v>IAYW103</v>
          </cell>
          <cell r="E301">
            <v>76</v>
          </cell>
          <cell r="AB301">
            <v>43178</v>
          </cell>
        </row>
        <row r="302">
          <cell r="D302" t="str">
            <v>3건</v>
          </cell>
          <cell r="E302" t="str">
            <v>평균단가</v>
          </cell>
        </row>
        <row r="305">
          <cell r="D305" t="str">
            <v>IAYW104</v>
          </cell>
          <cell r="E305">
            <v>31</v>
          </cell>
          <cell r="AB305">
            <v>43185</v>
          </cell>
        </row>
        <row r="306">
          <cell r="D306" t="str">
            <v>IAYW104</v>
          </cell>
          <cell r="E306">
            <v>49</v>
          </cell>
          <cell r="AB306">
            <v>43185</v>
          </cell>
        </row>
        <row r="307">
          <cell r="D307" t="str">
            <v>2건</v>
          </cell>
          <cell r="E307" t="str">
            <v>평균단가</v>
          </cell>
        </row>
        <row r="310">
          <cell r="D310" t="str">
            <v>IAYW105</v>
          </cell>
          <cell r="E310">
            <v>34</v>
          </cell>
          <cell r="AB310">
            <v>43150</v>
          </cell>
        </row>
        <row r="311">
          <cell r="D311" t="str">
            <v>IAYW105</v>
          </cell>
          <cell r="E311">
            <v>37</v>
          </cell>
          <cell r="AB311">
            <v>43150</v>
          </cell>
        </row>
        <row r="312">
          <cell r="D312" t="str">
            <v>2건</v>
          </cell>
          <cell r="E312" t="str">
            <v>평균단가</v>
          </cell>
        </row>
        <row r="315">
          <cell r="D315" t="str">
            <v>IAYW106</v>
          </cell>
          <cell r="E315">
            <v>61</v>
          </cell>
          <cell r="AB315">
            <v>43150</v>
          </cell>
        </row>
        <row r="316">
          <cell r="D316" t="str">
            <v>1건</v>
          </cell>
          <cell r="E316" t="str">
            <v>평균단가</v>
          </cell>
        </row>
        <row r="319">
          <cell r="D319" t="str">
            <v>IAYW201</v>
          </cell>
          <cell r="E319">
            <v>31</v>
          </cell>
          <cell r="AB319">
            <v>43193</v>
          </cell>
        </row>
        <row r="320">
          <cell r="D320" t="str">
            <v>IAYW201</v>
          </cell>
          <cell r="E320">
            <v>49</v>
          </cell>
          <cell r="AB320">
            <v>43193</v>
          </cell>
        </row>
        <row r="321">
          <cell r="D321" t="str">
            <v>2건</v>
          </cell>
          <cell r="E321" t="str">
            <v>평균단가</v>
          </cell>
        </row>
        <row r="324">
          <cell r="D324" t="str">
            <v>IAYW202</v>
          </cell>
          <cell r="E324">
            <v>32</v>
          </cell>
          <cell r="AB324">
            <v>43216</v>
          </cell>
        </row>
        <row r="325">
          <cell r="D325" t="str">
            <v>IAYW202</v>
          </cell>
          <cell r="E325">
            <v>49</v>
          </cell>
          <cell r="AB325">
            <v>43216</v>
          </cell>
        </row>
        <row r="326">
          <cell r="D326" t="str">
            <v>2건</v>
          </cell>
          <cell r="E326" t="str">
            <v>평균단가</v>
          </cell>
        </row>
        <row r="329">
          <cell r="D329" t="str">
            <v>IAYW203</v>
          </cell>
          <cell r="E329">
            <v>37</v>
          </cell>
          <cell r="AB329">
            <v>43187</v>
          </cell>
        </row>
        <row r="330">
          <cell r="D330" t="str">
            <v>IAYW203</v>
          </cell>
          <cell r="E330">
            <v>43</v>
          </cell>
          <cell r="AB330">
            <v>43187</v>
          </cell>
        </row>
        <row r="331">
          <cell r="D331" t="str">
            <v>2건</v>
          </cell>
          <cell r="E331" t="str">
            <v>평균단가</v>
          </cell>
        </row>
        <row r="334">
          <cell r="D334" t="str">
            <v>IAYW204</v>
          </cell>
          <cell r="E334">
            <v>49</v>
          </cell>
          <cell r="AB334">
            <v>43216</v>
          </cell>
        </row>
        <row r="335">
          <cell r="D335" t="str">
            <v>1건</v>
          </cell>
          <cell r="E335" t="str">
            <v>평균단가</v>
          </cell>
        </row>
        <row r="338">
          <cell r="D338" t="str">
            <v>IAYW205</v>
          </cell>
          <cell r="E338">
            <v>49</v>
          </cell>
          <cell r="AB338">
            <v>43187</v>
          </cell>
        </row>
        <row r="339">
          <cell r="D339" t="str">
            <v>1건</v>
          </cell>
          <cell r="E339" t="str">
            <v>평균단가</v>
          </cell>
        </row>
        <row r="342">
          <cell r="D342" t="str">
            <v>IAYW206</v>
          </cell>
          <cell r="E342">
            <v>37</v>
          </cell>
          <cell r="AB342">
            <v>43209</v>
          </cell>
        </row>
        <row r="343">
          <cell r="D343" t="str">
            <v>IAYW206</v>
          </cell>
          <cell r="E343">
            <v>53</v>
          </cell>
          <cell r="AB343">
            <v>43209</v>
          </cell>
        </row>
        <row r="344">
          <cell r="D344" t="str">
            <v>2건</v>
          </cell>
          <cell r="E344" t="str">
            <v>평균단가</v>
          </cell>
        </row>
        <row r="347">
          <cell r="D347" t="str">
            <v>IAYW207</v>
          </cell>
          <cell r="E347">
            <v>34</v>
          </cell>
          <cell r="AB347">
            <v>43189</v>
          </cell>
        </row>
        <row r="348">
          <cell r="D348" t="str">
            <v>1건</v>
          </cell>
          <cell r="E348" t="str">
            <v>평균단가</v>
          </cell>
        </row>
        <row r="351">
          <cell r="D351" t="str">
            <v>IAYW208</v>
          </cell>
          <cell r="E351">
            <v>49</v>
          </cell>
          <cell r="AB351">
            <v>43210</v>
          </cell>
        </row>
        <row r="352">
          <cell r="D352" t="str">
            <v>1건</v>
          </cell>
          <cell r="E352" t="str">
            <v>평균단가</v>
          </cell>
        </row>
        <row r="355">
          <cell r="D355" t="str">
            <v>IAYW209</v>
          </cell>
          <cell r="E355">
            <v>73</v>
          </cell>
          <cell r="AB355">
            <v>43189</v>
          </cell>
        </row>
        <row r="356">
          <cell r="D356" t="str">
            <v>1건</v>
          </cell>
          <cell r="E356" t="str">
            <v>평균단가</v>
          </cell>
        </row>
        <row r="359">
          <cell r="D359" t="str">
            <v>IAYW210</v>
          </cell>
          <cell r="E359">
            <v>49</v>
          </cell>
          <cell r="AB359">
            <v>43189</v>
          </cell>
        </row>
        <row r="360">
          <cell r="D360" t="str">
            <v>1건</v>
          </cell>
          <cell r="E360" t="str">
            <v>평균단가</v>
          </cell>
        </row>
        <row r="363">
          <cell r="D363" t="str">
            <v>IAYW211</v>
          </cell>
          <cell r="E363">
            <v>31</v>
          </cell>
          <cell r="AB363">
            <v>43187</v>
          </cell>
        </row>
        <row r="364">
          <cell r="D364" t="str">
            <v>IAYW211</v>
          </cell>
          <cell r="E364">
            <v>39</v>
          </cell>
          <cell r="AB364">
            <v>43187</v>
          </cell>
        </row>
        <row r="365">
          <cell r="D365" t="str">
            <v>2건</v>
          </cell>
          <cell r="E365" t="str">
            <v>평균단가</v>
          </cell>
        </row>
        <row r="368">
          <cell r="D368" t="str">
            <v>IAYW212</v>
          </cell>
          <cell r="E368">
            <v>39</v>
          </cell>
          <cell r="AB368">
            <v>43224</v>
          </cell>
        </row>
        <row r="369">
          <cell r="D369" t="str">
            <v>1건</v>
          </cell>
          <cell r="E369" t="str">
            <v>평균단가</v>
          </cell>
        </row>
        <row r="372">
          <cell r="D372" t="str">
            <v>IAYW213</v>
          </cell>
          <cell r="E372">
            <v>32</v>
          </cell>
          <cell r="AB372">
            <v>43230</v>
          </cell>
        </row>
        <row r="373">
          <cell r="D373" t="str">
            <v>IAYW213</v>
          </cell>
          <cell r="E373">
            <v>39</v>
          </cell>
          <cell r="AB373">
            <v>43230</v>
          </cell>
        </row>
        <row r="374">
          <cell r="D374" t="str">
            <v>2건</v>
          </cell>
          <cell r="E374" t="str">
            <v>평균단가</v>
          </cell>
        </row>
        <row r="377">
          <cell r="D377" t="str">
            <v>평균단가</v>
          </cell>
          <cell r="E377">
            <v>11440</v>
          </cell>
        </row>
        <row r="380">
          <cell r="D380" t="str">
            <v>평균단가</v>
          </cell>
          <cell r="E380">
            <v>9920</v>
          </cell>
        </row>
        <row r="383">
          <cell r="D383" t="str">
            <v>IEY7201</v>
          </cell>
          <cell r="E383">
            <v>39</v>
          </cell>
          <cell r="AB383">
            <v>43210</v>
          </cell>
        </row>
        <row r="384">
          <cell r="D384" t="str">
            <v>1건</v>
          </cell>
          <cell r="E384" t="str">
            <v>평균단가</v>
          </cell>
        </row>
        <row r="387">
          <cell r="D387" t="str">
            <v>IEY7202</v>
          </cell>
          <cell r="E387">
            <v>34</v>
          </cell>
          <cell r="AB387">
            <v>43210</v>
          </cell>
        </row>
        <row r="388">
          <cell r="D388" t="str">
            <v>1건</v>
          </cell>
          <cell r="E388" t="str">
            <v>평균단가</v>
          </cell>
        </row>
        <row r="391">
          <cell r="D391" t="str">
            <v>IEY7203</v>
          </cell>
          <cell r="E391">
            <v>49</v>
          </cell>
          <cell r="AB391">
            <v>43210</v>
          </cell>
        </row>
        <row r="392">
          <cell r="D392" t="str">
            <v>1건</v>
          </cell>
          <cell r="E392" t="str">
            <v>평균단가</v>
          </cell>
        </row>
        <row r="395">
          <cell r="D395" t="str">
            <v>평균단가</v>
          </cell>
          <cell r="E395">
            <v>8151</v>
          </cell>
        </row>
        <row r="398">
          <cell r="D398" t="str">
            <v>평균단가</v>
          </cell>
          <cell r="E398">
            <v>8151</v>
          </cell>
        </row>
        <row r="401">
          <cell r="D401" t="str">
            <v>INY1101</v>
          </cell>
          <cell r="E401">
            <v>21</v>
          </cell>
          <cell r="AB401">
            <v>43119</v>
          </cell>
        </row>
        <row r="402">
          <cell r="D402" t="str">
            <v>INY1101</v>
          </cell>
          <cell r="E402">
            <v>31</v>
          </cell>
          <cell r="AB402">
            <v>43119</v>
          </cell>
        </row>
        <row r="403">
          <cell r="D403" t="str">
            <v>INY1101</v>
          </cell>
          <cell r="E403">
            <v>39</v>
          </cell>
          <cell r="AB403">
            <v>43119</v>
          </cell>
        </row>
        <row r="404">
          <cell r="D404" t="str">
            <v>3건</v>
          </cell>
          <cell r="E404" t="str">
            <v>평균단가</v>
          </cell>
        </row>
        <row r="407">
          <cell r="D407" t="str">
            <v>INY1102</v>
          </cell>
          <cell r="E407">
            <v>31</v>
          </cell>
          <cell r="AB407">
            <v>43139</v>
          </cell>
        </row>
        <row r="408">
          <cell r="D408" t="str">
            <v>1건</v>
          </cell>
          <cell r="E408" t="str">
            <v>평균단가</v>
          </cell>
        </row>
        <row r="411">
          <cell r="D411" t="str">
            <v>INY1104</v>
          </cell>
          <cell r="E411">
            <v>31</v>
          </cell>
          <cell r="AB411">
            <v>43133</v>
          </cell>
        </row>
        <row r="412">
          <cell r="D412" t="str">
            <v>INY1104</v>
          </cell>
          <cell r="E412">
            <v>49</v>
          </cell>
          <cell r="AB412">
            <v>43133</v>
          </cell>
        </row>
        <row r="413">
          <cell r="D413" t="str">
            <v>2건</v>
          </cell>
          <cell r="E413" t="str">
            <v>평균단가</v>
          </cell>
        </row>
        <row r="416">
          <cell r="D416" t="str">
            <v>INY1201</v>
          </cell>
          <cell r="E416">
            <v>31</v>
          </cell>
          <cell r="AB416">
            <v>43174</v>
          </cell>
        </row>
        <row r="417">
          <cell r="D417" t="str">
            <v>INY1201</v>
          </cell>
          <cell r="E417">
            <v>76</v>
          </cell>
          <cell r="AB417">
            <v>43174</v>
          </cell>
        </row>
        <row r="418">
          <cell r="D418" t="str">
            <v>2건</v>
          </cell>
          <cell r="E418" t="str">
            <v>평균단가</v>
          </cell>
        </row>
        <row r="421">
          <cell r="D421" t="str">
            <v>INY1202</v>
          </cell>
          <cell r="E421">
            <v>21</v>
          </cell>
          <cell r="AB421">
            <v>43223</v>
          </cell>
        </row>
        <row r="422">
          <cell r="D422" t="str">
            <v>INY1202</v>
          </cell>
          <cell r="E422">
            <v>31</v>
          </cell>
          <cell r="AB422">
            <v>43223</v>
          </cell>
        </row>
        <row r="423">
          <cell r="D423" t="str">
            <v>2건</v>
          </cell>
          <cell r="E423" t="str">
            <v>평균단가</v>
          </cell>
        </row>
        <row r="426">
          <cell r="D426" t="str">
            <v>INY1203</v>
          </cell>
          <cell r="E426">
            <v>39</v>
          </cell>
          <cell r="AB426">
            <v>43223</v>
          </cell>
        </row>
        <row r="427">
          <cell r="D427" t="str">
            <v>INY1203</v>
          </cell>
          <cell r="E427">
            <v>76</v>
          </cell>
          <cell r="AB427">
            <v>43223</v>
          </cell>
        </row>
        <row r="428">
          <cell r="D428" t="str">
            <v>2건</v>
          </cell>
          <cell r="E428" t="str">
            <v>평균단가</v>
          </cell>
        </row>
        <row r="431">
          <cell r="D431" t="str">
            <v>INY1204</v>
          </cell>
          <cell r="E431">
            <v>31</v>
          </cell>
          <cell r="AB431">
            <v>43230</v>
          </cell>
        </row>
        <row r="432">
          <cell r="D432" t="str">
            <v>INY1204</v>
          </cell>
          <cell r="E432">
            <v>39</v>
          </cell>
          <cell r="AB432">
            <v>43230</v>
          </cell>
        </row>
        <row r="433">
          <cell r="D433" t="str">
            <v>2건</v>
          </cell>
          <cell r="E433" t="str">
            <v>평균단가</v>
          </cell>
        </row>
        <row r="436">
          <cell r="D436" t="str">
            <v>INY1205</v>
          </cell>
          <cell r="E436">
            <v>34</v>
          </cell>
          <cell r="AB436">
            <v>43222</v>
          </cell>
        </row>
        <row r="437">
          <cell r="D437" t="str">
            <v>1건</v>
          </cell>
          <cell r="E437" t="str">
            <v>평균단가</v>
          </cell>
        </row>
        <row r="440">
          <cell r="D440" t="str">
            <v>INY1206</v>
          </cell>
          <cell r="E440">
            <v>41</v>
          </cell>
          <cell r="AB440">
            <v>43174</v>
          </cell>
        </row>
        <row r="441">
          <cell r="D441" t="str">
            <v>1건</v>
          </cell>
          <cell r="E441" t="str">
            <v>평균단가</v>
          </cell>
        </row>
        <row r="444">
          <cell r="D444" t="str">
            <v>INY1207</v>
          </cell>
          <cell r="E444">
            <v>34</v>
          </cell>
          <cell r="AB444">
            <v>43180</v>
          </cell>
        </row>
        <row r="445">
          <cell r="D445" t="str">
            <v>INY1207</v>
          </cell>
          <cell r="E445">
            <v>41</v>
          </cell>
          <cell r="AB445">
            <v>43180</v>
          </cell>
        </row>
        <row r="446">
          <cell r="D446" t="str">
            <v>2건</v>
          </cell>
          <cell r="E446" t="str">
            <v>평균단가</v>
          </cell>
        </row>
        <row r="449">
          <cell r="D449" t="str">
            <v>INY1208</v>
          </cell>
          <cell r="E449">
            <v>37</v>
          </cell>
          <cell r="AB449">
            <v>43174</v>
          </cell>
        </row>
        <row r="450">
          <cell r="D450" t="str">
            <v>1건</v>
          </cell>
          <cell r="E450" t="str">
            <v>평균단가</v>
          </cell>
        </row>
        <row r="453">
          <cell r="D453" t="str">
            <v>INY1209</v>
          </cell>
          <cell r="E453">
            <v>31</v>
          </cell>
          <cell r="AB453">
            <v>43168</v>
          </cell>
        </row>
        <row r="454">
          <cell r="D454" t="str">
            <v>1건</v>
          </cell>
          <cell r="E454" t="str">
            <v>평균단가</v>
          </cell>
        </row>
        <row r="457">
          <cell r="D457" t="str">
            <v>평균단가</v>
          </cell>
          <cell r="E457">
            <v>16661</v>
          </cell>
        </row>
        <row r="460">
          <cell r="D460" t="str">
            <v>INY6101</v>
          </cell>
          <cell r="E460">
            <v>31</v>
          </cell>
          <cell r="AB460">
            <v>43118</v>
          </cell>
        </row>
        <row r="461">
          <cell r="D461" t="str">
            <v>1건</v>
          </cell>
          <cell r="E461" t="str">
            <v>평균단가</v>
          </cell>
        </row>
        <row r="464">
          <cell r="D464" t="str">
            <v>INY6102</v>
          </cell>
          <cell r="E464">
            <v>21</v>
          </cell>
          <cell r="AB464">
            <v>43118</v>
          </cell>
        </row>
        <row r="465">
          <cell r="D465" t="str">
            <v>INY6102</v>
          </cell>
          <cell r="E465">
            <v>32</v>
          </cell>
          <cell r="AB465">
            <v>43118</v>
          </cell>
        </row>
        <row r="466">
          <cell r="D466" t="str">
            <v>2건</v>
          </cell>
          <cell r="E466" t="str">
            <v>평균단가</v>
          </cell>
        </row>
        <row r="469">
          <cell r="D469" t="str">
            <v>INY6103</v>
          </cell>
          <cell r="E469">
            <v>36</v>
          </cell>
          <cell r="AB469">
            <v>43137</v>
          </cell>
        </row>
        <row r="470">
          <cell r="D470" t="str">
            <v>INY6103</v>
          </cell>
          <cell r="E470">
            <v>77</v>
          </cell>
          <cell r="AB470">
            <v>43137</v>
          </cell>
        </row>
        <row r="471">
          <cell r="D471" t="str">
            <v>2건</v>
          </cell>
          <cell r="E471" t="str">
            <v>평균단가</v>
          </cell>
        </row>
        <row r="474">
          <cell r="D474" t="str">
            <v>INY6104</v>
          </cell>
          <cell r="E474">
            <v>38</v>
          </cell>
          <cell r="AB474">
            <v>43118</v>
          </cell>
        </row>
        <row r="475">
          <cell r="D475" t="str">
            <v>1건</v>
          </cell>
          <cell r="E475" t="str">
            <v>평균단가</v>
          </cell>
        </row>
        <row r="478">
          <cell r="D478" t="str">
            <v>INY6201</v>
          </cell>
          <cell r="E478">
            <v>31</v>
          </cell>
          <cell r="AB478">
            <v>43179</v>
          </cell>
        </row>
        <row r="479">
          <cell r="D479" t="str">
            <v>INY6201</v>
          </cell>
          <cell r="E479">
            <v>41</v>
          </cell>
          <cell r="AB479">
            <v>43179</v>
          </cell>
        </row>
        <row r="480">
          <cell r="D480" t="str">
            <v>2건</v>
          </cell>
          <cell r="E480" t="str">
            <v>평균단가</v>
          </cell>
        </row>
        <row r="483">
          <cell r="D483" t="str">
            <v>INY6202</v>
          </cell>
          <cell r="E483">
            <v>38</v>
          </cell>
          <cell r="AB483">
            <v>43193</v>
          </cell>
        </row>
        <row r="484">
          <cell r="D484" t="str">
            <v>INY6202</v>
          </cell>
          <cell r="E484">
            <v>77</v>
          </cell>
          <cell r="AB484">
            <v>43193</v>
          </cell>
        </row>
        <row r="485">
          <cell r="D485" t="str">
            <v>2건</v>
          </cell>
          <cell r="E485" t="str">
            <v>평균단가</v>
          </cell>
        </row>
        <row r="488">
          <cell r="D488" t="str">
            <v>평균단가</v>
          </cell>
          <cell r="E488">
            <v>36015</v>
          </cell>
        </row>
        <row r="491">
          <cell r="D491" t="str">
            <v>INY7101</v>
          </cell>
          <cell r="E491">
            <v>31</v>
          </cell>
          <cell r="AB491">
            <v>43140</v>
          </cell>
        </row>
        <row r="492">
          <cell r="D492" t="str">
            <v>INY7101</v>
          </cell>
          <cell r="E492">
            <v>39</v>
          </cell>
          <cell r="AB492">
            <v>43140</v>
          </cell>
        </row>
        <row r="493">
          <cell r="D493" t="str">
            <v>INY7101</v>
          </cell>
          <cell r="E493">
            <v>76</v>
          </cell>
          <cell r="AB493">
            <v>43140</v>
          </cell>
        </row>
        <row r="494">
          <cell r="D494" t="str">
            <v>3건</v>
          </cell>
          <cell r="E494" t="str">
            <v>평균단가</v>
          </cell>
        </row>
        <row r="497">
          <cell r="D497" t="str">
            <v>INY7102</v>
          </cell>
          <cell r="E497">
            <v>31</v>
          </cell>
          <cell r="AB497">
            <v>43126</v>
          </cell>
        </row>
        <row r="498">
          <cell r="D498" t="str">
            <v>INY7102</v>
          </cell>
          <cell r="E498">
            <v>39</v>
          </cell>
          <cell r="AB498">
            <v>43126</v>
          </cell>
        </row>
        <row r="499">
          <cell r="D499" t="str">
            <v>2건</v>
          </cell>
          <cell r="E499" t="str">
            <v>평균단가</v>
          </cell>
        </row>
        <row r="502">
          <cell r="D502" t="str">
            <v>INY7201</v>
          </cell>
          <cell r="E502">
            <v>31</v>
          </cell>
          <cell r="AB502">
            <v>43187</v>
          </cell>
        </row>
        <row r="503">
          <cell r="D503" t="str">
            <v>INY7201</v>
          </cell>
          <cell r="E503">
            <v>41</v>
          </cell>
          <cell r="AB503">
            <v>43187</v>
          </cell>
        </row>
        <row r="504">
          <cell r="D504" t="str">
            <v>2건</v>
          </cell>
          <cell r="E504" t="str">
            <v>평균단가</v>
          </cell>
        </row>
        <row r="507">
          <cell r="D507" t="str">
            <v>INY7202</v>
          </cell>
          <cell r="E507">
            <v>37</v>
          </cell>
          <cell r="AB507">
            <v>43189</v>
          </cell>
        </row>
        <row r="508">
          <cell r="D508" t="str">
            <v>1건</v>
          </cell>
          <cell r="E508" t="str">
            <v>평균단가</v>
          </cell>
        </row>
        <row r="511">
          <cell r="D511" t="str">
            <v>INY7203</v>
          </cell>
          <cell r="E511">
            <v>34</v>
          </cell>
          <cell r="AB511">
            <v>43187</v>
          </cell>
        </row>
        <row r="512">
          <cell r="D512" t="str">
            <v>INY7203</v>
          </cell>
          <cell r="E512">
            <v>39</v>
          </cell>
          <cell r="AB512">
            <v>43187</v>
          </cell>
        </row>
        <row r="513">
          <cell r="D513" t="str">
            <v>2건</v>
          </cell>
          <cell r="E513" t="str">
            <v>평균단가</v>
          </cell>
        </row>
        <row r="516">
          <cell r="D516" t="str">
            <v>평균단가</v>
          </cell>
          <cell r="E516">
            <v>23323</v>
          </cell>
        </row>
        <row r="519">
          <cell r="D519" t="str">
            <v>평균단가</v>
          </cell>
          <cell r="E519">
            <v>22674</v>
          </cell>
        </row>
        <row r="522">
          <cell r="D522" t="str">
            <v>ITY1101</v>
          </cell>
          <cell r="E522">
            <v>34</v>
          </cell>
          <cell r="AB522">
            <v>43133</v>
          </cell>
        </row>
        <row r="523">
          <cell r="D523" t="str">
            <v>ITY1101</v>
          </cell>
          <cell r="E523">
            <v>43</v>
          </cell>
          <cell r="AB523">
            <v>43133</v>
          </cell>
        </row>
        <row r="524">
          <cell r="D524" t="str">
            <v>2건</v>
          </cell>
          <cell r="E524" t="str">
            <v>평균단가</v>
          </cell>
        </row>
        <row r="527">
          <cell r="D527" t="str">
            <v>ITY1102</v>
          </cell>
          <cell r="E527">
            <v>49</v>
          </cell>
          <cell r="AB527">
            <v>43139</v>
          </cell>
        </row>
        <row r="528">
          <cell r="D528" t="str">
            <v>ITY1102</v>
          </cell>
          <cell r="E528">
            <v>64</v>
          </cell>
          <cell r="AB528">
            <v>43143</v>
          </cell>
        </row>
        <row r="529">
          <cell r="D529" t="str">
            <v>2건</v>
          </cell>
          <cell r="E529" t="str">
            <v>평균단가</v>
          </cell>
        </row>
        <row r="532">
          <cell r="D532" t="str">
            <v>ITY1103</v>
          </cell>
          <cell r="E532">
            <v>34</v>
          </cell>
          <cell r="AB532">
            <v>43140</v>
          </cell>
        </row>
        <row r="533">
          <cell r="D533" t="str">
            <v>ITY1103</v>
          </cell>
          <cell r="E533">
            <v>43</v>
          </cell>
          <cell r="AB533">
            <v>43140</v>
          </cell>
        </row>
        <row r="534">
          <cell r="D534" t="str">
            <v>2건</v>
          </cell>
          <cell r="E534" t="str">
            <v>평균단가</v>
          </cell>
        </row>
        <row r="537">
          <cell r="D537" t="str">
            <v>ITY1201</v>
          </cell>
          <cell r="E537">
            <v>37</v>
          </cell>
          <cell r="AB537">
            <v>43222</v>
          </cell>
        </row>
        <row r="538">
          <cell r="D538" t="str">
            <v>ITY1201</v>
          </cell>
          <cell r="E538">
            <v>43</v>
          </cell>
          <cell r="AB538">
            <v>43222</v>
          </cell>
        </row>
        <row r="539">
          <cell r="D539" t="str">
            <v>ITY1201</v>
          </cell>
          <cell r="E539">
            <v>76</v>
          </cell>
          <cell r="AB539">
            <v>43222</v>
          </cell>
        </row>
        <row r="540">
          <cell r="D540" t="str">
            <v>3건</v>
          </cell>
          <cell r="E540" t="str">
            <v>평균단가</v>
          </cell>
        </row>
        <row r="543">
          <cell r="D543" t="str">
            <v>ITY1202</v>
          </cell>
          <cell r="E543">
            <v>34</v>
          </cell>
          <cell r="AB543">
            <v>43194</v>
          </cell>
        </row>
        <row r="544">
          <cell r="D544" t="str">
            <v>ITY1202</v>
          </cell>
          <cell r="E544">
            <v>49</v>
          </cell>
          <cell r="AB544">
            <v>43194</v>
          </cell>
        </row>
        <row r="545">
          <cell r="D545" t="str">
            <v>ITY1202</v>
          </cell>
          <cell r="E545">
            <v>73</v>
          </cell>
          <cell r="AB545">
            <v>43194</v>
          </cell>
        </row>
        <row r="546">
          <cell r="D546" t="str">
            <v>3건</v>
          </cell>
          <cell r="E546" t="str">
            <v>평균단가</v>
          </cell>
        </row>
        <row r="549">
          <cell r="D549" t="str">
            <v>ITY1203</v>
          </cell>
          <cell r="E549">
            <v>49</v>
          </cell>
          <cell r="AB549">
            <v>43222</v>
          </cell>
        </row>
        <row r="550">
          <cell r="D550" t="str">
            <v>ITY1203</v>
          </cell>
          <cell r="E550">
            <v>73</v>
          </cell>
          <cell r="AB550">
            <v>43222</v>
          </cell>
        </row>
        <row r="551">
          <cell r="D551" t="str">
            <v>2건</v>
          </cell>
          <cell r="E551" t="str">
            <v>평균단가</v>
          </cell>
        </row>
        <row r="554">
          <cell r="D554" t="str">
            <v>ITY1204</v>
          </cell>
          <cell r="E554">
            <v>34</v>
          </cell>
          <cell r="AB554">
            <v>43194</v>
          </cell>
        </row>
        <row r="555">
          <cell r="D555" t="str">
            <v>ITY1204</v>
          </cell>
          <cell r="E555">
            <v>49</v>
          </cell>
          <cell r="AB555">
            <v>43194</v>
          </cell>
        </row>
        <row r="556">
          <cell r="D556" t="str">
            <v>2건</v>
          </cell>
          <cell r="E556" t="str">
            <v>평균단가</v>
          </cell>
        </row>
        <row r="559">
          <cell r="D559" t="str">
            <v>ITY1205</v>
          </cell>
          <cell r="E559">
            <v>34</v>
          </cell>
          <cell r="AB559">
            <v>43215</v>
          </cell>
        </row>
        <row r="560">
          <cell r="D560" t="str">
            <v>ITY1205</v>
          </cell>
          <cell r="E560">
            <v>43</v>
          </cell>
          <cell r="AB560">
            <v>43215</v>
          </cell>
        </row>
        <row r="561">
          <cell r="D561" t="str">
            <v>ITY1205</v>
          </cell>
          <cell r="E561">
            <v>49</v>
          </cell>
          <cell r="AB561">
            <v>43215</v>
          </cell>
        </row>
        <row r="562">
          <cell r="D562" t="str">
            <v>ITY1205</v>
          </cell>
          <cell r="E562">
            <v>73</v>
          </cell>
          <cell r="AB562">
            <v>43194</v>
          </cell>
        </row>
        <row r="563">
          <cell r="D563" t="str">
            <v>ITY1205</v>
          </cell>
          <cell r="E563">
            <v>78</v>
          </cell>
          <cell r="AB563">
            <v>43194</v>
          </cell>
        </row>
        <row r="564">
          <cell r="D564" t="str">
            <v>5건</v>
          </cell>
          <cell r="E564" t="str">
            <v>평균단가</v>
          </cell>
        </row>
        <row r="567">
          <cell r="D567" t="str">
            <v>평균단가</v>
          </cell>
          <cell r="E567">
            <v>11969</v>
          </cell>
        </row>
        <row r="570">
          <cell r="D570" t="str">
            <v>ITY6201</v>
          </cell>
          <cell r="E570">
            <v>38</v>
          </cell>
          <cell r="AB570">
            <v>43186</v>
          </cell>
        </row>
        <row r="571">
          <cell r="D571" t="str">
            <v>ITY6201</v>
          </cell>
          <cell r="E571">
            <v>53</v>
          </cell>
          <cell r="AB571">
            <v>43186</v>
          </cell>
        </row>
        <row r="572">
          <cell r="D572" t="str">
            <v>2건</v>
          </cell>
          <cell r="E572" t="str">
            <v>평균단가</v>
          </cell>
        </row>
        <row r="575">
          <cell r="D575" t="str">
            <v>ITY6202</v>
          </cell>
          <cell r="E575">
            <v>38</v>
          </cell>
          <cell r="AB575">
            <v>43186</v>
          </cell>
        </row>
        <row r="576">
          <cell r="D576" t="str">
            <v>ITY6202</v>
          </cell>
          <cell r="E576">
            <v>43</v>
          </cell>
          <cell r="AB576">
            <v>43186</v>
          </cell>
        </row>
        <row r="577">
          <cell r="D577" t="str">
            <v>2건</v>
          </cell>
          <cell r="E577" t="str">
            <v>평균단가</v>
          </cell>
        </row>
        <row r="580">
          <cell r="D580" t="str">
            <v>평균단가</v>
          </cell>
          <cell r="E580">
            <v>31184</v>
          </cell>
        </row>
        <row r="583">
          <cell r="D583" t="str">
            <v>ITY7101</v>
          </cell>
          <cell r="E583">
            <v>49</v>
          </cell>
          <cell r="AB583">
            <v>43126</v>
          </cell>
        </row>
        <row r="584">
          <cell r="D584" t="str">
            <v>1건</v>
          </cell>
          <cell r="E584" t="str">
            <v>평균단가</v>
          </cell>
        </row>
        <row r="587">
          <cell r="D587" t="str">
            <v>ITY7102</v>
          </cell>
          <cell r="E587">
            <v>45</v>
          </cell>
          <cell r="AB587">
            <v>43131</v>
          </cell>
        </row>
        <row r="588">
          <cell r="D588" t="str">
            <v>ITY7102</v>
          </cell>
          <cell r="E588">
            <v>49</v>
          </cell>
          <cell r="AB588">
            <v>43131</v>
          </cell>
        </row>
        <row r="589">
          <cell r="D589" t="str">
            <v>2건</v>
          </cell>
          <cell r="E589" t="str">
            <v>평균단가</v>
          </cell>
        </row>
        <row r="592">
          <cell r="D592" t="str">
            <v>ITY7103</v>
          </cell>
          <cell r="E592">
            <v>49</v>
          </cell>
          <cell r="AB592">
            <v>43139</v>
          </cell>
        </row>
        <row r="593">
          <cell r="D593" t="str">
            <v>1건</v>
          </cell>
          <cell r="E593" t="str">
            <v>평균단가</v>
          </cell>
        </row>
        <row r="596">
          <cell r="D596" t="str">
            <v>ITY7201</v>
          </cell>
          <cell r="E596">
            <v>49</v>
          </cell>
          <cell r="AB596">
            <v>43186</v>
          </cell>
        </row>
        <row r="597">
          <cell r="D597" t="str">
            <v>1건</v>
          </cell>
          <cell r="E597" t="str">
            <v>평균단가</v>
          </cell>
        </row>
        <row r="600">
          <cell r="D600" t="str">
            <v>ITY7202</v>
          </cell>
          <cell r="E600">
            <v>43</v>
          </cell>
          <cell r="AB600">
            <v>43187</v>
          </cell>
        </row>
        <row r="601">
          <cell r="D601" t="str">
            <v>ITY7202</v>
          </cell>
          <cell r="E601">
            <v>49</v>
          </cell>
          <cell r="AB601">
            <v>43187</v>
          </cell>
        </row>
        <row r="602">
          <cell r="D602" t="str">
            <v>2건</v>
          </cell>
          <cell r="E602" t="str">
            <v>평균단가</v>
          </cell>
        </row>
        <row r="605">
          <cell r="D605" t="str">
            <v>ITY7203</v>
          </cell>
          <cell r="E605">
            <v>49</v>
          </cell>
          <cell r="AB605">
            <v>43171</v>
          </cell>
        </row>
        <row r="606">
          <cell r="D606" t="str">
            <v>1건</v>
          </cell>
          <cell r="E606" t="str">
            <v>평균단가</v>
          </cell>
        </row>
        <row r="609">
          <cell r="D609" t="str">
            <v>ITY7204</v>
          </cell>
          <cell r="E609">
            <v>49</v>
          </cell>
          <cell r="AB609">
            <v>43180</v>
          </cell>
        </row>
        <row r="610">
          <cell r="D610" t="str">
            <v>1건</v>
          </cell>
          <cell r="E610" t="str">
            <v>평균단가</v>
          </cell>
        </row>
        <row r="613">
          <cell r="D613" t="str">
            <v>ITY7205</v>
          </cell>
          <cell r="E613">
            <v>49</v>
          </cell>
          <cell r="AB613">
            <v>43174</v>
          </cell>
        </row>
        <row r="614">
          <cell r="D614" t="str">
            <v>1건</v>
          </cell>
          <cell r="E614" t="str">
            <v>평균단가</v>
          </cell>
        </row>
        <row r="617">
          <cell r="D617" t="str">
            <v>ITY7206</v>
          </cell>
          <cell r="E617">
            <v>37</v>
          </cell>
          <cell r="AB617">
            <v>43189</v>
          </cell>
        </row>
        <row r="618">
          <cell r="D618" t="str">
            <v>ITY7206</v>
          </cell>
          <cell r="E618">
            <v>49</v>
          </cell>
          <cell r="AB618">
            <v>43189</v>
          </cell>
        </row>
        <row r="619">
          <cell r="D619" t="str">
            <v>2건</v>
          </cell>
          <cell r="E619" t="str">
            <v>평균단가</v>
          </cell>
        </row>
        <row r="622">
          <cell r="D622" t="str">
            <v>평균단가</v>
          </cell>
          <cell r="E622">
            <v>19692</v>
          </cell>
        </row>
        <row r="625">
          <cell r="D625" t="str">
            <v>ITY8102</v>
          </cell>
          <cell r="E625">
            <v>43</v>
          </cell>
          <cell r="AB625">
            <v>43118</v>
          </cell>
        </row>
        <row r="626">
          <cell r="D626" t="str">
            <v>1건</v>
          </cell>
          <cell r="E626" t="str">
            <v>평균단가</v>
          </cell>
        </row>
        <row r="629">
          <cell r="D629" t="str">
            <v>ITY8103</v>
          </cell>
          <cell r="E629">
            <v>49</v>
          </cell>
          <cell r="AB629">
            <v>43118</v>
          </cell>
        </row>
        <row r="630">
          <cell r="D630" t="str">
            <v>1건</v>
          </cell>
          <cell r="E630" t="str">
            <v>평균단가</v>
          </cell>
        </row>
        <row r="633">
          <cell r="D633" t="str">
            <v>ITY8104</v>
          </cell>
          <cell r="E633">
            <v>79</v>
          </cell>
          <cell r="AB633">
            <v>43118</v>
          </cell>
        </row>
        <row r="634">
          <cell r="D634" t="str">
            <v>1건</v>
          </cell>
          <cell r="E634" t="str">
            <v>평균단가</v>
          </cell>
        </row>
        <row r="637">
          <cell r="D637" t="str">
            <v>ITY8201</v>
          </cell>
          <cell r="E637">
            <v>45</v>
          </cell>
          <cell r="AB637">
            <v>43167</v>
          </cell>
        </row>
        <row r="638">
          <cell r="D638" t="str">
            <v>ITY8201</v>
          </cell>
          <cell r="E638">
            <v>73</v>
          </cell>
          <cell r="AB638">
            <v>43167</v>
          </cell>
        </row>
        <row r="639">
          <cell r="D639" t="str">
            <v>2건</v>
          </cell>
          <cell r="E639" t="str">
            <v>평균단가</v>
          </cell>
        </row>
        <row r="642">
          <cell r="D642" t="str">
            <v>ITY8202</v>
          </cell>
          <cell r="E642">
            <v>49</v>
          </cell>
          <cell r="AB642">
            <v>43210</v>
          </cell>
        </row>
        <row r="643">
          <cell r="D643" t="str">
            <v>ITY8202</v>
          </cell>
          <cell r="E643">
            <v>76</v>
          </cell>
          <cell r="AB643">
            <v>43210</v>
          </cell>
        </row>
        <row r="644">
          <cell r="D644" t="str">
            <v>2건</v>
          </cell>
          <cell r="E644" t="str">
            <v>평균단가</v>
          </cell>
        </row>
        <row r="647">
          <cell r="D647" t="str">
            <v>ITY8203</v>
          </cell>
          <cell r="E647">
            <v>76</v>
          </cell>
          <cell r="AB647">
            <v>43215</v>
          </cell>
        </row>
        <row r="648">
          <cell r="D648" t="str">
            <v>1건</v>
          </cell>
          <cell r="E648" t="str">
            <v>평균단가</v>
          </cell>
        </row>
        <row r="651">
          <cell r="D651" t="str">
            <v>ITY8204</v>
          </cell>
          <cell r="E651">
            <v>43</v>
          </cell>
          <cell r="AB651">
            <v>43181</v>
          </cell>
        </row>
        <row r="652">
          <cell r="D652" t="str">
            <v>1건</v>
          </cell>
          <cell r="E652" t="str">
            <v>평균단가</v>
          </cell>
        </row>
        <row r="655">
          <cell r="D655" t="str">
            <v>ITY8205</v>
          </cell>
          <cell r="E655">
            <v>73</v>
          </cell>
          <cell r="AB655">
            <v>43186</v>
          </cell>
        </row>
        <row r="656">
          <cell r="D656" t="str">
            <v>1건</v>
          </cell>
          <cell r="E656" t="str">
            <v>평균단가</v>
          </cell>
        </row>
        <row r="659">
          <cell r="D659" t="str">
            <v>ITY8206</v>
          </cell>
          <cell r="E659">
            <v>49</v>
          </cell>
          <cell r="AB659">
            <v>43207</v>
          </cell>
        </row>
        <row r="660">
          <cell r="D660" t="str">
            <v>1건</v>
          </cell>
          <cell r="E660" t="str">
            <v>평균단가</v>
          </cell>
        </row>
        <row r="663">
          <cell r="D663" t="str">
            <v>ITY8207</v>
          </cell>
          <cell r="E663">
            <v>49</v>
          </cell>
          <cell r="AB663">
            <v>43181</v>
          </cell>
        </row>
        <row r="664">
          <cell r="D664" t="str">
            <v>1건</v>
          </cell>
          <cell r="E664" t="str">
            <v>평균단가</v>
          </cell>
        </row>
        <row r="667">
          <cell r="D667" t="str">
            <v>ITY8208</v>
          </cell>
          <cell r="E667">
            <v>49</v>
          </cell>
          <cell r="AB667">
            <v>43210</v>
          </cell>
        </row>
        <row r="668">
          <cell r="D668" t="str">
            <v>1건</v>
          </cell>
          <cell r="E668" t="str">
            <v>평균단가</v>
          </cell>
        </row>
        <row r="671">
          <cell r="D671" t="str">
            <v>ITY8209</v>
          </cell>
          <cell r="E671">
            <v>22</v>
          </cell>
          <cell r="AB671">
            <v>43181</v>
          </cell>
        </row>
        <row r="672">
          <cell r="D672" t="str">
            <v>1건</v>
          </cell>
          <cell r="E672" t="str">
            <v>평균단가</v>
          </cell>
        </row>
        <row r="675">
          <cell r="D675" t="str">
            <v>평균단가</v>
          </cell>
          <cell r="E675">
            <v>16286</v>
          </cell>
        </row>
        <row r="678">
          <cell r="D678" t="str">
            <v>ITY9101</v>
          </cell>
          <cell r="E678">
            <v>34</v>
          </cell>
          <cell r="AB678">
            <v>43130</v>
          </cell>
        </row>
        <row r="679">
          <cell r="D679" t="str">
            <v>1건</v>
          </cell>
          <cell r="E679" t="str">
            <v>평균단가</v>
          </cell>
        </row>
        <row r="682">
          <cell r="D682" t="str">
            <v>ITY9102</v>
          </cell>
          <cell r="E682">
            <v>49</v>
          </cell>
          <cell r="AB682">
            <v>43130</v>
          </cell>
        </row>
        <row r="683">
          <cell r="D683" t="str">
            <v>1건</v>
          </cell>
          <cell r="E683" t="str">
            <v>평균단가</v>
          </cell>
        </row>
        <row r="686">
          <cell r="D686" t="str">
            <v>ITY9103</v>
          </cell>
          <cell r="E686">
            <v>37</v>
          </cell>
          <cell r="AB686">
            <v>43144</v>
          </cell>
        </row>
        <row r="687">
          <cell r="D687" t="str">
            <v>1건</v>
          </cell>
          <cell r="E687" t="str">
            <v>평균단가</v>
          </cell>
        </row>
        <row r="690">
          <cell r="D690" t="str">
            <v>ITY9104</v>
          </cell>
          <cell r="E690">
            <v>49</v>
          </cell>
          <cell r="AB690">
            <v>43139</v>
          </cell>
        </row>
        <row r="691">
          <cell r="D691" t="str">
            <v>ITY9104</v>
          </cell>
          <cell r="E691">
            <v>54</v>
          </cell>
          <cell r="AB691">
            <v>43139</v>
          </cell>
        </row>
        <row r="692">
          <cell r="D692" t="str">
            <v>2건</v>
          </cell>
          <cell r="E692" t="str">
            <v>평균단가</v>
          </cell>
        </row>
        <row r="695">
          <cell r="D695" t="str">
            <v>ITY9201</v>
          </cell>
          <cell r="E695">
            <v>49</v>
          </cell>
          <cell r="AB695">
            <v>43194</v>
          </cell>
        </row>
        <row r="696">
          <cell r="D696" t="str">
            <v>1건</v>
          </cell>
          <cell r="E696" t="str">
            <v>평균단가</v>
          </cell>
        </row>
        <row r="699">
          <cell r="D699" t="str">
            <v>ITY9202</v>
          </cell>
          <cell r="E699">
            <v>49</v>
          </cell>
          <cell r="AB699">
            <v>43186</v>
          </cell>
        </row>
        <row r="700">
          <cell r="D700" t="str">
            <v>ITY9202</v>
          </cell>
          <cell r="E700">
            <v>73</v>
          </cell>
          <cell r="AB700">
            <v>43186</v>
          </cell>
        </row>
        <row r="701">
          <cell r="D701" t="str">
            <v>2건</v>
          </cell>
          <cell r="E701" t="str">
            <v>평균단가</v>
          </cell>
        </row>
        <row r="704">
          <cell r="D704" t="str">
            <v>ITY9203</v>
          </cell>
          <cell r="E704">
            <v>49</v>
          </cell>
          <cell r="AB704">
            <v>43171</v>
          </cell>
        </row>
        <row r="705">
          <cell r="D705" t="str">
            <v>1건</v>
          </cell>
          <cell r="E705" t="str">
            <v>평균단가</v>
          </cell>
        </row>
        <row r="708">
          <cell r="D708" t="str">
            <v>ITY9204</v>
          </cell>
          <cell r="E708">
            <v>49</v>
          </cell>
          <cell r="AB708">
            <v>43186</v>
          </cell>
        </row>
        <row r="709">
          <cell r="D709" t="str">
            <v>1건</v>
          </cell>
          <cell r="E709" t="str">
            <v>평균단가</v>
          </cell>
        </row>
        <row r="712">
          <cell r="D712" t="str">
            <v>ITY9205</v>
          </cell>
          <cell r="E712">
            <v>34</v>
          </cell>
          <cell r="AB712">
            <v>43174</v>
          </cell>
        </row>
        <row r="713">
          <cell r="D713" t="str">
            <v>1건</v>
          </cell>
          <cell r="E713" t="str">
            <v>평균단가</v>
          </cell>
        </row>
        <row r="716">
          <cell r="D716" t="str">
            <v>ITY9206</v>
          </cell>
          <cell r="E716">
            <v>34</v>
          </cell>
          <cell r="AB716">
            <v>43182</v>
          </cell>
        </row>
        <row r="717">
          <cell r="D717" t="str">
            <v>ITY9206</v>
          </cell>
          <cell r="E717">
            <v>49</v>
          </cell>
          <cell r="AB717">
            <v>43182</v>
          </cell>
        </row>
        <row r="718">
          <cell r="D718" t="str">
            <v>2건</v>
          </cell>
          <cell r="E718" t="str">
            <v>평균단가</v>
          </cell>
        </row>
        <row r="721">
          <cell r="D721" t="str">
            <v>평균단가</v>
          </cell>
          <cell r="E721">
            <v>41376</v>
          </cell>
        </row>
        <row r="724">
          <cell r="D724" t="str">
            <v>ITYT101</v>
          </cell>
          <cell r="E724">
            <v>22</v>
          </cell>
          <cell r="AB724">
            <v>43124</v>
          </cell>
        </row>
        <row r="725">
          <cell r="D725" t="str">
            <v>ITYT101</v>
          </cell>
          <cell r="E725">
            <v>49</v>
          </cell>
          <cell r="AB725">
            <v>43124</v>
          </cell>
        </row>
        <row r="726">
          <cell r="D726" t="str">
            <v>2건</v>
          </cell>
          <cell r="E726" t="str">
            <v>평균단가</v>
          </cell>
        </row>
        <row r="729">
          <cell r="D729" t="str">
            <v>평균단가</v>
          </cell>
          <cell r="E729">
            <v>40300</v>
          </cell>
        </row>
        <row r="732">
          <cell r="D732" t="str">
            <v>평균단가</v>
          </cell>
          <cell r="E732">
            <v>19609</v>
          </cell>
        </row>
        <row r="735">
          <cell r="D735" t="str">
            <v>평균단가</v>
          </cell>
          <cell r="E735">
            <v>17473</v>
          </cell>
        </row>
        <row r="738">
          <cell r="D738" t="str">
            <v>P0Y1101</v>
          </cell>
          <cell r="E738">
            <v>22</v>
          </cell>
          <cell r="AB738">
            <v>43152</v>
          </cell>
        </row>
        <row r="739">
          <cell r="D739" t="str">
            <v>P0Y1101</v>
          </cell>
          <cell r="E739">
            <v>31</v>
          </cell>
          <cell r="AB739">
            <v>43167</v>
          </cell>
        </row>
        <row r="740">
          <cell r="D740" t="str">
            <v>P0Y1101</v>
          </cell>
          <cell r="E740">
            <v>49</v>
          </cell>
          <cell r="AB740">
            <v>43152</v>
          </cell>
        </row>
        <row r="741">
          <cell r="D741" t="str">
            <v>P0Y1101</v>
          </cell>
          <cell r="E741">
            <v>73</v>
          </cell>
          <cell r="AB741">
            <v>43167</v>
          </cell>
        </row>
        <row r="742">
          <cell r="D742" t="str">
            <v>P0Y1101</v>
          </cell>
          <cell r="E742">
            <v>76</v>
          </cell>
          <cell r="AB742">
            <v>43167</v>
          </cell>
        </row>
        <row r="743">
          <cell r="D743" t="str">
            <v>5건</v>
          </cell>
          <cell r="E743" t="str">
            <v>평균단가</v>
          </cell>
        </row>
        <row r="746">
          <cell r="D746" t="str">
            <v>P0Y1102</v>
          </cell>
          <cell r="E746">
            <v>31</v>
          </cell>
          <cell r="AB746">
            <v>43126</v>
          </cell>
        </row>
        <row r="747">
          <cell r="D747" t="str">
            <v>P0Y1102</v>
          </cell>
          <cell r="E747">
            <v>62</v>
          </cell>
          <cell r="AB747">
            <v>43126</v>
          </cell>
        </row>
        <row r="748">
          <cell r="D748" t="str">
            <v>2건</v>
          </cell>
          <cell r="E748" t="str">
            <v>평균단가</v>
          </cell>
        </row>
        <row r="751">
          <cell r="D751" t="str">
            <v>P0Y1103</v>
          </cell>
          <cell r="E751">
            <v>45</v>
          </cell>
          <cell r="AB751">
            <v>43144</v>
          </cell>
        </row>
        <row r="752">
          <cell r="D752" t="str">
            <v>P0Y1103</v>
          </cell>
          <cell r="E752">
            <v>73</v>
          </cell>
          <cell r="AB752">
            <v>43144</v>
          </cell>
        </row>
        <row r="753">
          <cell r="D753" t="str">
            <v>2건</v>
          </cell>
          <cell r="E753" t="str">
            <v>평균단가</v>
          </cell>
        </row>
        <row r="756">
          <cell r="D756" t="str">
            <v>P0Y1104</v>
          </cell>
          <cell r="E756">
            <v>49</v>
          </cell>
          <cell r="AB756">
            <v>43119</v>
          </cell>
        </row>
        <row r="757">
          <cell r="D757" t="str">
            <v>P0Y1104</v>
          </cell>
          <cell r="E757">
            <v>63</v>
          </cell>
          <cell r="AB757">
            <v>43119</v>
          </cell>
        </row>
        <row r="758">
          <cell r="D758" t="str">
            <v>2건</v>
          </cell>
          <cell r="E758" t="str">
            <v>평균단가</v>
          </cell>
        </row>
        <row r="761">
          <cell r="D761" t="str">
            <v>P0Y1105</v>
          </cell>
          <cell r="E761">
            <v>63</v>
          </cell>
          <cell r="AB761">
            <v>43158</v>
          </cell>
        </row>
        <row r="762">
          <cell r="D762" t="str">
            <v>P0Y1105</v>
          </cell>
          <cell r="E762">
            <v>76</v>
          </cell>
          <cell r="AB762">
            <v>43159</v>
          </cell>
        </row>
        <row r="763">
          <cell r="D763" t="str">
            <v>2건</v>
          </cell>
          <cell r="E763" t="str">
            <v>평균단가</v>
          </cell>
        </row>
        <row r="766">
          <cell r="D766" t="str">
            <v>P0Y1106</v>
          </cell>
          <cell r="E766">
            <v>49</v>
          </cell>
          <cell r="AB766">
            <v>43140</v>
          </cell>
        </row>
        <row r="767">
          <cell r="D767" t="str">
            <v>P0Y1106</v>
          </cell>
          <cell r="E767">
            <v>63</v>
          </cell>
          <cell r="AB767">
            <v>43140</v>
          </cell>
        </row>
        <row r="768">
          <cell r="D768" t="str">
            <v>2건</v>
          </cell>
          <cell r="E768" t="str">
            <v>평균단가</v>
          </cell>
        </row>
        <row r="771">
          <cell r="D771" t="str">
            <v>P0Y1107</v>
          </cell>
          <cell r="E771">
            <v>31</v>
          </cell>
          <cell r="AB771">
            <v>43140</v>
          </cell>
        </row>
        <row r="772">
          <cell r="D772" t="str">
            <v>P0Y1107</v>
          </cell>
          <cell r="E772">
            <v>49</v>
          </cell>
          <cell r="AB772">
            <v>43140</v>
          </cell>
        </row>
        <row r="773">
          <cell r="D773" t="str">
            <v>2건</v>
          </cell>
          <cell r="E773" t="str">
            <v>평균단가</v>
          </cell>
        </row>
        <row r="776">
          <cell r="D776" t="str">
            <v>P0Y1108</v>
          </cell>
          <cell r="E776">
            <v>22</v>
          </cell>
          <cell r="AB776">
            <v>43153</v>
          </cell>
        </row>
        <row r="777">
          <cell r="D777" t="str">
            <v>P0Y1108</v>
          </cell>
          <cell r="E777">
            <v>49</v>
          </cell>
          <cell r="AB777">
            <v>43153</v>
          </cell>
        </row>
        <row r="778">
          <cell r="D778" t="str">
            <v>2건</v>
          </cell>
          <cell r="E778" t="str">
            <v>평균단가</v>
          </cell>
        </row>
        <row r="781">
          <cell r="D781" t="str">
            <v>P0Y1109</v>
          </cell>
          <cell r="E781">
            <v>49</v>
          </cell>
          <cell r="AB781">
            <v>43153</v>
          </cell>
        </row>
        <row r="782">
          <cell r="D782" t="str">
            <v>1건</v>
          </cell>
          <cell r="E782" t="str">
            <v>평균단가</v>
          </cell>
        </row>
        <row r="785">
          <cell r="D785" t="str">
            <v>P0Y1201</v>
          </cell>
          <cell r="E785">
            <v>22</v>
          </cell>
          <cell r="AB785">
            <v>43215</v>
          </cell>
        </row>
        <row r="786">
          <cell r="D786" t="str">
            <v>P0Y1201</v>
          </cell>
          <cell r="E786">
            <v>31</v>
          </cell>
          <cell r="AB786">
            <v>43215</v>
          </cell>
        </row>
        <row r="787">
          <cell r="D787" t="str">
            <v>P0Y1201</v>
          </cell>
          <cell r="E787">
            <v>41</v>
          </cell>
          <cell r="AB787">
            <v>43195</v>
          </cell>
        </row>
        <row r="788">
          <cell r="D788" t="str">
            <v>P0Y1201</v>
          </cell>
          <cell r="E788">
            <v>49</v>
          </cell>
          <cell r="AB788">
            <v>43215</v>
          </cell>
        </row>
        <row r="789">
          <cell r="D789" t="str">
            <v>P0Y1201</v>
          </cell>
          <cell r="E789">
            <v>73</v>
          </cell>
          <cell r="AB789">
            <v>43215</v>
          </cell>
        </row>
        <row r="790">
          <cell r="D790" t="str">
            <v>P0Y1201</v>
          </cell>
          <cell r="E790">
            <v>76</v>
          </cell>
          <cell r="AB790">
            <v>43195</v>
          </cell>
        </row>
        <row r="791">
          <cell r="D791" t="str">
            <v>6건</v>
          </cell>
          <cell r="E791" t="str">
            <v>평균단가</v>
          </cell>
        </row>
        <row r="794">
          <cell r="D794" t="str">
            <v>P0Y1202</v>
          </cell>
          <cell r="E794">
            <v>31</v>
          </cell>
          <cell r="AB794">
            <v>43223</v>
          </cell>
        </row>
        <row r="795">
          <cell r="D795" t="str">
            <v>P0Y1202</v>
          </cell>
          <cell r="E795">
            <v>32</v>
          </cell>
          <cell r="AB795">
            <v>43223</v>
          </cell>
        </row>
        <row r="796">
          <cell r="D796" t="str">
            <v>P0Y1202</v>
          </cell>
          <cell r="E796">
            <v>45</v>
          </cell>
          <cell r="AB796">
            <v>43223</v>
          </cell>
        </row>
        <row r="797">
          <cell r="D797" t="str">
            <v>P0Y1202</v>
          </cell>
          <cell r="E797">
            <v>66</v>
          </cell>
          <cell r="AB797">
            <v>43223</v>
          </cell>
        </row>
        <row r="798">
          <cell r="D798" t="str">
            <v>4건</v>
          </cell>
          <cell r="E798" t="str">
            <v>평균단가</v>
          </cell>
        </row>
        <row r="801">
          <cell r="D801" t="str">
            <v>P0Y1203</v>
          </cell>
          <cell r="E801">
            <v>31</v>
          </cell>
          <cell r="AB801">
            <v>43203</v>
          </cell>
        </row>
        <row r="802">
          <cell r="D802" t="str">
            <v>P0Y1203</v>
          </cell>
          <cell r="E802">
            <v>32</v>
          </cell>
          <cell r="AB802">
            <v>43196</v>
          </cell>
        </row>
        <row r="803">
          <cell r="D803" t="str">
            <v>2건</v>
          </cell>
          <cell r="E803" t="str">
            <v>평균단가</v>
          </cell>
        </row>
        <row r="806">
          <cell r="D806" t="str">
            <v>P0Y1204</v>
          </cell>
          <cell r="E806">
            <v>49</v>
          </cell>
          <cell r="AB806">
            <v>43230</v>
          </cell>
        </row>
        <row r="807">
          <cell r="D807" t="str">
            <v>P0Y1204</v>
          </cell>
          <cell r="E807">
            <v>76</v>
          </cell>
          <cell r="AB807">
            <v>43230</v>
          </cell>
        </row>
        <row r="808">
          <cell r="D808" t="str">
            <v>2건</v>
          </cell>
          <cell r="E808" t="str">
            <v>평균단가</v>
          </cell>
        </row>
        <row r="811">
          <cell r="D811" t="str">
            <v>P0Y1205</v>
          </cell>
          <cell r="E811">
            <v>32</v>
          </cell>
          <cell r="AB811">
            <v>43230</v>
          </cell>
        </row>
        <row r="812">
          <cell r="D812" t="str">
            <v>P0Y1205</v>
          </cell>
          <cell r="E812">
            <v>49</v>
          </cell>
          <cell r="AB812">
            <v>43241</v>
          </cell>
        </row>
        <row r="813">
          <cell r="D813" t="str">
            <v>2건</v>
          </cell>
          <cell r="E813" t="str">
            <v>평균단가</v>
          </cell>
        </row>
        <row r="816">
          <cell r="D816" t="str">
            <v>P0Y1206</v>
          </cell>
          <cell r="E816">
            <v>49</v>
          </cell>
          <cell r="AB816">
            <v>43192</v>
          </cell>
        </row>
        <row r="817">
          <cell r="D817" t="str">
            <v>P0Y1206</v>
          </cell>
          <cell r="E817">
            <v>66</v>
          </cell>
          <cell r="AB817">
            <v>43192</v>
          </cell>
        </row>
        <row r="818">
          <cell r="D818" t="str">
            <v>2건</v>
          </cell>
          <cell r="E818" t="str">
            <v>평균단가</v>
          </cell>
        </row>
        <row r="821">
          <cell r="D821" t="str">
            <v>P0Y1207</v>
          </cell>
          <cell r="E821">
            <v>49</v>
          </cell>
          <cell r="AB821">
            <v>43241</v>
          </cell>
        </row>
        <row r="822">
          <cell r="D822" t="str">
            <v>P0Y1207</v>
          </cell>
          <cell r="E822">
            <v>63</v>
          </cell>
          <cell r="AB822">
            <v>43245</v>
          </cell>
        </row>
        <row r="823">
          <cell r="D823" t="str">
            <v>2건</v>
          </cell>
          <cell r="E823" t="str">
            <v>평균단가</v>
          </cell>
        </row>
        <row r="826">
          <cell r="D826" t="str">
            <v>P0Y1209</v>
          </cell>
          <cell r="E826">
            <v>31</v>
          </cell>
          <cell r="AB826">
            <v>43243</v>
          </cell>
        </row>
        <row r="827">
          <cell r="D827" t="str">
            <v>P0Y1209</v>
          </cell>
          <cell r="E827">
            <v>49</v>
          </cell>
          <cell r="AB827">
            <v>43241</v>
          </cell>
        </row>
        <row r="828">
          <cell r="D828" t="str">
            <v>2건</v>
          </cell>
          <cell r="E828" t="str">
            <v>평균단가</v>
          </cell>
        </row>
        <row r="831">
          <cell r="D831" t="str">
            <v>P0Y1210</v>
          </cell>
          <cell r="E831">
            <v>66</v>
          </cell>
          <cell r="AB831">
            <v>43220</v>
          </cell>
        </row>
        <row r="832">
          <cell r="D832" t="str">
            <v>P0Y1210</v>
          </cell>
          <cell r="E832">
            <v>73</v>
          </cell>
          <cell r="AB832">
            <v>43217</v>
          </cell>
        </row>
        <row r="833">
          <cell r="D833" t="str">
            <v>2건</v>
          </cell>
          <cell r="E833" t="str">
            <v>평균단가</v>
          </cell>
        </row>
        <row r="836">
          <cell r="D836" t="str">
            <v>P0Y1211</v>
          </cell>
          <cell r="E836">
            <v>41</v>
          </cell>
          <cell r="AB836">
            <v>43222</v>
          </cell>
        </row>
        <row r="837">
          <cell r="D837" t="str">
            <v>P0Y1211</v>
          </cell>
          <cell r="E837">
            <v>71</v>
          </cell>
          <cell r="AB837">
            <v>43222</v>
          </cell>
        </row>
        <row r="838">
          <cell r="D838" t="str">
            <v>2건</v>
          </cell>
          <cell r="E838" t="str">
            <v>평균단가</v>
          </cell>
        </row>
        <row r="841">
          <cell r="D841" t="str">
            <v>P0Y1212</v>
          </cell>
          <cell r="E841">
            <v>31</v>
          </cell>
          <cell r="AB841">
            <v>43229</v>
          </cell>
        </row>
        <row r="842">
          <cell r="D842" t="str">
            <v>P0Y1212</v>
          </cell>
          <cell r="E842">
            <v>66</v>
          </cell>
          <cell r="AB842">
            <v>43220</v>
          </cell>
        </row>
        <row r="843">
          <cell r="D843" t="str">
            <v>2건</v>
          </cell>
          <cell r="E843" t="str">
            <v>평균단가</v>
          </cell>
        </row>
        <row r="846">
          <cell r="D846" t="str">
            <v>P0Y1213</v>
          </cell>
          <cell r="E846">
            <v>49</v>
          </cell>
          <cell r="AB846">
            <v>43182</v>
          </cell>
        </row>
        <row r="847">
          <cell r="D847" t="str">
            <v>1건</v>
          </cell>
          <cell r="E847" t="str">
            <v>평균단가</v>
          </cell>
        </row>
        <row r="850">
          <cell r="D850" t="str">
            <v>P0Y1214</v>
          </cell>
          <cell r="E850">
            <v>31</v>
          </cell>
          <cell r="AB850">
            <v>43214</v>
          </cell>
        </row>
        <row r="851">
          <cell r="D851" t="str">
            <v>P0Y1214</v>
          </cell>
          <cell r="E851">
            <v>49</v>
          </cell>
          <cell r="AB851">
            <v>43214</v>
          </cell>
        </row>
        <row r="852">
          <cell r="D852" t="str">
            <v>2건</v>
          </cell>
          <cell r="E852" t="str">
            <v>평균단가</v>
          </cell>
        </row>
        <row r="855">
          <cell r="D855" t="str">
            <v>P0Y1215</v>
          </cell>
          <cell r="E855">
            <v>31</v>
          </cell>
          <cell r="AB855">
            <v>43223</v>
          </cell>
        </row>
        <row r="856">
          <cell r="D856" t="str">
            <v>P0Y1215</v>
          </cell>
          <cell r="E856">
            <v>49</v>
          </cell>
          <cell r="AB856">
            <v>43223</v>
          </cell>
        </row>
        <row r="857">
          <cell r="D857" t="str">
            <v>2건</v>
          </cell>
          <cell r="E857" t="str">
            <v>평균단가</v>
          </cell>
        </row>
        <row r="860">
          <cell r="D860" t="str">
            <v>P0Y1216</v>
          </cell>
          <cell r="E860">
            <v>22</v>
          </cell>
          <cell r="AB860">
            <v>43230</v>
          </cell>
        </row>
        <row r="861">
          <cell r="D861" t="str">
            <v>P0Y1216</v>
          </cell>
          <cell r="E861">
            <v>76</v>
          </cell>
          <cell r="AB861">
            <v>43241</v>
          </cell>
        </row>
        <row r="862">
          <cell r="D862" t="str">
            <v>2건</v>
          </cell>
          <cell r="E862" t="str">
            <v>평균단가</v>
          </cell>
        </row>
        <row r="865">
          <cell r="D865" t="str">
            <v>P0Y1217</v>
          </cell>
          <cell r="E865">
            <v>49</v>
          </cell>
          <cell r="AB865">
            <v>43179</v>
          </cell>
        </row>
        <row r="866">
          <cell r="D866" t="str">
            <v>P0Y1217</v>
          </cell>
          <cell r="E866">
            <v>73</v>
          </cell>
          <cell r="AB866">
            <v>43179</v>
          </cell>
        </row>
        <row r="867">
          <cell r="D867" t="str">
            <v>2건</v>
          </cell>
          <cell r="E867" t="str">
            <v>평균단가</v>
          </cell>
        </row>
        <row r="870">
          <cell r="D870" t="str">
            <v>P0Y1218</v>
          </cell>
          <cell r="E870">
            <v>31</v>
          </cell>
          <cell r="AB870">
            <v>43180</v>
          </cell>
        </row>
        <row r="871">
          <cell r="D871" t="str">
            <v>P0Y1218</v>
          </cell>
          <cell r="E871">
            <v>49</v>
          </cell>
          <cell r="AB871">
            <v>43180</v>
          </cell>
        </row>
        <row r="872">
          <cell r="D872" t="str">
            <v>2건</v>
          </cell>
          <cell r="E872" t="str">
            <v>평균단가</v>
          </cell>
        </row>
        <row r="875">
          <cell r="D875" t="str">
            <v>P0Y1219</v>
          </cell>
          <cell r="E875">
            <v>31</v>
          </cell>
          <cell r="AB875">
            <v>43180</v>
          </cell>
        </row>
        <row r="876">
          <cell r="D876" t="str">
            <v>1건</v>
          </cell>
          <cell r="E876" t="str">
            <v>평균단가</v>
          </cell>
        </row>
        <row r="879">
          <cell r="D879" t="str">
            <v>P0Y1222</v>
          </cell>
          <cell r="E879">
            <v>49</v>
          </cell>
          <cell r="AB879">
            <v>43181</v>
          </cell>
        </row>
        <row r="880">
          <cell r="D880" t="str">
            <v>P0Y1222</v>
          </cell>
          <cell r="E880">
            <v>73</v>
          </cell>
          <cell r="AB880">
            <v>43181</v>
          </cell>
        </row>
        <row r="881">
          <cell r="D881" t="str">
            <v>2건</v>
          </cell>
          <cell r="E881" t="str">
            <v>평균단가</v>
          </cell>
        </row>
        <row r="884">
          <cell r="D884" t="str">
            <v>P0Y1223</v>
          </cell>
          <cell r="E884">
            <v>49</v>
          </cell>
          <cell r="AB884">
            <v>43210</v>
          </cell>
        </row>
        <row r="885">
          <cell r="D885" t="str">
            <v>P0Y1223</v>
          </cell>
          <cell r="E885">
            <v>73</v>
          </cell>
          <cell r="AB885">
            <v>43210</v>
          </cell>
        </row>
        <row r="886">
          <cell r="D886" t="str">
            <v>2건</v>
          </cell>
          <cell r="E886" t="str">
            <v>평균단가</v>
          </cell>
        </row>
        <row r="889">
          <cell r="D889" t="str">
            <v>P0Y1224</v>
          </cell>
          <cell r="E889">
            <v>49</v>
          </cell>
          <cell r="AB889">
            <v>43214</v>
          </cell>
        </row>
        <row r="890">
          <cell r="D890" t="str">
            <v>P0Y1224</v>
          </cell>
          <cell r="E890">
            <v>79</v>
          </cell>
          <cell r="AB890">
            <v>43210</v>
          </cell>
        </row>
        <row r="891">
          <cell r="D891" t="str">
            <v>2건</v>
          </cell>
          <cell r="E891" t="str">
            <v>평균단가</v>
          </cell>
        </row>
        <row r="894">
          <cell r="D894" t="str">
            <v>평균단가</v>
          </cell>
          <cell r="E894">
            <v>13127</v>
          </cell>
        </row>
        <row r="897">
          <cell r="D897" t="str">
            <v>P0Y4101</v>
          </cell>
          <cell r="E897">
            <v>49</v>
          </cell>
          <cell r="AB897">
            <v>43144</v>
          </cell>
        </row>
        <row r="898">
          <cell r="D898" t="str">
            <v>1건</v>
          </cell>
          <cell r="E898" t="str">
            <v>평균단가</v>
          </cell>
        </row>
        <row r="901">
          <cell r="D901" t="str">
            <v>P0Y4102</v>
          </cell>
          <cell r="E901">
            <v>76</v>
          </cell>
          <cell r="AB901">
            <v>43140</v>
          </cell>
        </row>
        <row r="902">
          <cell r="D902" t="str">
            <v>1건</v>
          </cell>
          <cell r="E902" t="str">
            <v>평균단가</v>
          </cell>
        </row>
        <row r="905">
          <cell r="D905" t="str">
            <v>평균단가</v>
          </cell>
          <cell r="E905">
            <v>25733</v>
          </cell>
        </row>
        <row r="908">
          <cell r="D908" t="str">
            <v>P0Y5101</v>
          </cell>
          <cell r="E908">
            <v>31</v>
          </cell>
          <cell r="AB908">
            <v>43165</v>
          </cell>
        </row>
        <row r="909">
          <cell r="D909" t="str">
            <v>P0Y5101</v>
          </cell>
          <cell r="E909">
            <v>49</v>
          </cell>
          <cell r="AB909">
            <v>43150</v>
          </cell>
        </row>
        <row r="910">
          <cell r="D910" t="str">
            <v>2건</v>
          </cell>
          <cell r="E910" t="str">
            <v>평균단가</v>
          </cell>
        </row>
        <row r="913">
          <cell r="D913" t="str">
            <v>평균단가</v>
          </cell>
          <cell r="E913">
            <v>42260</v>
          </cell>
        </row>
        <row r="916">
          <cell r="D916" t="str">
            <v>P0Y6101</v>
          </cell>
          <cell r="E916">
            <v>43</v>
          </cell>
          <cell r="AB916">
            <v>43151</v>
          </cell>
        </row>
        <row r="917">
          <cell r="D917" t="str">
            <v>P0Y6101</v>
          </cell>
          <cell r="E917">
            <v>63</v>
          </cell>
          <cell r="AB917">
            <v>43151</v>
          </cell>
        </row>
        <row r="918">
          <cell r="D918" t="str">
            <v>P0Y6101</v>
          </cell>
          <cell r="E918">
            <v>76</v>
          </cell>
          <cell r="AB918">
            <v>43151</v>
          </cell>
        </row>
        <row r="919">
          <cell r="D919" t="str">
            <v>3건</v>
          </cell>
          <cell r="E919" t="str">
            <v>평균단가</v>
          </cell>
        </row>
        <row r="922">
          <cell r="D922" t="str">
            <v>P0Y6102</v>
          </cell>
          <cell r="E922">
            <v>31</v>
          </cell>
          <cell r="AB922">
            <v>43139</v>
          </cell>
        </row>
        <row r="923">
          <cell r="D923" t="str">
            <v>P0Y6102</v>
          </cell>
          <cell r="E923">
            <v>49</v>
          </cell>
          <cell r="AB923">
            <v>43139</v>
          </cell>
        </row>
        <row r="924">
          <cell r="D924" t="str">
            <v>2건</v>
          </cell>
          <cell r="E924" t="str">
            <v>평균단가</v>
          </cell>
        </row>
        <row r="927">
          <cell r="D927" t="str">
            <v>P0Y6201</v>
          </cell>
          <cell r="E927">
            <v>31</v>
          </cell>
          <cell r="AB927">
            <v>43167</v>
          </cell>
        </row>
        <row r="928">
          <cell r="D928" t="str">
            <v>P0Y6201</v>
          </cell>
          <cell r="E928">
            <v>49</v>
          </cell>
          <cell r="AB928">
            <v>43167</v>
          </cell>
        </row>
        <row r="929">
          <cell r="D929" t="str">
            <v>P0Y6201</v>
          </cell>
          <cell r="E929">
            <v>74</v>
          </cell>
          <cell r="AB929">
            <v>43167</v>
          </cell>
        </row>
        <row r="930">
          <cell r="D930" t="str">
            <v>3건</v>
          </cell>
          <cell r="E930" t="str">
            <v>평균단가</v>
          </cell>
        </row>
        <row r="933">
          <cell r="D933" t="str">
            <v>P0Y6202</v>
          </cell>
          <cell r="E933">
            <v>27</v>
          </cell>
          <cell r="AB933">
            <v>43172</v>
          </cell>
        </row>
        <row r="934">
          <cell r="D934" t="str">
            <v>P0Y6202</v>
          </cell>
          <cell r="E934">
            <v>76</v>
          </cell>
          <cell r="AB934">
            <v>43172</v>
          </cell>
        </row>
        <row r="935">
          <cell r="D935" t="str">
            <v>2건</v>
          </cell>
          <cell r="E935" t="str">
            <v>평균단가</v>
          </cell>
        </row>
        <row r="938">
          <cell r="D938" t="str">
            <v>P0Y6203</v>
          </cell>
          <cell r="E938">
            <v>43</v>
          </cell>
          <cell r="AB938">
            <v>43186</v>
          </cell>
        </row>
        <row r="939">
          <cell r="D939" t="str">
            <v>P0Y6203</v>
          </cell>
          <cell r="E939">
            <v>63</v>
          </cell>
          <cell r="AB939">
            <v>43186</v>
          </cell>
        </row>
        <row r="940">
          <cell r="D940" t="str">
            <v>2건</v>
          </cell>
          <cell r="E940" t="str">
            <v>평균단가</v>
          </cell>
        </row>
        <row r="943">
          <cell r="D943" t="str">
            <v>P0Y6204</v>
          </cell>
          <cell r="E943">
            <v>31</v>
          </cell>
          <cell r="AB943">
            <v>43178</v>
          </cell>
        </row>
        <row r="944">
          <cell r="D944" t="str">
            <v>P0Y6204</v>
          </cell>
          <cell r="E944">
            <v>49</v>
          </cell>
          <cell r="AB944">
            <v>43178</v>
          </cell>
        </row>
        <row r="945">
          <cell r="D945" t="str">
            <v>2건</v>
          </cell>
          <cell r="E945" t="str">
            <v>평균단가</v>
          </cell>
        </row>
        <row r="948">
          <cell r="D948" t="str">
            <v>평균단가</v>
          </cell>
          <cell r="E948">
            <v>32125</v>
          </cell>
        </row>
        <row r="951">
          <cell r="D951" t="str">
            <v>P0Y7101</v>
          </cell>
          <cell r="E951">
            <v>49</v>
          </cell>
          <cell r="AB951">
            <v>43167</v>
          </cell>
        </row>
        <row r="952">
          <cell r="D952" t="str">
            <v>P0Y7101</v>
          </cell>
          <cell r="E952">
            <v>53</v>
          </cell>
          <cell r="AB952">
            <v>43167</v>
          </cell>
        </row>
        <row r="953">
          <cell r="D953" t="str">
            <v>2건</v>
          </cell>
          <cell r="E953" t="str">
            <v>평균단가</v>
          </cell>
        </row>
        <row r="956">
          <cell r="D956" t="str">
            <v>P0Y7102</v>
          </cell>
          <cell r="E956">
            <v>27</v>
          </cell>
          <cell r="AB956">
            <v>43123</v>
          </cell>
        </row>
        <row r="957">
          <cell r="D957" t="str">
            <v>P0Y7102</v>
          </cell>
          <cell r="E957">
            <v>49</v>
          </cell>
          <cell r="AB957">
            <v>43123</v>
          </cell>
        </row>
        <row r="958">
          <cell r="D958" t="str">
            <v>2건</v>
          </cell>
          <cell r="E958" t="str">
            <v>평균단가</v>
          </cell>
        </row>
        <row r="961">
          <cell r="D961" t="str">
            <v>P0Y7103</v>
          </cell>
          <cell r="E961">
            <v>45</v>
          </cell>
          <cell r="AB961">
            <v>43139</v>
          </cell>
        </row>
        <row r="962">
          <cell r="D962" t="str">
            <v>P0Y7103</v>
          </cell>
          <cell r="E962">
            <v>63</v>
          </cell>
          <cell r="AB962">
            <v>43139</v>
          </cell>
        </row>
        <row r="963">
          <cell r="D963" t="str">
            <v>P0Y7103</v>
          </cell>
          <cell r="E963">
            <v>73</v>
          </cell>
          <cell r="AB963">
            <v>43139</v>
          </cell>
        </row>
        <row r="964">
          <cell r="D964" t="str">
            <v>3건</v>
          </cell>
          <cell r="E964" t="str">
            <v>평균단가</v>
          </cell>
        </row>
        <row r="967">
          <cell r="D967" t="str">
            <v>P0Y7104</v>
          </cell>
          <cell r="E967">
            <v>31</v>
          </cell>
          <cell r="AB967">
            <v>43161</v>
          </cell>
        </row>
        <row r="968">
          <cell r="D968" t="str">
            <v>1건</v>
          </cell>
          <cell r="E968" t="str">
            <v>평균단가</v>
          </cell>
        </row>
        <row r="971">
          <cell r="D971" t="str">
            <v>P0Y7201</v>
          </cell>
          <cell r="E971">
            <v>49</v>
          </cell>
          <cell r="AB971">
            <v>43171</v>
          </cell>
        </row>
        <row r="972">
          <cell r="D972" t="str">
            <v>P0Y7201</v>
          </cell>
          <cell r="E972">
            <v>53</v>
          </cell>
          <cell r="AB972">
            <v>43171</v>
          </cell>
        </row>
        <row r="973">
          <cell r="D973" t="str">
            <v>P0Y7201</v>
          </cell>
          <cell r="E973">
            <v>76</v>
          </cell>
          <cell r="AB973">
            <v>43171</v>
          </cell>
        </row>
        <row r="974">
          <cell r="D974" t="str">
            <v>3건</v>
          </cell>
          <cell r="E974" t="str">
            <v>평균단가</v>
          </cell>
        </row>
        <row r="977">
          <cell r="D977" t="str">
            <v>P0Y7202</v>
          </cell>
          <cell r="E977">
            <v>31</v>
          </cell>
          <cell r="AB977">
            <v>43196</v>
          </cell>
        </row>
        <row r="978">
          <cell r="D978" t="str">
            <v>P0Y7202</v>
          </cell>
          <cell r="E978">
            <v>49</v>
          </cell>
          <cell r="AB978">
            <v>43196</v>
          </cell>
        </row>
        <row r="979">
          <cell r="D979" t="str">
            <v>2건</v>
          </cell>
          <cell r="E979" t="str">
            <v>평균단가</v>
          </cell>
        </row>
        <row r="982">
          <cell r="D982" t="str">
            <v>P0Y7203</v>
          </cell>
          <cell r="E982">
            <v>37</v>
          </cell>
          <cell r="AB982">
            <v>43186</v>
          </cell>
        </row>
        <row r="983">
          <cell r="D983" t="str">
            <v>P0Y7203</v>
          </cell>
          <cell r="E983">
            <v>49</v>
          </cell>
          <cell r="AB983">
            <v>43186</v>
          </cell>
        </row>
        <row r="984">
          <cell r="D984" t="str">
            <v>2건</v>
          </cell>
          <cell r="E984" t="str">
            <v>평균단가</v>
          </cell>
        </row>
        <row r="987">
          <cell r="D987" t="str">
            <v>P0Y7204</v>
          </cell>
          <cell r="E987">
            <v>45</v>
          </cell>
          <cell r="AB987">
            <v>43217</v>
          </cell>
        </row>
        <row r="988">
          <cell r="D988" t="str">
            <v>P0Y7204</v>
          </cell>
          <cell r="E988">
            <v>73</v>
          </cell>
          <cell r="AB988">
            <v>43217</v>
          </cell>
        </row>
        <row r="989">
          <cell r="D989" t="str">
            <v>2건</v>
          </cell>
          <cell r="E989" t="str">
            <v>평균단가</v>
          </cell>
        </row>
        <row r="992">
          <cell r="D992" t="str">
            <v>P0Y7205</v>
          </cell>
          <cell r="E992">
            <v>31</v>
          </cell>
          <cell r="AB992">
            <v>43186</v>
          </cell>
        </row>
        <row r="993">
          <cell r="D993" t="str">
            <v>P0Y7205</v>
          </cell>
          <cell r="E993">
            <v>49</v>
          </cell>
          <cell r="AB993">
            <v>43186</v>
          </cell>
        </row>
        <row r="994">
          <cell r="D994" t="str">
            <v>2건</v>
          </cell>
          <cell r="E994" t="str">
            <v>평균단가</v>
          </cell>
        </row>
        <row r="997">
          <cell r="D997" t="str">
            <v>P0Y7206</v>
          </cell>
          <cell r="E997">
            <v>31</v>
          </cell>
          <cell r="AB997">
            <v>43200</v>
          </cell>
        </row>
        <row r="998">
          <cell r="D998" t="str">
            <v>P0Y7206</v>
          </cell>
          <cell r="E998">
            <v>49</v>
          </cell>
          <cell r="AB998">
            <v>43200</v>
          </cell>
        </row>
        <row r="999">
          <cell r="D999" t="str">
            <v>2건</v>
          </cell>
          <cell r="E999" t="str">
            <v>평균단가</v>
          </cell>
        </row>
        <row r="1002">
          <cell r="D1002" t="str">
            <v>P0Y7207</v>
          </cell>
          <cell r="E1002">
            <v>49</v>
          </cell>
          <cell r="AB1002">
            <v>43203</v>
          </cell>
        </row>
        <row r="1003">
          <cell r="D1003" t="str">
            <v>P0Y7207</v>
          </cell>
          <cell r="E1003">
            <v>76</v>
          </cell>
          <cell r="AB1003">
            <v>43203</v>
          </cell>
        </row>
        <row r="1004">
          <cell r="D1004" t="str">
            <v>2건</v>
          </cell>
          <cell r="E1004" t="str">
            <v>평균단가</v>
          </cell>
        </row>
        <row r="1007">
          <cell r="D1007" t="str">
            <v>P0Y7208</v>
          </cell>
          <cell r="E1007">
            <v>27</v>
          </cell>
          <cell r="AB1007">
            <v>43217</v>
          </cell>
        </row>
        <row r="1008">
          <cell r="D1008" t="str">
            <v>P0Y7208</v>
          </cell>
          <cell r="E1008">
            <v>45</v>
          </cell>
          <cell r="AB1008">
            <v>43217</v>
          </cell>
        </row>
        <row r="1009">
          <cell r="D1009" t="str">
            <v>2건</v>
          </cell>
          <cell r="E1009" t="str">
            <v>평균단가</v>
          </cell>
        </row>
        <row r="1012">
          <cell r="D1012" t="str">
            <v>평균단가</v>
          </cell>
          <cell r="E1012">
            <v>17230</v>
          </cell>
        </row>
        <row r="1015">
          <cell r="D1015" t="str">
            <v>P0YQ101</v>
          </cell>
          <cell r="E1015">
            <v>49</v>
          </cell>
          <cell r="AB1015">
            <v>43158</v>
          </cell>
        </row>
        <row r="1016">
          <cell r="D1016" t="str">
            <v>1건</v>
          </cell>
          <cell r="E1016" t="str">
            <v>평균단가</v>
          </cell>
        </row>
        <row r="1019">
          <cell r="D1019" t="str">
            <v>P0YQ102</v>
          </cell>
          <cell r="E1019">
            <v>34</v>
          </cell>
          <cell r="AB1019">
            <v>43171</v>
          </cell>
        </row>
        <row r="1020">
          <cell r="D1020" t="str">
            <v>1건</v>
          </cell>
          <cell r="E1020" t="str">
            <v>평균단가</v>
          </cell>
        </row>
        <row r="1023">
          <cell r="D1023" t="str">
            <v>P0YQ201</v>
          </cell>
          <cell r="E1023">
            <v>31</v>
          </cell>
          <cell r="AB1023">
            <v>43209</v>
          </cell>
        </row>
        <row r="1024">
          <cell r="D1024" t="str">
            <v>P0YQ201</v>
          </cell>
          <cell r="E1024">
            <v>49</v>
          </cell>
          <cell r="AB1024">
            <v>43209</v>
          </cell>
        </row>
        <row r="1025">
          <cell r="D1025" t="str">
            <v>2건</v>
          </cell>
          <cell r="E1025" t="str">
            <v>평균단가</v>
          </cell>
        </row>
        <row r="1028">
          <cell r="D1028" t="str">
            <v>P0YQ202</v>
          </cell>
          <cell r="E1028">
            <v>49</v>
          </cell>
          <cell r="AB1028">
            <v>43210</v>
          </cell>
        </row>
        <row r="1029">
          <cell r="D1029" t="str">
            <v>P0YQ202</v>
          </cell>
          <cell r="E1029">
            <v>63</v>
          </cell>
          <cell r="AB1029">
            <v>43214</v>
          </cell>
        </row>
        <row r="1030">
          <cell r="D1030" t="str">
            <v>P0YQ202</v>
          </cell>
          <cell r="E1030">
            <v>76</v>
          </cell>
          <cell r="AB1030">
            <v>43210</v>
          </cell>
        </row>
        <row r="1031">
          <cell r="D1031" t="str">
            <v>3건</v>
          </cell>
          <cell r="E1031" t="str">
            <v>평균단가</v>
          </cell>
        </row>
        <row r="1034">
          <cell r="D1034" t="str">
            <v>평균단가</v>
          </cell>
          <cell r="E1034">
            <v>22233</v>
          </cell>
        </row>
        <row r="1037">
          <cell r="D1037" t="str">
            <v>P0YT101</v>
          </cell>
          <cell r="E1037">
            <v>26</v>
          </cell>
          <cell r="AB1037">
            <v>43138</v>
          </cell>
        </row>
        <row r="1038">
          <cell r="D1038" t="str">
            <v>P0YT101</v>
          </cell>
          <cell r="E1038">
            <v>49</v>
          </cell>
          <cell r="AB1038">
            <v>43138</v>
          </cell>
        </row>
        <row r="1039">
          <cell r="D1039" t="str">
            <v>2건</v>
          </cell>
          <cell r="E1039" t="str">
            <v>평균단가</v>
          </cell>
        </row>
        <row r="1042">
          <cell r="D1042" t="str">
            <v>평균단가</v>
          </cell>
          <cell r="E1042">
            <v>45843</v>
          </cell>
        </row>
        <row r="1045">
          <cell r="D1045" t="str">
            <v>P0YV101</v>
          </cell>
          <cell r="E1045">
            <v>27</v>
          </cell>
          <cell r="AB1045">
            <v>43143</v>
          </cell>
        </row>
        <row r="1046">
          <cell r="D1046" t="str">
            <v>P0YV101</v>
          </cell>
          <cell r="E1046">
            <v>75</v>
          </cell>
          <cell r="AB1046">
            <v>43143</v>
          </cell>
        </row>
        <row r="1047">
          <cell r="D1047" t="str">
            <v>2건</v>
          </cell>
          <cell r="E1047" t="str">
            <v>평균단가</v>
          </cell>
        </row>
        <row r="1050">
          <cell r="D1050" t="str">
            <v>P0YV201</v>
          </cell>
          <cell r="E1050">
            <v>27</v>
          </cell>
          <cell r="AB1050">
            <v>43179</v>
          </cell>
        </row>
        <row r="1051">
          <cell r="D1051" t="str">
            <v>P0YV201</v>
          </cell>
          <cell r="E1051">
            <v>49</v>
          </cell>
          <cell r="AB1051">
            <v>43179</v>
          </cell>
        </row>
        <row r="1052">
          <cell r="D1052" t="str">
            <v>2건</v>
          </cell>
          <cell r="E1052" t="str">
            <v>평균단가</v>
          </cell>
        </row>
        <row r="1055">
          <cell r="D1055" t="str">
            <v>P0YV202</v>
          </cell>
          <cell r="E1055">
            <v>31</v>
          </cell>
          <cell r="AB1055">
            <v>43179</v>
          </cell>
        </row>
        <row r="1056">
          <cell r="D1056" t="str">
            <v>P0YV202</v>
          </cell>
          <cell r="E1056">
            <v>66</v>
          </cell>
          <cell r="AB1056">
            <v>43179</v>
          </cell>
        </row>
        <row r="1057">
          <cell r="D1057" t="str">
            <v>2건</v>
          </cell>
          <cell r="E1057" t="str">
            <v>평균단가</v>
          </cell>
        </row>
        <row r="1060">
          <cell r="D1060" t="str">
            <v>P0YV203</v>
          </cell>
          <cell r="E1060">
            <v>49</v>
          </cell>
          <cell r="AB1060">
            <v>43186</v>
          </cell>
        </row>
        <row r="1061">
          <cell r="D1061" t="str">
            <v>P0YV203</v>
          </cell>
          <cell r="E1061">
            <v>54</v>
          </cell>
          <cell r="AB1061">
            <v>43186</v>
          </cell>
        </row>
        <row r="1062">
          <cell r="D1062" t="str">
            <v>2건</v>
          </cell>
          <cell r="E1062" t="str">
            <v>평균단가</v>
          </cell>
        </row>
        <row r="1065">
          <cell r="D1065" t="str">
            <v>평균단가</v>
          </cell>
          <cell r="E1065">
            <v>28273</v>
          </cell>
        </row>
        <row r="1068">
          <cell r="D1068" t="str">
            <v>평균단가</v>
          </cell>
          <cell r="E1068">
            <v>17738</v>
          </cell>
        </row>
        <row r="1071">
          <cell r="D1071" t="str">
            <v>PAYG101</v>
          </cell>
          <cell r="E1071">
            <v>41</v>
          </cell>
          <cell r="AB1071">
            <v>43209</v>
          </cell>
        </row>
        <row r="1072">
          <cell r="D1072" t="str">
            <v>1건</v>
          </cell>
          <cell r="E1072" t="str">
            <v>평균단가</v>
          </cell>
        </row>
        <row r="1075">
          <cell r="D1075" t="str">
            <v>PAYG102</v>
          </cell>
          <cell r="E1075">
            <v>31</v>
          </cell>
          <cell r="AB1075">
            <v>43200</v>
          </cell>
        </row>
        <row r="1076">
          <cell r="D1076" t="str">
            <v>1건</v>
          </cell>
          <cell r="E1076" t="str">
            <v>평균단가</v>
          </cell>
        </row>
        <row r="1079">
          <cell r="D1079" t="str">
            <v>평균단가</v>
          </cell>
          <cell r="E1079">
            <v>16325</v>
          </cell>
        </row>
        <row r="1082">
          <cell r="D1082" t="str">
            <v>PAYT101</v>
          </cell>
          <cell r="E1082">
            <v>49</v>
          </cell>
          <cell r="AB1082">
            <v>43124</v>
          </cell>
        </row>
        <row r="1083">
          <cell r="D1083" t="str">
            <v>1건</v>
          </cell>
          <cell r="E1083" t="str">
            <v>평균단가</v>
          </cell>
        </row>
        <row r="1086">
          <cell r="D1086" t="str">
            <v>PAYT102</v>
          </cell>
          <cell r="E1086">
            <v>31</v>
          </cell>
          <cell r="AB1086">
            <v>43124</v>
          </cell>
        </row>
        <row r="1087">
          <cell r="D1087" t="str">
            <v>PAYT102</v>
          </cell>
          <cell r="E1087">
            <v>39</v>
          </cell>
          <cell r="AB1087">
            <v>43124</v>
          </cell>
        </row>
        <row r="1088">
          <cell r="D1088" t="str">
            <v>2건</v>
          </cell>
          <cell r="E1088" t="str">
            <v>평균단가</v>
          </cell>
        </row>
        <row r="1091">
          <cell r="D1091" t="str">
            <v>평균단가</v>
          </cell>
          <cell r="E1091">
            <v>7300</v>
          </cell>
        </row>
        <row r="1094">
          <cell r="D1094" t="str">
            <v>PAYV201</v>
          </cell>
          <cell r="E1094">
            <v>49</v>
          </cell>
          <cell r="AB1094">
            <v>43189</v>
          </cell>
        </row>
        <row r="1095">
          <cell r="D1095" t="str">
            <v>PAYV201</v>
          </cell>
          <cell r="E1095">
            <v>76</v>
          </cell>
          <cell r="AB1095">
            <v>43189</v>
          </cell>
        </row>
        <row r="1096">
          <cell r="D1096" t="str">
            <v>2건</v>
          </cell>
          <cell r="E1096" t="str">
            <v>평균단가</v>
          </cell>
        </row>
        <row r="1099">
          <cell r="D1099" t="str">
            <v>평균단가</v>
          </cell>
          <cell r="E1099">
            <v>15101</v>
          </cell>
        </row>
        <row r="1102">
          <cell r="D1102" t="str">
            <v>PAYW101</v>
          </cell>
          <cell r="E1102">
            <v>49</v>
          </cell>
          <cell r="AB1102">
            <v>43143</v>
          </cell>
        </row>
        <row r="1103">
          <cell r="D1103" t="str">
            <v>1건</v>
          </cell>
          <cell r="E1103" t="str">
            <v>평균단가</v>
          </cell>
        </row>
        <row r="1106">
          <cell r="D1106" t="str">
            <v>PAYW102</v>
          </cell>
          <cell r="E1106">
            <v>49</v>
          </cell>
          <cell r="AB1106">
            <v>43152</v>
          </cell>
        </row>
        <row r="1107">
          <cell r="D1107" t="str">
            <v>PAYW102</v>
          </cell>
          <cell r="E1107">
            <v>76</v>
          </cell>
          <cell r="AB1107">
            <v>43152</v>
          </cell>
        </row>
        <row r="1108">
          <cell r="D1108" t="str">
            <v>2건</v>
          </cell>
          <cell r="E1108" t="str">
            <v>평균단가</v>
          </cell>
        </row>
        <row r="1111">
          <cell r="D1111" t="str">
            <v>PAYW103</v>
          </cell>
          <cell r="E1111">
            <v>31</v>
          </cell>
          <cell r="AB1111">
            <v>43178</v>
          </cell>
        </row>
        <row r="1112">
          <cell r="D1112" t="str">
            <v>PAYW103</v>
          </cell>
          <cell r="E1112">
            <v>49</v>
          </cell>
          <cell r="AB1112">
            <v>43178</v>
          </cell>
        </row>
        <row r="1113">
          <cell r="D1113" t="str">
            <v>2건</v>
          </cell>
          <cell r="E1113" t="str">
            <v>평균단가</v>
          </cell>
        </row>
        <row r="1116">
          <cell r="D1116" t="str">
            <v>PAYW104</v>
          </cell>
          <cell r="E1116">
            <v>41</v>
          </cell>
          <cell r="AB1116">
            <v>43161</v>
          </cell>
        </row>
        <row r="1117">
          <cell r="D1117" t="str">
            <v>PAYW104</v>
          </cell>
          <cell r="E1117">
            <v>76</v>
          </cell>
          <cell r="AB1117">
            <v>43161</v>
          </cell>
        </row>
        <row r="1118">
          <cell r="D1118" t="str">
            <v>2건</v>
          </cell>
          <cell r="E1118" t="str">
            <v>평균단가</v>
          </cell>
        </row>
        <row r="1121">
          <cell r="D1121" t="str">
            <v>PAYW105</v>
          </cell>
          <cell r="E1121">
            <v>31</v>
          </cell>
          <cell r="AB1121">
            <v>43189</v>
          </cell>
        </row>
        <row r="1122">
          <cell r="D1122" t="str">
            <v>PAYW105</v>
          </cell>
          <cell r="E1122">
            <v>49</v>
          </cell>
          <cell r="AB1122">
            <v>43189</v>
          </cell>
        </row>
        <row r="1123">
          <cell r="D1123" t="str">
            <v>2건</v>
          </cell>
          <cell r="E1123" t="str">
            <v>평균단가</v>
          </cell>
        </row>
        <row r="1126">
          <cell r="D1126" t="str">
            <v>PAYW106</v>
          </cell>
          <cell r="E1126">
            <v>31</v>
          </cell>
          <cell r="AB1126">
            <v>43158</v>
          </cell>
        </row>
        <row r="1127">
          <cell r="D1127" t="str">
            <v>PAYW106</v>
          </cell>
          <cell r="E1127">
            <v>39</v>
          </cell>
          <cell r="AB1127">
            <v>43158</v>
          </cell>
        </row>
        <row r="1128">
          <cell r="D1128" t="str">
            <v>2건</v>
          </cell>
          <cell r="E1128" t="str">
            <v>평균단가</v>
          </cell>
        </row>
        <row r="1131">
          <cell r="D1131" t="str">
            <v>PAYW201</v>
          </cell>
          <cell r="E1131">
            <v>31</v>
          </cell>
          <cell r="AB1131">
            <v>43187</v>
          </cell>
        </row>
        <row r="1132">
          <cell r="D1132" t="str">
            <v>PAYW201</v>
          </cell>
          <cell r="E1132">
            <v>49</v>
          </cell>
          <cell r="AB1132">
            <v>43187</v>
          </cell>
        </row>
        <row r="1133">
          <cell r="D1133" t="str">
            <v>2건</v>
          </cell>
          <cell r="E1133" t="str">
            <v>평균단가</v>
          </cell>
        </row>
        <row r="1136">
          <cell r="D1136" t="str">
            <v>PAYW202</v>
          </cell>
          <cell r="E1136">
            <v>31</v>
          </cell>
          <cell r="AB1136">
            <v>43210</v>
          </cell>
        </row>
        <row r="1137">
          <cell r="D1137" t="str">
            <v>PAYW202</v>
          </cell>
          <cell r="E1137">
            <v>49</v>
          </cell>
          <cell r="AB1137">
            <v>43210</v>
          </cell>
        </row>
        <row r="1138">
          <cell r="D1138" t="str">
            <v>2건</v>
          </cell>
          <cell r="E1138" t="str">
            <v>평균단가</v>
          </cell>
        </row>
        <row r="1141">
          <cell r="D1141" t="str">
            <v>PAYW203</v>
          </cell>
          <cell r="E1141">
            <v>45</v>
          </cell>
          <cell r="AB1141">
            <v>43209</v>
          </cell>
        </row>
        <row r="1142">
          <cell r="D1142" t="str">
            <v>PAYW203</v>
          </cell>
          <cell r="E1142">
            <v>74</v>
          </cell>
          <cell r="AB1142">
            <v>43209</v>
          </cell>
        </row>
        <row r="1143">
          <cell r="D1143" t="str">
            <v>2건</v>
          </cell>
          <cell r="E1143" t="str">
            <v>평균단가</v>
          </cell>
        </row>
        <row r="1146">
          <cell r="D1146" t="str">
            <v>PAYW204</v>
          </cell>
          <cell r="E1146">
            <v>39</v>
          </cell>
          <cell r="AB1146">
            <v>43193</v>
          </cell>
        </row>
        <row r="1147">
          <cell r="D1147" t="str">
            <v>PAYW204</v>
          </cell>
          <cell r="E1147">
            <v>76</v>
          </cell>
          <cell r="AB1147">
            <v>43193</v>
          </cell>
        </row>
        <row r="1148">
          <cell r="D1148" t="str">
            <v>2건</v>
          </cell>
          <cell r="E1148" t="str">
            <v>평균단가</v>
          </cell>
        </row>
        <row r="1151">
          <cell r="D1151" t="str">
            <v>PAYW206</v>
          </cell>
          <cell r="E1151">
            <v>49</v>
          </cell>
          <cell r="AB1151">
            <v>43203</v>
          </cell>
        </row>
        <row r="1152">
          <cell r="D1152" t="str">
            <v>PAYW206</v>
          </cell>
          <cell r="E1152">
            <v>76</v>
          </cell>
          <cell r="AB1152">
            <v>43203</v>
          </cell>
        </row>
        <row r="1153">
          <cell r="D1153" t="str">
            <v>2건</v>
          </cell>
          <cell r="E1153" t="str">
            <v>평균단가</v>
          </cell>
        </row>
        <row r="1156">
          <cell r="D1156" t="str">
            <v>PAYW207</v>
          </cell>
          <cell r="E1156">
            <v>49</v>
          </cell>
          <cell r="AB1156">
            <v>43224</v>
          </cell>
        </row>
        <row r="1157">
          <cell r="D1157" t="str">
            <v>PAYW207</v>
          </cell>
          <cell r="E1157">
            <v>63</v>
          </cell>
          <cell r="AB1157">
            <v>43224</v>
          </cell>
        </row>
        <row r="1158">
          <cell r="D1158" t="str">
            <v>2건</v>
          </cell>
          <cell r="E1158" t="str">
            <v>평균단가</v>
          </cell>
        </row>
        <row r="1161">
          <cell r="D1161" t="str">
            <v>PAYW208</v>
          </cell>
          <cell r="E1161">
            <v>22</v>
          </cell>
          <cell r="AB1161">
            <v>43220</v>
          </cell>
        </row>
        <row r="1162">
          <cell r="D1162" t="str">
            <v>PAYW208</v>
          </cell>
          <cell r="E1162">
            <v>49</v>
          </cell>
          <cell r="AB1162">
            <v>43220</v>
          </cell>
        </row>
        <row r="1163">
          <cell r="D1163" t="str">
            <v>2건</v>
          </cell>
          <cell r="E1163" t="str">
            <v>평균단가</v>
          </cell>
        </row>
        <row r="1166">
          <cell r="D1166" t="str">
            <v>PAYW209</v>
          </cell>
          <cell r="E1166">
            <v>31</v>
          </cell>
          <cell r="AB1166">
            <v>43193</v>
          </cell>
        </row>
        <row r="1167">
          <cell r="D1167" t="str">
            <v>PAYW209</v>
          </cell>
          <cell r="E1167">
            <v>49</v>
          </cell>
          <cell r="AB1167">
            <v>43193</v>
          </cell>
        </row>
        <row r="1168">
          <cell r="D1168" t="str">
            <v>2건</v>
          </cell>
          <cell r="E1168" t="str">
            <v>평균단가</v>
          </cell>
        </row>
        <row r="1171">
          <cell r="D1171" t="str">
            <v>PAYW210</v>
          </cell>
          <cell r="E1171">
            <v>32</v>
          </cell>
          <cell r="AB1171">
            <v>43186</v>
          </cell>
        </row>
        <row r="1172">
          <cell r="D1172" t="str">
            <v>PAYW210</v>
          </cell>
          <cell r="E1172">
            <v>49</v>
          </cell>
          <cell r="AB1172">
            <v>43186</v>
          </cell>
        </row>
        <row r="1173">
          <cell r="D1173" t="str">
            <v>2건</v>
          </cell>
          <cell r="E1173" t="str">
            <v>평균단가</v>
          </cell>
        </row>
        <row r="1176">
          <cell r="D1176" t="str">
            <v>PAYW211</v>
          </cell>
          <cell r="E1176">
            <v>31</v>
          </cell>
          <cell r="AB1176">
            <v>43229</v>
          </cell>
        </row>
        <row r="1177">
          <cell r="D1177" t="str">
            <v>PAYW211</v>
          </cell>
          <cell r="E1177">
            <v>49</v>
          </cell>
          <cell r="AB1177">
            <v>43229</v>
          </cell>
        </row>
        <row r="1178">
          <cell r="D1178" t="str">
            <v>2건</v>
          </cell>
          <cell r="E1178" t="str">
            <v>평균단가</v>
          </cell>
        </row>
        <row r="1181">
          <cell r="D1181" t="str">
            <v>PAYW212</v>
          </cell>
          <cell r="E1181">
            <v>49</v>
          </cell>
          <cell r="AB1181">
            <v>43229</v>
          </cell>
        </row>
        <row r="1182">
          <cell r="D1182" t="str">
            <v>PAYW212</v>
          </cell>
          <cell r="E1182">
            <v>53</v>
          </cell>
          <cell r="AB1182">
            <v>43229</v>
          </cell>
        </row>
        <row r="1183">
          <cell r="D1183" t="str">
            <v>2건</v>
          </cell>
          <cell r="E1183" t="str">
            <v>평균단가</v>
          </cell>
        </row>
        <row r="1186">
          <cell r="D1186" t="str">
            <v>PAYW213</v>
          </cell>
          <cell r="E1186">
            <v>31</v>
          </cell>
          <cell r="AB1186">
            <v>43196</v>
          </cell>
        </row>
        <row r="1187">
          <cell r="D1187" t="str">
            <v>1건</v>
          </cell>
          <cell r="E1187" t="str">
            <v>평균단가</v>
          </cell>
        </row>
        <row r="1190">
          <cell r="D1190" t="str">
            <v>PAYW214</v>
          </cell>
          <cell r="E1190">
            <v>39</v>
          </cell>
          <cell r="AB1190">
            <v>43193</v>
          </cell>
        </row>
        <row r="1191">
          <cell r="D1191" t="str">
            <v>PAYW214</v>
          </cell>
          <cell r="E1191">
            <v>76</v>
          </cell>
          <cell r="AB1191">
            <v>43193</v>
          </cell>
        </row>
        <row r="1192">
          <cell r="D1192" t="str">
            <v>2건</v>
          </cell>
          <cell r="E1192" t="str">
            <v>평균단가</v>
          </cell>
        </row>
        <row r="1195">
          <cell r="D1195" t="str">
            <v>PAYW215</v>
          </cell>
          <cell r="E1195">
            <v>31</v>
          </cell>
          <cell r="AB1195">
            <v>43196</v>
          </cell>
        </row>
        <row r="1196">
          <cell r="D1196" t="str">
            <v>PAYW215</v>
          </cell>
          <cell r="E1196">
            <v>49</v>
          </cell>
          <cell r="AB1196">
            <v>43196</v>
          </cell>
        </row>
        <row r="1197">
          <cell r="D1197" t="str">
            <v>2건</v>
          </cell>
          <cell r="E1197" t="str">
            <v>평균단가</v>
          </cell>
        </row>
        <row r="1200">
          <cell r="D1200" t="str">
            <v>평균단가</v>
          </cell>
          <cell r="E1200">
            <v>11999</v>
          </cell>
        </row>
        <row r="1203">
          <cell r="D1203" t="str">
            <v>PAYX101</v>
          </cell>
          <cell r="E1203">
            <v>49</v>
          </cell>
          <cell r="AB1203">
            <v>43167</v>
          </cell>
        </row>
        <row r="1204">
          <cell r="D1204" t="str">
            <v>1건</v>
          </cell>
          <cell r="E1204" t="str">
            <v>평균단가</v>
          </cell>
        </row>
        <row r="1207">
          <cell r="D1207" t="str">
            <v>PAYX201</v>
          </cell>
          <cell r="E1207">
            <v>49</v>
          </cell>
          <cell r="AB1207">
            <v>43248</v>
          </cell>
        </row>
        <row r="1208">
          <cell r="D1208" t="str">
            <v>1건</v>
          </cell>
          <cell r="E1208" t="str">
            <v>평균단가</v>
          </cell>
        </row>
        <row r="1211">
          <cell r="D1211" t="str">
            <v>PAYX202</v>
          </cell>
          <cell r="E1211">
            <v>49</v>
          </cell>
          <cell r="AB1211">
            <v>43248</v>
          </cell>
        </row>
        <row r="1212">
          <cell r="D1212" t="str">
            <v>1건</v>
          </cell>
          <cell r="E1212" t="str">
            <v>평균단가</v>
          </cell>
        </row>
        <row r="1215">
          <cell r="D1215" t="str">
            <v>PAYX203</v>
          </cell>
          <cell r="E1215">
            <v>49</v>
          </cell>
          <cell r="AB1215">
            <v>43251</v>
          </cell>
        </row>
        <row r="1216">
          <cell r="D1216" t="str">
            <v>1건</v>
          </cell>
          <cell r="E1216" t="str">
            <v>평균단가</v>
          </cell>
        </row>
        <row r="1219">
          <cell r="D1219" t="str">
            <v>평균단가</v>
          </cell>
          <cell r="E1219">
            <v>10592</v>
          </cell>
        </row>
        <row r="1222">
          <cell r="D1222" t="str">
            <v>PAYY101</v>
          </cell>
          <cell r="E1222">
            <v>39</v>
          </cell>
          <cell r="AB1222">
            <v>43200</v>
          </cell>
        </row>
        <row r="1223">
          <cell r="D1223" t="str">
            <v>1건</v>
          </cell>
          <cell r="E1223" t="str">
            <v>평균단가</v>
          </cell>
        </row>
        <row r="1226">
          <cell r="D1226" t="str">
            <v>평균단가</v>
          </cell>
          <cell r="E1226">
            <v>2500</v>
          </cell>
        </row>
        <row r="1229">
          <cell r="D1229" t="str">
            <v>평균단가</v>
          </cell>
          <cell r="E1229">
            <v>11516</v>
          </cell>
        </row>
        <row r="1232">
          <cell r="D1232" t="str">
            <v>PNY1101</v>
          </cell>
          <cell r="E1232">
            <v>31</v>
          </cell>
          <cell r="AB1232">
            <v>43140</v>
          </cell>
        </row>
        <row r="1233">
          <cell r="D1233" t="str">
            <v>PNY1101</v>
          </cell>
          <cell r="E1233">
            <v>39</v>
          </cell>
          <cell r="AB1233">
            <v>43140</v>
          </cell>
        </row>
        <row r="1234">
          <cell r="D1234" t="str">
            <v>2건</v>
          </cell>
          <cell r="E1234" t="str">
            <v>평균단가</v>
          </cell>
        </row>
        <row r="1237">
          <cell r="D1237" t="str">
            <v>PNY1102</v>
          </cell>
          <cell r="E1237">
            <v>31</v>
          </cell>
          <cell r="AB1237">
            <v>43129</v>
          </cell>
        </row>
        <row r="1238">
          <cell r="D1238" t="str">
            <v>PNY1102</v>
          </cell>
          <cell r="E1238">
            <v>76</v>
          </cell>
          <cell r="AB1238">
            <v>43129</v>
          </cell>
        </row>
        <row r="1239">
          <cell r="D1239" t="str">
            <v>2건</v>
          </cell>
          <cell r="E1239" t="str">
            <v>평균단가</v>
          </cell>
        </row>
        <row r="1242">
          <cell r="D1242" t="str">
            <v>PNY1103</v>
          </cell>
          <cell r="E1242">
            <v>31</v>
          </cell>
          <cell r="AB1242">
            <v>43119</v>
          </cell>
        </row>
        <row r="1243">
          <cell r="D1243" t="str">
            <v>PNY1103</v>
          </cell>
          <cell r="E1243">
            <v>39</v>
          </cell>
          <cell r="AB1243">
            <v>43119</v>
          </cell>
        </row>
        <row r="1244">
          <cell r="D1244" t="str">
            <v>2건</v>
          </cell>
          <cell r="E1244" t="str">
            <v>평균단가</v>
          </cell>
        </row>
        <row r="1247">
          <cell r="D1247" t="str">
            <v>PNY1201</v>
          </cell>
          <cell r="E1247">
            <v>23</v>
          </cell>
          <cell r="AB1247">
            <v>43192</v>
          </cell>
        </row>
        <row r="1248">
          <cell r="D1248" t="str">
            <v>PNY1201</v>
          </cell>
          <cell r="E1248">
            <v>39</v>
          </cell>
          <cell r="AB1248">
            <v>43192</v>
          </cell>
        </row>
        <row r="1249">
          <cell r="D1249" t="str">
            <v>PNY1201</v>
          </cell>
          <cell r="E1249">
            <v>71</v>
          </cell>
          <cell r="AB1249">
            <v>43192</v>
          </cell>
        </row>
        <row r="1250">
          <cell r="D1250" t="str">
            <v>3건</v>
          </cell>
          <cell r="E1250" t="str">
            <v>평균단가</v>
          </cell>
        </row>
        <row r="1253">
          <cell r="D1253" t="str">
            <v>PNY1202</v>
          </cell>
          <cell r="E1253">
            <v>23</v>
          </cell>
          <cell r="AB1253">
            <v>43192</v>
          </cell>
        </row>
        <row r="1254">
          <cell r="D1254" t="str">
            <v>PNY1202</v>
          </cell>
          <cell r="E1254">
            <v>76</v>
          </cell>
          <cell r="AB1254">
            <v>43192</v>
          </cell>
        </row>
        <row r="1255">
          <cell r="D1255" t="str">
            <v>2건</v>
          </cell>
          <cell r="E1255" t="str">
            <v>평균단가</v>
          </cell>
        </row>
        <row r="1258">
          <cell r="D1258" t="str">
            <v>PNY1203</v>
          </cell>
          <cell r="E1258">
            <v>31</v>
          </cell>
          <cell r="AB1258">
            <v>43192</v>
          </cell>
        </row>
        <row r="1259">
          <cell r="D1259" t="str">
            <v>PNY1203</v>
          </cell>
          <cell r="E1259">
            <v>39</v>
          </cell>
          <cell r="AB1259">
            <v>43192</v>
          </cell>
        </row>
        <row r="1260">
          <cell r="D1260" t="str">
            <v>2건</v>
          </cell>
          <cell r="E1260" t="str">
            <v>평균단가</v>
          </cell>
        </row>
        <row r="1263">
          <cell r="D1263" t="str">
            <v>PNY1204</v>
          </cell>
          <cell r="E1263">
            <v>23</v>
          </cell>
          <cell r="AB1263">
            <v>43180</v>
          </cell>
        </row>
        <row r="1264">
          <cell r="D1264" t="str">
            <v>1건</v>
          </cell>
          <cell r="E1264" t="str">
            <v>평균단가</v>
          </cell>
        </row>
        <row r="1267">
          <cell r="D1267" t="str">
            <v>PNY1205</v>
          </cell>
          <cell r="E1267">
            <v>31</v>
          </cell>
          <cell r="AB1267">
            <v>43180</v>
          </cell>
        </row>
        <row r="1268">
          <cell r="D1268" t="str">
            <v>1건</v>
          </cell>
          <cell r="E1268" t="str">
            <v>평균단가</v>
          </cell>
        </row>
        <row r="1271">
          <cell r="D1271" t="str">
            <v>평균단가</v>
          </cell>
          <cell r="E1271">
            <v>13701</v>
          </cell>
        </row>
        <row r="1274">
          <cell r="D1274" t="str">
            <v>PNY6101</v>
          </cell>
          <cell r="E1274">
            <v>39</v>
          </cell>
          <cell r="AB1274">
            <v>43153</v>
          </cell>
        </row>
        <row r="1275">
          <cell r="D1275" t="str">
            <v>PNY6101</v>
          </cell>
          <cell r="E1275">
            <v>76</v>
          </cell>
          <cell r="AB1275">
            <v>43153</v>
          </cell>
        </row>
        <row r="1276">
          <cell r="D1276" t="str">
            <v>2건</v>
          </cell>
          <cell r="E1276" t="str">
            <v>평균단가</v>
          </cell>
        </row>
        <row r="1279">
          <cell r="D1279" t="str">
            <v>PNY6102</v>
          </cell>
          <cell r="E1279">
            <v>39</v>
          </cell>
          <cell r="AB1279">
            <v>43118</v>
          </cell>
        </row>
        <row r="1280">
          <cell r="D1280" t="str">
            <v>1건</v>
          </cell>
          <cell r="E1280" t="str">
            <v>평균단가</v>
          </cell>
        </row>
        <row r="1283">
          <cell r="D1283" t="str">
            <v>PNY6201</v>
          </cell>
          <cell r="E1283">
            <v>31</v>
          </cell>
          <cell r="AB1283">
            <v>43179</v>
          </cell>
        </row>
        <row r="1284">
          <cell r="D1284" t="str">
            <v>PNY6201</v>
          </cell>
          <cell r="E1284">
            <v>39</v>
          </cell>
          <cell r="AB1284">
            <v>43179</v>
          </cell>
        </row>
        <row r="1285">
          <cell r="D1285" t="str">
            <v>2건</v>
          </cell>
          <cell r="E1285" t="str">
            <v>평균단가</v>
          </cell>
        </row>
        <row r="1288">
          <cell r="D1288" t="str">
            <v>평균단가</v>
          </cell>
          <cell r="E1288">
            <v>32514</v>
          </cell>
        </row>
        <row r="1291">
          <cell r="D1291" t="str">
            <v>PNY7101</v>
          </cell>
          <cell r="E1291">
            <v>31</v>
          </cell>
          <cell r="AB1291">
            <v>43131</v>
          </cell>
        </row>
        <row r="1292">
          <cell r="D1292" t="str">
            <v>PNY7101</v>
          </cell>
          <cell r="E1292">
            <v>39</v>
          </cell>
          <cell r="AB1292">
            <v>43131</v>
          </cell>
        </row>
        <row r="1293">
          <cell r="D1293" t="str">
            <v>PNY7101</v>
          </cell>
          <cell r="E1293">
            <v>76</v>
          </cell>
          <cell r="AB1293">
            <v>43131</v>
          </cell>
        </row>
        <row r="1294">
          <cell r="D1294" t="str">
            <v>3건</v>
          </cell>
          <cell r="E1294" t="str">
            <v>평균단가</v>
          </cell>
        </row>
        <row r="1297">
          <cell r="D1297" t="str">
            <v>PNY7102</v>
          </cell>
          <cell r="E1297">
            <v>31</v>
          </cell>
          <cell r="AB1297">
            <v>43119</v>
          </cell>
        </row>
        <row r="1298">
          <cell r="D1298" t="str">
            <v>PNY7102</v>
          </cell>
          <cell r="E1298">
            <v>39</v>
          </cell>
          <cell r="AB1298">
            <v>43119</v>
          </cell>
        </row>
        <row r="1299">
          <cell r="D1299" t="str">
            <v>2건</v>
          </cell>
          <cell r="E1299" t="str">
            <v>평균단가</v>
          </cell>
        </row>
        <row r="1302">
          <cell r="D1302" t="str">
            <v>PNY7201</v>
          </cell>
          <cell r="E1302">
            <v>32</v>
          </cell>
          <cell r="AB1302">
            <v>43196</v>
          </cell>
        </row>
        <row r="1303">
          <cell r="D1303" t="str">
            <v>PNY7201</v>
          </cell>
          <cell r="E1303">
            <v>39</v>
          </cell>
          <cell r="AB1303">
            <v>43196</v>
          </cell>
        </row>
        <row r="1304">
          <cell r="D1304" t="str">
            <v>2건</v>
          </cell>
          <cell r="E1304" t="str">
            <v>평균단가</v>
          </cell>
        </row>
        <row r="1307">
          <cell r="D1307" t="str">
            <v>PNY7202</v>
          </cell>
          <cell r="E1307">
            <v>31</v>
          </cell>
          <cell r="AB1307">
            <v>43220</v>
          </cell>
        </row>
        <row r="1308">
          <cell r="D1308" t="str">
            <v>PNY7202</v>
          </cell>
          <cell r="E1308">
            <v>34</v>
          </cell>
          <cell r="AB1308">
            <v>43220</v>
          </cell>
        </row>
        <row r="1309">
          <cell r="D1309" t="str">
            <v>2건</v>
          </cell>
          <cell r="E1309" t="str">
            <v>평균단가</v>
          </cell>
        </row>
        <row r="1312">
          <cell r="D1312" t="str">
            <v>PNY7203</v>
          </cell>
          <cell r="E1312">
            <v>39</v>
          </cell>
          <cell r="AB1312">
            <v>43186</v>
          </cell>
        </row>
        <row r="1313">
          <cell r="D1313" t="str">
            <v>PNY7203</v>
          </cell>
          <cell r="E1313">
            <v>76</v>
          </cell>
          <cell r="AB1313">
            <v>43186</v>
          </cell>
        </row>
        <row r="1314">
          <cell r="D1314" t="str">
            <v>2건</v>
          </cell>
          <cell r="E1314" t="str">
            <v>평균단가</v>
          </cell>
        </row>
        <row r="1317">
          <cell r="D1317" t="str">
            <v>PNY7204</v>
          </cell>
          <cell r="E1317">
            <v>31</v>
          </cell>
          <cell r="AB1317">
            <v>43209</v>
          </cell>
        </row>
        <row r="1318">
          <cell r="D1318" t="str">
            <v>PNY7204</v>
          </cell>
          <cell r="E1318">
            <v>41</v>
          </cell>
          <cell r="AB1318">
            <v>43209</v>
          </cell>
        </row>
        <row r="1319">
          <cell r="D1319" t="str">
            <v>2건</v>
          </cell>
          <cell r="E1319" t="str">
            <v>평균단가</v>
          </cell>
        </row>
        <row r="1322">
          <cell r="D1322" t="str">
            <v>평균단가</v>
          </cell>
          <cell r="E1322">
            <v>21173</v>
          </cell>
        </row>
        <row r="1325">
          <cell r="D1325" t="str">
            <v>PNYC101</v>
          </cell>
          <cell r="E1325">
            <v>39</v>
          </cell>
          <cell r="AB1325">
            <v>43138</v>
          </cell>
        </row>
        <row r="1326">
          <cell r="D1326" t="str">
            <v>PNYC101</v>
          </cell>
          <cell r="E1326">
            <v>76</v>
          </cell>
          <cell r="AB1326">
            <v>43138</v>
          </cell>
        </row>
        <row r="1327">
          <cell r="D1327" t="str">
            <v>2건</v>
          </cell>
          <cell r="E1327" t="str">
            <v>평균단가</v>
          </cell>
        </row>
        <row r="1330">
          <cell r="D1330" t="str">
            <v>평균단가</v>
          </cell>
          <cell r="E1330">
            <v>72611</v>
          </cell>
        </row>
        <row r="1333">
          <cell r="D1333" t="str">
            <v>PNYQ101</v>
          </cell>
          <cell r="E1333">
            <v>31</v>
          </cell>
          <cell r="AB1333">
            <v>43131</v>
          </cell>
        </row>
        <row r="1334">
          <cell r="D1334" t="str">
            <v>PNYQ101</v>
          </cell>
          <cell r="E1334">
            <v>39</v>
          </cell>
          <cell r="AB1334">
            <v>43131</v>
          </cell>
        </row>
        <row r="1335">
          <cell r="D1335" t="str">
            <v>2건</v>
          </cell>
          <cell r="E1335" t="str">
            <v>평균단가</v>
          </cell>
        </row>
        <row r="1338">
          <cell r="D1338" t="str">
            <v>PNYQ201</v>
          </cell>
          <cell r="E1338">
            <v>31</v>
          </cell>
          <cell r="AB1338">
            <v>43224</v>
          </cell>
        </row>
        <row r="1339">
          <cell r="D1339" t="str">
            <v>PNYQ201</v>
          </cell>
          <cell r="E1339">
            <v>41</v>
          </cell>
          <cell r="AB1339">
            <v>43220</v>
          </cell>
        </row>
        <row r="1340">
          <cell r="D1340" t="str">
            <v>2건</v>
          </cell>
          <cell r="E1340" t="str">
            <v>평균단가</v>
          </cell>
        </row>
        <row r="1343">
          <cell r="D1343" t="str">
            <v>PNYQ202</v>
          </cell>
          <cell r="E1343">
            <v>37</v>
          </cell>
          <cell r="AB1343">
            <v>43217</v>
          </cell>
        </row>
        <row r="1344">
          <cell r="D1344" t="str">
            <v>1건</v>
          </cell>
          <cell r="E1344" t="str">
            <v>평균단가</v>
          </cell>
        </row>
        <row r="1347">
          <cell r="D1347" t="str">
            <v>평균단가</v>
          </cell>
          <cell r="E1347">
            <v>18677</v>
          </cell>
        </row>
        <row r="1350">
          <cell r="D1350" t="str">
            <v>PNYV101</v>
          </cell>
          <cell r="E1350">
            <v>31</v>
          </cell>
          <cell r="AB1350">
            <v>43159</v>
          </cell>
        </row>
        <row r="1351">
          <cell r="D1351" t="str">
            <v>PNYV101</v>
          </cell>
          <cell r="E1351">
            <v>39</v>
          </cell>
          <cell r="AB1351">
            <v>43159</v>
          </cell>
        </row>
        <row r="1352">
          <cell r="D1352" t="str">
            <v>2건</v>
          </cell>
          <cell r="E1352" t="str">
            <v>평균단가</v>
          </cell>
        </row>
        <row r="1355">
          <cell r="D1355" t="str">
            <v>평균단가</v>
          </cell>
          <cell r="E1355">
            <v>25094</v>
          </cell>
        </row>
        <row r="1358">
          <cell r="D1358" t="str">
            <v>평균단가</v>
          </cell>
          <cell r="E1358">
            <v>22749</v>
          </cell>
        </row>
        <row r="1361">
          <cell r="D1361" t="str">
            <v>PTY1101</v>
          </cell>
          <cell r="E1361">
            <v>45</v>
          </cell>
          <cell r="AB1361">
            <v>43129</v>
          </cell>
        </row>
        <row r="1362">
          <cell r="D1362" t="str">
            <v>PTY1101</v>
          </cell>
          <cell r="E1362">
            <v>73</v>
          </cell>
          <cell r="AB1362">
            <v>43129</v>
          </cell>
        </row>
        <row r="1363">
          <cell r="D1363" t="str">
            <v>2건</v>
          </cell>
          <cell r="E1363" t="str">
            <v>평균단가</v>
          </cell>
        </row>
        <row r="1366">
          <cell r="D1366" t="str">
            <v>PTY1202</v>
          </cell>
          <cell r="E1366">
            <v>49</v>
          </cell>
          <cell r="AB1366">
            <v>43250</v>
          </cell>
        </row>
        <row r="1367">
          <cell r="D1367" t="str">
            <v>PTY1202</v>
          </cell>
          <cell r="E1367">
            <v>76</v>
          </cell>
          <cell r="AB1367">
            <v>43210</v>
          </cell>
        </row>
        <row r="1368">
          <cell r="D1368" t="str">
            <v>2건</v>
          </cell>
          <cell r="E1368" t="str">
            <v>평균단가</v>
          </cell>
        </row>
        <row r="1371">
          <cell r="D1371" t="str">
            <v>PTY1203</v>
          </cell>
          <cell r="E1371">
            <v>49</v>
          </cell>
          <cell r="AB1371">
            <v>43174</v>
          </cell>
        </row>
        <row r="1372">
          <cell r="D1372" t="str">
            <v>PTY1203</v>
          </cell>
          <cell r="E1372">
            <v>76</v>
          </cell>
          <cell r="AB1372">
            <v>43174</v>
          </cell>
        </row>
        <row r="1373">
          <cell r="D1373" t="str">
            <v>2건</v>
          </cell>
          <cell r="E1373" t="str">
            <v>평균단가</v>
          </cell>
        </row>
        <row r="1376">
          <cell r="D1376" t="str">
            <v>PTY1205</v>
          </cell>
          <cell r="E1376">
            <v>31</v>
          </cell>
          <cell r="AB1376">
            <v>43214</v>
          </cell>
        </row>
        <row r="1377">
          <cell r="D1377" t="str">
            <v>PTY1205</v>
          </cell>
          <cell r="E1377">
            <v>49</v>
          </cell>
          <cell r="AB1377">
            <v>43237</v>
          </cell>
        </row>
        <row r="1378">
          <cell r="D1378" t="str">
            <v>2건</v>
          </cell>
          <cell r="E1378" t="str">
            <v>평균단가</v>
          </cell>
        </row>
        <row r="1381">
          <cell r="D1381" t="str">
            <v>평균단가</v>
          </cell>
          <cell r="E1381">
            <v>11043</v>
          </cell>
        </row>
        <row r="1384">
          <cell r="D1384" t="str">
            <v>PTY6201</v>
          </cell>
          <cell r="E1384">
            <v>27</v>
          </cell>
          <cell r="AB1384">
            <v>43178</v>
          </cell>
        </row>
        <row r="1385">
          <cell r="D1385" t="str">
            <v>PTY6201</v>
          </cell>
          <cell r="E1385">
            <v>49</v>
          </cell>
          <cell r="AB1385">
            <v>43178</v>
          </cell>
        </row>
        <row r="1386">
          <cell r="D1386" t="str">
            <v>PTY6201</v>
          </cell>
          <cell r="E1386">
            <v>54</v>
          </cell>
          <cell r="AB1386">
            <v>43178</v>
          </cell>
        </row>
        <row r="1387">
          <cell r="D1387" t="str">
            <v>3건</v>
          </cell>
          <cell r="E1387" t="str">
            <v>평균단가</v>
          </cell>
        </row>
        <row r="1390">
          <cell r="D1390" t="str">
            <v>평균단가</v>
          </cell>
          <cell r="E1390">
            <v>27835</v>
          </cell>
        </row>
        <row r="1393">
          <cell r="D1393" t="str">
            <v>PTY7101</v>
          </cell>
          <cell r="E1393">
            <v>34</v>
          </cell>
          <cell r="AB1393">
            <v>43123</v>
          </cell>
        </row>
        <row r="1394">
          <cell r="D1394" t="str">
            <v>PTY7101</v>
          </cell>
          <cell r="E1394">
            <v>39</v>
          </cell>
          <cell r="AB1394">
            <v>43123</v>
          </cell>
        </row>
        <row r="1395">
          <cell r="D1395" t="str">
            <v>2건</v>
          </cell>
          <cell r="E1395" t="str">
            <v>평균단가</v>
          </cell>
        </row>
        <row r="1398">
          <cell r="D1398" t="str">
            <v>PTY7102</v>
          </cell>
          <cell r="E1398">
            <v>49</v>
          </cell>
          <cell r="AB1398">
            <v>43139</v>
          </cell>
        </row>
        <row r="1399">
          <cell r="D1399" t="str">
            <v>1건</v>
          </cell>
          <cell r="E1399" t="str">
            <v>평균단가</v>
          </cell>
        </row>
        <row r="1402">
          <cell r="D1402" t="str">
            <v>PTY7201</v>
          </cell>
          <cell r="E1402">
            <v>49</v>
          </cell>
          <cell r="AB1402">
            <v>43207</v>
          </cell>
        </row>
        <row r="1403">
          <cell r="D1403" t="str">
            <v>PTY7201</v>
          </cell>
          <cell r="E1403">
            <v>54</v>
          </cell>
          <cell r="AB1403">
            <v>43207</v>
          </cell>
        </row>
        <row r="1404">
          <cell r="D1404" t="str">
            <v>2건</v>
          </cell>
          <cell r="E1404" t="str">
            <v>평균단가</v>
          </cell>
        </row>
        <row r="1407">
          <cell r="D1407" t="str">
            <v>PTY7202</v>
          </cell>
          <cell r="E1407">
            <v>39</v>
          </cell>
          <cell r="AB1407">
            <v>43182</v>
          </cell>
        </row>
        <row r="1408">
          <cell r="D1408" t="str">
            <v>PTY7202</v>
          </cell>
          <cell r="E1408">
            <v>49</v>
          </cell>
          <cell r="AB1408">
            <v>43182</v>
          </cell>
        </row>
        <row r="1409">
          <cell r="D1409" t="str">
            <v>PTY7202</v>
          </cell>
          <cell r="E1409">
            <v>54</v>
          </cell>
          <cell r="AB1409">
            <v>43182</v>
          </cell>
        </row>
        <row r="1410">
          <cell r="D1410" t="str">
            <v>3건</v>
          </cell>
          <cell r="E1410" t="str">
            <v>평균단가</v>
          </cell>
        </row>
        <row r="1413">
          <cell r="D1413" t="str">
            <v>PTY7203</v>
          </cell>
          <cell r="E1413">
            <v>34</v>
          </cell>
          <cell r="AB1413">
            <v>43189</v>
          </cell>
        </row>
        <row r="1414">
          <cell r="D1414" t="str">
            <v>PTY7203</v>
          </cell>
          <cell r="E1414">
            <v>39</v>
          </cell>
          <cell r="AB1414">
            <v>43189</v>
          </cell>
        </row>
        <row r="1415">
          <cell r="D1415" t="str">
            <v>2건</v>
          </cell>
          <cell r="E1415" t="str">
            <v>평균단가</v>
          </cell>
        </row>
        <row r="1418">
          <cell r="D1418" t="str">
            <v>PTY7204</v>
          </cell>
          <cell r="E1418">
            <v>43</v>
          </cell>
          <cell r="AB1418">
            <v>43182</v>
          </cell>
        </row>
        <row r="1419">
          <cell r="D1419" t="str">
            <v>1건</v>
          </cell>
          <cell r="E1419" t="str">
            <v>평균단가</v>
          </cell>
        </row>
        <row r="1422">
          <cell r="D1422" t="str">
            <v>PTY7205</v>
          </cell>
          <cell r="E1422">
            <v>39</v>
          </cell>
          <cell r="AB1422">
            <v>43172</v>
          </cell>
        </row>
        <row r="1423">
          <cell r="D1423" t="str">
            <v>1건</v>
          </cell>
          <cell r="E1423" t="str">
            <v>평균단가</v>
          </cell>
        </row>
        <row r="1426">
          <cell r="D1426" t="str">
            <v>평균단가</v>
          </cell>
          <cell r="E1426">
            <v>15984</v>
          </cell>
        </row>
        <row r="1429">
          <cell r="D1429" t="str">
            <v>PTY8101</v>
          </cell>
          <cell r="E1429">
            <v>43</v>
          </cell>
          <cell r="AB1429">
            <v>43126</v>
          </cell>
        </row>
        <row r="1430">
          <cell r="D1430" t="str">
            <v>PTY8101</v>
          </cell>
          <cell r="E1430">
            <v>49</v>
          </cell>
          <cell r="AB1430">
            <v>43126</v>
          </cell>
        </row>
        <row r="1431">
          <cell r="D1431" t="str">
            <v>PTY8101</v>
          </cell>
          <cell r="E1431">
            <v>73</v>
          </cell>
          <cell r="AB1431">
            <v>43126</v>
          </cell>
        </row>
        <row r="1432">
          <cell r="D1432" t="str">
            <v>3건</v>
          </cell>
          <cell r="E1432" t="str">
            <v>평균단가</v>
          </cell>
        </row>
        <row r="1435">
          <cell r="D1435" t="str">
            <v>PTY8102</v>
          </cell>
          <cell r="E1435">
            <v>49</v>
          </cell>
          <cell r="AB1435">
            <v>43144</v>
          </cell>
        </row>
        <row r="1436">
          <cell r="D1436" t="str">
            <v>PTY8102</v>
          </cell>
          <cell r="E1436">
            <v>73</v>
          </cell>
          <cell r="AB1436">
            <v>43144</v>
          </cell>
        </row>
        <row r="1437">
          <cell r="D1437" t="str">
            <v>2건</v>
          </cell>
          <cell r="E1437" t="str">
            <v>평균단가</v>
          </cell>
        </row>
        <row r="1440">
          <cell r="D1440" t="str">
            <v>PTY8201</v>
          </cell>
          <cell r="E1440">
            <v>49</v>
          </cell>
          <cell r="AB1440">
            <v>43186</v>
          </cell>
        </row>
        <row r="1441">
          <cell r="D1441" t="str">
            <v>PTY8201</v>
          </cell>
          <cell r="E1441">
            <v>73</v>
          </cell>
          <cell r="AB1441">
            <v>43186</v>
          </cell>
        </row>
        <row r="1442">
          <cell r="D1442" t="str">
            <v>2건</v>
          </cell>
          <cell r="E1442" t="str">
            <v>평균단가</v>
          </cell>
        </row>
        <row r="1445">
          <cell r="D1445" t="str">
            <v>PTY8202</v>
          </cell>
          <cell r="E1445">
            <v>49</v>
          </cell>
          <cell r="AB1445">
            <v>43207</v>
          </cell>
        </row>
        <row r="1446">
          <cell r="D1446" t="str">
            <v>PTY8202</v>
          </cell>
          <cell r="E1446">
            <v>76</v>
          </cell>
          <cell r="AB1446">
            <v>43207</v>
          </cell>
        </row>
        <row r="1447">
          <cell r="D1447" t="str">
            <v>2건</v>
          </cell>
          <cell r="E1447" t="str">
            <v>평균단가</v>
          </cell>
        </row>
        <row r="1450">
          <cell r="D1450" t="str">
            <v>PTY8203</v>
          </cell>
          <cell r="E1450">
            <v>31</v>
          </cell>
          <cell r="AB1450">
            <v>43172</v>
          </cell>
        </row>
        <row r="1451">
          <cell r="D1451" t="str">
            <v>PTY8203</v>
          </cell>
          <cell r="E1451">
            <v>49</v>
          </cell>
          <cell r="AB1451">
            <v>43172</v>
          </cell>
        </row>
        <row r="1452">
          <cell r="D1452" t="str">
            <v>2건</v>
          </cell>
          <cell r="E1452" t="str">
            <v>평균단가</v>
          </cell>
        </row>
        <row r="1455">
          <cell r="D1455" t="str">
            <v>PTY8204</v>
          </cell>
          <cell r="E1455">
            <v>27</v>
          </cell>
          <cell r="AB1455">
            <v>43202</v>
          </cell>
        </row>
        <row r="1456">
          <cell r="D1456" t="str">
            <v>1건</v>
          </cell>
          <cell r="E1456" t="str">
            <v>평균단가</v>
          </cell>
        </row>
        <row r="1459">
          <cell r="D1459" t="str">
            <v>PTY8205</v>
          </cell>
          <cell r="E1459">
            <v>49</v>
          </cell>
          <cell r="AB1459">
            <v>43172</v>
          </cell>
        </row>
        <row r="1460">
          <cell r="D1460" t="str">
            <v>PTY8205</v>
          </cell>
          <cell r="E1460">
            <v>61</v>
          </cell>
          <cell r="AB1460">
            <v>43172</v>
          </cell>
        </row>
        <row r="1461">
          <cell r="D1461" t="str">
            <v>2건</v>
          </cell>
          <cell r="E1461" t="str">
            <v>평균단가</v>
          </cell>
        </row>
        <row r="1464">
          <cell r="D1464" t="str">
            <v>PTY8206</v>
          </cell>
          <cell r="E1464">
            <v>49</v>
          </cell>
          <cell r="AB1464">
            <v>43186</v>
          </cell>
        </row>
        <row r="1465">
          <cell r="D1465" t="str">
            <v>1건</v>
          </cell>
          <cell r="E1465" t="str">
            <v>평균단가</v>
          </cell>
        </row>
        <row r="1468">
          <cell r="D1468" t="str">
            <v>평균단가</v>
          </cell>
          <cell r="E1468">
            <v>21766</v>
          </cell>
        </row>
        <row r="1471">
          <cell r="D1471" t="str">
            <v>PTY9201</v>
          </cell>
          <cell r="E1471">
            <v>36</v>
          </cell>
          <cell r="AB1471">
            <v>43185</v>
          </cell>
        </row>
        <row r="1472">
          <cell r="D1472" t="str">
            <v>PTY9201</v>
          </cell>
          <cell r="E1472">
            <v>49</v>
          </cell>
          <cell r="AB1472">
            <v>43185</v>
          </cell>
        </row>
        <row r="1473">
          <cell r="D1473" t="str">
            <v>2건</v>
          </cell>
          <cell r="E1473" t="str">
            <v>평균단가</v>
          </cell>
        </row>
        <row r="1476">
          <cell r="D1476" t="str">
            <v>평균단가</v>
          </cell>
          <cell r="E1476">
            <v>38427</v>
          </cell>
        </row>
        <row r="1479">
          <cell r="D1479" t="str">
            <v>PTYT101</v>
          </cell>
          <cell r="E1479">
            <v>45</v>
          </cell>
          <cell r="AB1479">
            <v>43123</v>
          </cell>
        </row>
        <row r="1480">
          <cell r="D1480" t="str">
            <v>PTYT101</v>
          </cell>
          <cell r="E1480">
            <v>74</v>
          </cell>
          <cell r="AB1480">
            <v>43123</v>
          </cell>
        </row>
        <row r="1481">
          <cell r="D1481" t="str">
            <v>2건</v>
          </cell>
          <cell r="E1481" t="str">
            <v>평균단가</v>
          </cell>
        </row>
        <row r="1484">
          <cell r="D1484" t="str">
            <v>PTYT102</v>
          </cell>
          <cell r="E1484">
            <v>26</v>
          </cell>
          <cell r="AB1484">
            <v>43153</v>
          </cell>
        </row>
        <row r="1485">
          <cell r="D1485" t="str">
            <v>PTYT102</v>
          </cell>
          <cell r="E1485">
            <v>39</v>
          </cell>
          <cell r="AB1485">
            <v>43153</v>
          </cell>
        </row>
        <row r="1486">
          <cell r="D1486" t="str">
            <v>2건</v>
          </cell>
          <cell r="E1486" t="str">
            <v>평균단가</v>
          </cell>
        </row>
        <row r="1489">
          <cell r="D1489" t="str">
            <v>평균단가</v>
          </cell>
          <cell r="E1489">
            <v>35767</v>
          </cell>
        </row>
        <row r="1492">
          <cell r="D1492" t="str">
            <v>PTYV101</v>
          </cell>
          <cell r="E1492">
            <v>31</v>
          </cell>
          <cell r="AB1492">
            <v>43138</v>
          </cell>
        </row>
        <row r="1493">
          <cell r="D1493" t="str">
            <v>PTYV101</v>
          </cell>
          <cell r="E1493">
            <v>49</v>
          </cell>
          <cell r="AB1493">
            <v>43138</v>
          </cell>
        </row>
        <row r="1494">
          <cell r="D1494" t="str">
            <v>2건</v>
          </cell>
          <cell r="E1494" t="str">
            <v>평균단가</v>
          </cell>
        </row>
        <row r="1497">
          <cell r="D1497" t="str">
            <v>평균단가</v>
          </cell>
          <cell r="E1497">
            <v>30689</v>
          </cell>
        </row>
        <row r="1500">
          <cell r="D1500" t="str">
            <v>평균단가</v>
          </cell>
          <cell r="E1500">
            <v>19255</v>
          </cell>
        </row>
        <row r="1503">
          <cell r="D1503" t="str">
            <v>평균단가</v>
          </cell>
          <cell r="E1503">
            <v>18133</v>
          </cell>
        </row>
        <row r="1506">
          <cell r="D1506" t="str">
            <v>273건</v>
          </cell>
          <cell r="E1506" t="str">
            <v>514건</v>
          </cell>
        </row>
      </sheetData>
      <sheetData sheetId="7">
        <row r="2">
          <cell r="B2" t="str">
            <v>I11</v>
          </cell>
          <cell r="C2">
            <v>12141</v>
          </cell>
          <cell r="D2">
            <v>326</v>
          </cell>
          <cell r="E2">
            <v>2.6851165472366361E-2</v>
          </cell>
        </row>
        <row r="3">
          <cell r="B3" t="str">
            <v>I21</v>
          </cell>
          <cell r="C3">
            <v>63962</v>
          </cell>
          <cell r="D3">
            <v>10376</v>
          </cell>
          <cell r="E3">
            <v>0.16222131890810168</v>
          </cell>
          <cell r="H3" t="str">
            <v>의류</v>
          </cell>
          <cell r="I3" t="str">
            <v>I11</v>
          </cell>
          <cell r="K3">
            <v>1756</v>
          </cell>
          <cell r="L3">
            <v>31</v>
          </cell>
        </row>
        <row r="4">
          <cell r="B4" t="str">
            <v>I16</v>
          </cell>
          <cell r="C4">
            <v>6300</v>
          </cell>
          <cell r="D4">
            <v>120</v>
          </cell>
          <cell r="E4">
            <v>1.9047619047619049E-2</v>
          </cell>
          <cell r="H4" t="str">
            <v>의류</v>
          </cell>
          <cell r="I4" t="str">
            <v>I11</v>
          </cell>
          <cell r="K4">
            <v>876</v>
          </cell>
          <cell r="L4">
            <v>32</v>
          </cell>
        </row>
        <row r="5">
          <cell r="B5" t="str">
            <v>I26</v>
          </cell>
          <cell r="C5">
            <v>8516</v>
          </cell>
          <cell r="D5">
            <v>468</v>
          </cell>
          <cell r="E5">
            <v>5.495537811178957E-2</v>
          </cell>
          <cell r="H5" t="str">
            <v>의류</v>
          </cell>
          <cell r="I5" t="str">
            <v>I11</v>
          </cell>
          <cell r="K5">
            <v>725</v>
          </cell>
          <cell r="L5">
            <v>69</v>
          </cell>
        </row>
        <row r="6">
          <cell r="B6" t="str">
            <v>I17</v>
          </cell>
          <cell r="C6">
            <v>9468</v>
          </cell>
          <cell r="D6">
            <v>823</v>
          </cell>
          <cell r="E6">
            <v>8.6924376848331222E-2</v>
          </cell>
          <cell r="H6" t="str">
            <v>의류</v>
          </cell>
          <cell r="I6" t="str">
            <v>I11</v>
          </cell>
          <cell r="K6">
            <v>1264</v>
          </cell>
          <cell r="L6">
            <v>33</v>
          </cell>
        </row>
        <row r="7">
          <cell r="B7" t="str">
            <v>I27</v>
          </cell>
          <cell r="C7">
            <v>26476</v>
          </cell>
          <cell r="D7">
            <v>6644</v>
          </cell>
          <cell r="E7">
            <v>0.25094425139749205</v>
          </cell>
          <cell r="H7" t="str">
            <v>의류</v>
          </cell>
          <cell r="I7" t="str">
            <v>I11</v>
          </cell>
          <cell r="K7">
            <v>382</v>
          </cell>
          <cell r="L7">
            <v>9</v>
          </cell>
        </row>
        <row r="8">
          <cell r="B8" t="str">
            <v>I1V</v>
          </cell>
          <cell r="C8">
            <v>402</v>
          </cell>
          <cell r="D8">
            <v>19</v>
          </cell>
          <cell r="E8">
            <v>4.7263681592039801E-2</v>
          </cell>
          <cell r="H8" t="str">
            <v>의류</v>
          </cell>
          <cell r="I8" t="str">
            <v>I11</v>
          </cell>
          <cell r="K8">
            <v>812</v>
          </cell>
          <cell r="L8">
            <v>5</v>
          </cell>
        </row>
        <row r="9">
          <cell r="B9" t="str">
            <v>I2V</v>
          </cell>
          <cell r="C9">
            <v>696</v>
          </cell>
          <cell r="D9">
            <v>170</v>
          </cell>
          <cell r="E9">
            <v>0.2442528735632184</v>
          </cell>
          <cell r="H9" t="str">
            <v>의류</v>
          </cell>
          <cell r="I9" t="str">
            <v>I11</v>
          </cell>
          <cell r="K9">
            <v>909</v>
          </cell>
          <cell r="L9">
            <v>10</v>
          </cell>
        </row>
        <row r="10">
          <cell r="B10" t="str">
            <v>I2T</v>
          </cell>
          <cell r="C10">
            <v>0</v>
          </cell>
          <cell r="D10">
            <v>0</v>
          </cell>
          <cell r="E10" t="e">
            <v>#DIV/0!</v>
          </cell>
          <cell r="H10" t="str">
            <v>의류</v>
          </cell>
          <cell r="I10" t="str">
            <v>I11</v>
          </cell>
          <cell r="K10">
            <v>902</v>
          </cell>
          <cell r="L10">
            <v>27</v>
          </cell>
        </row>
        <row r="11">
          <cell r="B11" t="str">
            <v>I1W</v>
          </cell>
          <cell r="C11">
            <v>0</v>
          </cell>
          <cell r="D11">
            <v>0</v>
          </cell>
          <cell r="E11" t="e">
            <v>#DIV/0!</v>
          </cell>
          <cell r="H11" t="str">
            <v>의류</v>
          </cell>
          <cell r="I11" t="str">
            <v>I11</v>
          </cell>
          <cell r="K11">
            <v>848</v>
          </cell>
          <cell r="L11">
            <v>27</v>
          </cell>
        </row>
        <row r="12">
          <cell r="B12" t="str">
            <v>I2W</v>
          </cell>
          <cell r="C12">
            <v>0</v>
          </cell>
          <cell r="D12">
            <v>0</v>
          </cell>
          <cell r="E12" t="e">
            <v>#DIV/0!</v>
          </cell>
          <cell r="H12" t="str">
            <v>의류</v>
          </cell>
          <cell r="I12" t="str">
            <v>I11</v>
          </cell>
          <cell r="K12">
            <v>1221</v>
          </cell>
          <cell r="L12">
            <v>20</v>
          </cell>
        </row>
        <row r="13">
          <cell r="B13" t="str">
            <v>I14</v>
          </cell>
          <cell r="C13">
            <v>337</v>
          </cell>
          <cell r="D13">
            <v>4</v>
          </cell>
          <cell r="E13">
            <v>1.1869436201780416E-2</v>
          </cell>
          <cell r="H13" t="str">
            <v>의류</v>
          </cell>
          <cell r="I13" t="str">
            <v>I21</v>
          </cell>
          <cell r="K13">
            <v>2487</v>
          </cell>
          <cell r="L13">
            <v>143</v>
          </cell>
        </row>
        <row r="14">
          <cell r="B14" t="str">
            <v>I15</v>
          </cell>
          <cell r="C14">
            <v>299</v>
          </cell>
          <cell r="D14">
            <v>5</v>
          </cell>
          <cell r="E14">
            <v>1.6722408026755852E-2</v>
          </cell>
          <cell r="H14" t="str">
            <v>의류</v>
          </cell>
          <cell r="I14" t="str">
            <v>I21</v>
          </cell>
          <cell r="K14">
            <v>1488</v>
          </cell>
          <cell r="L14">
            <v>197</v>
          </cell>
        </row>
        <row r="15">
          <cell r="B15" t="str">
            <v>I18</v>
          </cell>
          <cell r="C15">
            <v>1593</v>
          </cell>
          <cell r="D15">
            <v>126</v>
          </cell>
          <cell r="E15">
            <v>7.909604519774012E-2</v>
          </cell>
          <cell r="H15" t="str">
            <v>의류</v>
          </cell>
          <cell r="I15" t="str">
            <v>I21</v>
          </cell>
          <cell r="K15">
            <v>1777</v>
          </cell>
          <cell r="L15">
            <v>188</v>
          </cell>
        </row>
        <row r="16">
          <cell r="B16" t="str">
            <v>I28</v>
          </cell>
          <cell r="C16">
            <v>5278</v>
          </cell>
          <cell r="D16">
            <v>1374</v>
          </cell>
          <cell r="E16">
            <v>0.26032588101553616</v>
          </cell>
          <cell r="H16" t="str">
            <v>의류</v>
          </cell>
          <cell r="I16" t="str">
            <v>I21</v>
          </cell>
          <cell r="K16">
            <v>1112</v>
          </cell>
          <cell r="L16">
            <v>89</v>
          </cell>
        </row>
        <row r="17">
          <cell r="B17" t="str">
            <v>I19</v>
          </cell>
          <cell r="C17">
            <v>2491</v>
          </cell>
          <cell r="D17">
            <v>144</v>
          </cell>
          <cell r="E17">
            <v>5.780810919309514E-2</v>
          </cell>
          <cell r="H17" t="str">
            <v>의류</v>
          </cell>
          <cell r="I17" t="str">
            <v>I21</v>
          </cell>
          <cell r="K17">
            <v>1162</v>
          </cell>
          <cell r="L17">
            <v>152</v>
          </cell>
        </row>
        <row r="18">
          <cell r="B18" t="str">
            <v>I29</v>
          </cell>
          <cell r="C18">
            <v>3599</v>
          </cell>
          <cell r="D18">
            <v>449</v>
          </cell>
          <cell r="E18">
            <v>0.12475687691025285</v>
          </cell>
          <cell r="H18" t="str">
            <v>의류</v>
          </cell>
          <cell r="I18" t="str">
            <v>I21</v>
          </cell>
          <cell r="K18">
            <v>2004</v>
          </cell>
          <cell r="L18">
            <v>542</v>
          </cell>
        </row>
        <row r="19">
          <cell r="B19" t="str">
            <v>I1T</v>
          </cell>
          <cell r="C19">
            <v>391</v>
          </cell>
          <cell r="D19">
            <v>4</v>
          </cell>
          <cell r="E19">
            <v>1.0230179028132993E-2</v>
          </cell>
          <cell r="H19" t="str">
            <v>의류</v>
          </cell>
          <cell r="I19" t="str">
            <v>I21</v>
          </cell>
          <cell r="K19">
            <v>1196</v>
          </cell>
          <cell r="L19">
            <v>211</v>
          </cell>
        </row>
        <row r="20">
          <cell r="B20" t="str">
            <v>P11</v>
          </cell>
          <cell r="C20">
            <v>12471</v>
          </cell>
          <cell r="D20">
            <v>324</v>
          </cell>
          <cell r="E20">
            <v>2.5980274236228049E-2</v>
          </cell>
          <cell r="H20" t="str">
            <v>의류</v>
          </cell>
          <cell r="I20" t="str">
            <v>I21</v>
          </cell>
          <cell r="K20">
            <v>1186</v>
          </cell>
          <cell r="L20">
            <v>111</v>
          </cell>
        </row>
        <row r="21">
          <cell r="B21" t="str">
            <v>P21</v>
          </cell>
          <cell r="C21">
            <v>60738</v>
          </cell>
          <cell r="D21">
            <v>8833</v>
          </cell>
          <cell r="E21">
            <v>0.14542790345418025</v>
          </cell>
          <cell r="H21" t="str">
            <v>의류</v>
          </cell>
          <cell r="I21" t="str">
            <v>I21</v>
          </cell>
          <cell r="K21">
            <v>1276</v>
          </cell>
          <cell r="L21">
            <v>265</v>
          </cell>
        </row>
        <row r="22">
          <cell r="B22" t="str">
            <v>P16</v>
          </cell>
          <cell r="C22">
            <v>2314</v>
          </cell>
          <cell r="D22">
            <v>60</v>
          </cell>
          <cell r="E22">
            <v>2.5929127052722559E-2</v>
          </cell>
          <cell r="H22" t="str">
            <v>의류</v>
          </cell>
          <cell r="I22" t="str">
            <v>I21</v>
          </cell>
          <cell r="K22">
            <v>1360</v>
          </cell>
          <cell r="L22">
            <v>359</v>
          </cell>
        </row>
        <row r="23">
          <cell r="B23" t="str">
            <v>P26</v>
          </cell>
          <cell r="C23">
            <v>5459</v>
          </cell>
          <cell r="D23">
            <v>237</v>
          </cell>
          <cell r="E23">
            <v>4.3414544788422785E-2</v>
          </cell>
          <cell r="H23" t="str">
            <v>의류</v>
          </cell>
          <cell r="I23" t="str">
            <v>I21</v>
          </cell>
          <cell r="K23">
            <v>2061</v>
          </cell>
          <cell r="L23">
            <v>398</v>
          </cell>
        </row>
        <row r="24">
          <cell r="B24" t="str">
            <v>P17</v>
          </cell>
          <cell r="C24">
            <v>7670</v>
          </cell>
          <cell r="D24">
            <v>465</v>
          </cell>
          <cell r="E24">
            <v>6.0625814863102999E-2</v>
          </cell>
          <cell r="H24" t="str">
            <v>의류</v>
          </cell>
          <cell r="I24" t="str">
            <v>I21</v>
          </cell>
          <cell r="K24">
            <v>715</v>
          </cell>
          <cell r="L24">
            <v>153</v>
          </cell>
        </row>
        <row r="25">
          <cell r="B25" t="str">
            <v>P27</v>
          </cell>
          <cell r="C25">
            <v>19434</v>
          </cell>
          <cell r="D25">
            <v>4841</v>
          </cell>
          <cell r="E25">
            <v>0.24909951631161881</v>
          </cell>
          <cell r="H25" t="str">
            <v>의류</v>
          </cell>
          <cell r="I25" t="str">
            <v>I21</v>
          </cell>
          <cell r="K25">
            <v>1033</v>
          </cell>
          <cell r="L25">
            <v>328</v>
          </cell>
        </row>
        <row r="26">
          <cell r="B26" t="str">
            <v>P1C</v>
          </cell>
          <cell r="C26">
            <v>1596</v>
          </cell>
          <cell r="D26">
            <v>49</v>
          </cell>
          <cell r="E26">
            <v>3.0701754385964911E-2</v>
          </cell>
          <cell r="H26" t="str">
            <v>의류</v>
          </cell>
          <cell r="I26" t="str">
            <v>I21</v>
          </cell>
          <cell r="K26">
            <v>1367</v>
          </cell>
          <cell r="L26">
            <v>319</v>
          </cell>
        </row>
        <row r="27">
          <cell r="B27" t="str">
            <v>P2Q</v>
          </cell>
          <cell r="C27">
            <v>2271</v>
          </cell>
          <cell r="D27">
            <v>348</v>
          </cell>
          <cell r="E27">
            <v>0.15323645970937913</v>
          </cell>
          <cell r="H27" t="str">
            <v>의류</v>
          </cell>
          <cell r="I27" t="str">
            <v>I21</v>
          </cell>
          <cell r="K27">
            <v>1201</v>
          </cell>
          <cell r="L27">
            <v>416</v>
          </cell>
        </row>
        <row r="28">
          <cell r="B28" t="str">
            <v>P1T</v>
          </cell>
          <cell r="C28">
            <v>2783</v>
          </cell>
          <cell r="D28">
            <v>38</v>
          </cell>
          <cell r="E28">
            <v>1.3654329859863456E-2</v>
          </cell>
          <cell r="H28" t="str">
            <v>의류</v>
          </cell>
          <cell r="I28" t="str">
            <v>I21</v>
          </cell>
          <cell r="K28">
            <v>1250</v>
          </cell>
          <cell r="L28">
            <v>198</v>
          </cell>
        </row>
        <row r="29">
          <cell r="B29" t="str">
            <v>P2T</v>
          </cell>
          <cell r="C29">
            <v>1056</v>
          </cell>
          <cell r="D29">
            <v>38</v>
          </cell>
          <cell r="E29">
            <v>3.5984848484848488E-2</v>
          </cell>
          <cell r="H29" t="str">
            <v>의류</v>
          </cell>
          <cell r="I29" t="str">
            <v>I21</v>
          </cell>
          <cell r="K29">
            <v>1032</v>
          </cell>
          <cell r="L29">
            <v>187</v>
          </cell>
        </row>
        <row r="30">
          <cell r="B30" t="str">
            <v>P1V</v>
          </cell>
          <cell r="C30">
            <v>2088</v>
          </cell>
          <cell r="D30">
            <v>93</v>
          </cell>
          <cell r="E30">
            <v>4.4540229885057472E-2</v>
          </cell>
          <cell r="H30" t="str">
            <v>의류</v>
          </cell>
          <cell r="I30" t="str">
            <v>I21</v>
          </cell>
          <cell r="K30">
            <v>1149</v>
          </cell>
          <cell r="L30">
            <v>81</v>
          </cell>
        </row>
        <row r="31">
          <cell r="B31" t="str">
            <v>P2V</v>
          </cell>
          <cell r="C31">
            <v>3595</v>
          </cell>
          <cell r="D31">
            <v>483</v>
          </cell>
          <cell r="E31">
            <v>0.13435326842837275</v>
          </cell>
          <cell r="H31" t="str">
            <v>의류</v>
          </cell>
          <cell r="I31" t="str">
            <v>I21</v>
          </cell>
          <cell r="K31">
            <v>834</v>
          </cell>
          <cell r="L31">
            <v>127</v>
          </cell>
        </row>
        <row r="32">
          <cell r="B32" t="str">
            <v>P1W</v>
          </cell>
          <cell r="C32">
            <v>0</v>
          </cell>
          <cell r="D32">
            <v>0</v>
          </cell>
          <cell r="E32" t="e">
            <v>#DIV/0!</v>
          </cell>
          <cell r="H32" t="str">
            <v>의류</v>
          </cell>
          <cell r="I32" t="str">
            <v>I21</v>
          </cell>
          <cell r="K32">
            <v>1079</v>
          </cell>
          <cell r="L32">
            <v>109</v>
          </cell>
        </row>
        <row r="33">
          <cell r="B33" t="str">
            <v>P2W</v>
          </cell>
          <cell r="C33">
            <v>0</v>
          </cell>
          <cell r="D33">
            <v>0</v>
          </cell>
          <cell r="E33" t="e">
            <v>#DIV/0!</v>
          </cell>
          <cell r="H33" t="str">
            <v>의류</v>
          </cell>
          <cell r="I33" t="str">
            <v>I21</v>
          </cell>
          <cell r="K33">
            <v>955</v>
          </cell>
          <cell r="L33">
            <v>220</v>
          </cell>
        </row>
        <row r="34">
          <cell r="B34" t="str">
            <v>P1X</v>
          </cell>
          <cell r="C34">
            <v>0</v>
          </cell>
          <cell r="D34">
            <v>0</v>
          </cell>
          <cell r="E34" t="e">
            <v>#DIV/0!</v>
          </cell>
          <cell r="H34" t="str">
            <v>의류</v>
          </cell>
          <cell r="I34" t="str">
            <v>I21</v>
          </cell>
          <cell r="K34">
            <v>1126</v>
          </cell>
          <cell r="L34">
            <v>161</v>
          </cell>
        </row>
        <row r="35">
          <cell r="B35" t="str">
            <v>P1Y</v>
          </cell>
          <cell r="C35">
            <v>0</v>
          </cell>
          <cell r="D35">
            <v>0</v>
          </cell>
          <cell r="E35" t="e">
            <v>#DIV/0!</v>
          </cell>
          <cell r="H35" t="str">
            <v>의류</v>
          </cell>
          <cell r="I35" t="str">
            <v>I21</v>
          </cell>
          <cell r="K35">
            <v>1020</v>
          </cell>
          <cell r="L35">
            <v>73</v>
          </cell>
        </row>
        <row r="36">
          <cell r="B36" t="str">
            <v>P1Q</v>
          </cell>
          <cell r="C36">
            <v>516</v>
          </cell>
          <cell r="D36">
            <v>20</v>
          </cell>
          <cell r="E36">
            <v>3.875968992248062E-2</v>
          </cell>
          <cell r="H36" t="str">
            <v>의류</v>
          </cell>
          <cell r="I36" t="str">
            <v>I21</v>
          </cell>
          <cell r="K36">
            <v>844</v>
          </cell>
          <cell r="L36">
            <v>282</v>
          </cell>
        </row>
        <row r="37">
          <cell r="B37" t="str">
            <v>P15</v>
          </cell>
          <cell r="C37">
            <v>350</v>
          </cell>
          <cell r="D37">
            <v>8</v>
          </cell>
          <cell r="E37">
            <v>2.2857142857142857E-2</v>
          </cell>
          <cell r="H37" t="str">
            <v>의류</v>
          </cell>
          <cell r="I37" t="str">
            <v>I21</v>
          </cell>
          <cell r="K37">
            <v>799</v>
          </cell>
          <cell r="L37">
            <v>160</v>
          </cell>
        </row>
        <row r="38">
          <cell r="B38" t="str">
            <v>P18</v>
          </cell>
          <cell r="C38">
            <v>880</v>
          </cell>
          <cell r="D38">
            <v>54</v>
          </cell>
          <cell r="E38">
            <v>6.1363636363636363E-2</v>
          </cell>
          <cell r="H38" t="str">
            <v>의류</v>
          </cell>
          <cell r="I38" t="str">
            <v>I21</v>
          </cell>
          <cell r="K38">
            <v>1729</v>
          </cell>
          <cell r="L38">
            <v>217</v>
          </cell>
        </row>
        <row r="39">
          <cell r="B39" t="str">
            <v>P28</v>
          </cell>
          <cell r="C39">
            <v>2540</v>
          </cell>
          <cell r="D39">
            <v>337</v>
          </cell>
          <cell r="E39">
            <v>0.13267716535433072</v>
          </cell>
          <cell r="H39" t="str">
            <v>의류</v>
          </cell>
          <cell r="I39" t="str">
            <v>I21</v>
          </cell>
          <cell r="K39">
            <v>569</v>
          </cell>
          <cell r="L39">
            <v>47</v>
          </cell>
        </row>
        <row r="40">
          <cell r="B40" t="str">
            <v>P19</v>
          </cell>
          <cell r="C40">
            <v>924</v>
          </cell>
          <cell r="D40">
            <v>26</v>
          </cell>
          <cell r="E40">
            <v>2.813852813852814E-2</v>
          </cell>
          <cell r="H40" t="str">
            <v>의류</v>
          </cell>
          <cell r="I40" t="str">
            <v>I21</v>
          </cell>
          <cell r="K40">
            <v>435</v>
          </cell>
          <cell r="L40">
            <v>89</v>
          </cell>
        </row>
        <row r="41">
          <cell r="B41" t="str">
            <v>P29</v>
          </cell>
          <cell r="C41">
            <v>235</v>
          </cell>
          <cell r="D41">
            <v>24</v>
          </cell>
          <cell r="E41">
            <v>0.10212765957446808</v>
          </cell>
          <cell r="H41" t="str">
            <v>의류</v>
          </cell>
          <cell r="I41" t="str">
            <v>I21</v>
          </cell>
          <cell r="K41">
            <v>1089</v>
          </cell>
          <cell r="L41">
            <v>155</v>
          </cell>
        </row>
        <row r="42">
          <cell r="H42" t="str">
            <v>의류</v>
          </cell>
          <cell r="I42" t="str">
            <v>I21</v>
          </cell>
          <cell r="K42">
            <v>944</v>
          </cell>
          <cell r="L42">
            <v>374</v>
          </cell>
        </row>
        <row r="43">
          <cell r="H43" t="str">
            <v>의류</v>
          </cell>
          <cell r="I43" t="str">
            <v>I21</v>
          </cell>
          <cell r="K43">
            <v>1380</v>
          </cell>
          <cell r="L43">
            <v>162</v>
          </cell>
        </row>
        <row r="44">
          <cell r="H44" t="str">
            <v>의류</v>
          </cell>
          <cell r="I44" t="str">
            <v>I21</v>
          </cell>
          <cell r="K44">
            <v>1222</v>
          </cell>
          <cell r="L44">
            <v>209</v>
          </cell>
        </row>
        <row r="45">
          <cell r="H45" t="str">
            <v>의류</v>
          </cell>
          <cell r="I45" t="str">
            <v>I21</v>
          </cell>
          <cell r="K45">
            <v>742</v>
          </cell>
          <cell r="L45">
            <v>109</v>
          </cell>
        </row>
        <row r="46">
          <cell r="H46" t="str">
            <v>의류</v>
          </cell>
          <cell r="I46" t="str">
            <v>I21</v>
          </cell>
          <cell r="K46">
            <v>1524</v>
          </cell>
          <cell r="L46">
            <v>92</v>
          </cell>
        </row>
        <row r="47">
          <cell r="H47" t="str">
            <v>의류</v>
          </cell>
          <cell r="I47" t="str">
            <v>I21</v>
          </cell>
          <cell r="K47">
            <v>111</v>
          </cell>
          <cell r="L47">
            <v>26</v>
          </cell>
        </row>
        <row r="48">
          <cell r="H48" t="str">
            <v>의류</v>
          </cell>
          <cell r="I48" t="str">
            <v>I16</v>
          </cell>
          <cell r="K48">
            <v>1197</v>
          </cell>
          <cell r="L48">
            <v>12</v>
          </cell>
        </row>
        <row r="49">
          <cell r="H49" t="str">
            <v>의류</v>
          </cell>
          <cell r="I49" t="str">
            <v>I16</v>
          </cell>
          <cell r="K49">
            <v>1794</v>
          </cell>
          <cell r="L49">
            <v>55</v>
          </cell>
        </row>
        <row r="50">
          <cell r="H50" t="str">
            <v>의류</v>
          </cell>
          <cell r="I50" t="str">
            <v>I16</v>
          </cell>
          <cell r="K50">
            <v>280</v>
          </cell>
          <cell r="L50">
            <v>1</v>
          </cell>
        </row>
        <row r="51">
          <cell r="H51" t="str">
            <v>의류</v>
          </cell>
          <cell r="I51" t="str">
            <v>I16</v>
          </cell>
          <cell r="K51">
            <v>332</v>
          </cell>
          <cell r="L51">
            <v>1</v>
          </cell>
        </row>
        <row r="52">
          <cell r="H52" t="str">
            <v>의류</v>
          </cell>
          <cell r="I52" t="str">
            <v>I16</v>
          </cell>
          <cell r="K52">
            <v>1300</v>
          </cell>
          <cell r="L52">
            <v>22</v>
          </cell>
        </row>
        <row r="53">
          <cell r="H53" t="str">
            <v>의류</v>
          </cell>
          <cell r="I53" t="str">
            <v>I16</v>
          </cell>
          <cell r="K53">
            <v>776</v>
          </cell>
          <cell r="L53">
            <v>11</v>
          </cell>
        </row>
        <row r="54">
          <cell r="H54" t="str">
            <v>의류</v>
          </cell>
          <cell r="I54" t="str">
            <v>I16</v>
          </cell>
          <cell r="K54">
            <v>295</v>
          </cell>
          <cell r="L54">
            <v>11</v>
          </cell>
        </row>
        <row r="55">
          <cell r="H55" t="str">
            <v>의류</v>
          </cell>
          <cell r="I55" t="str">
            <v>I26</v>
          </cell>
          <cell r="K55">
            <v>1919</v>
          </cell>
          <cell r="L55">
            <v>102</v>
          </cell>
        </row>
        <row r="56">
          <cell r="H56" t="str">
            <v>의류</v>
          </cell>
          <cell r="I56" t="str">
            <v>I26</v>
          </cell>
          <cell r="K56">
            <v>1715</v>
          </cell>
          <cell r="L56">
            <v>127</v>
          </cell>
        </row>
        <row r="57">
          <cell r="H57" t="str">
            <v>의류</v>
          </cell>
          <cell r="I57" t="str">
            <v>I26</v>
          </cell>
          <cell r="K57">
            <v>1001</v>
          </cell>
          <cell r="L57">
            <v>38</v>
          </cell>
        </row>
        <row r="58">
          <cell r="H58" t="str">
            <v>의류</v>
          </cell>
          <cell r="I58" t="str">
            <v>I26</v>
          </cell>
          <cell r="K58">
            <v>1098</v>
          </cell>
          <cell r="L58">
            <v>55</v>
          </cell>
        </row>
        <row r="59">
          <cell r="H59" t="str">
            <v>의류</v>
          </cell>
          <cell r="I59" t="str">
            <v>I26</v>
          </cell>
          <cell r="K59">
            <v>872</v>
          </cell>
          <cell r="L59">
            <v>27</v>
          </cell>
        </row>
        <row r="60">
          <cell r="H60" t="str">
            <v>의류</v>
          </cell>
          <cell r="I60" t="str">
            <v>I26</v>
          </cell>
          <cell r="K60">
            <v>820</v>
          </cell>
          <cell r="L60">
            <v>58</v>
          </cell>
        </row>
        <row r="61">
          <cell r="H61" t="str">
            <v>의류</v>
          </cell>
          <cell r="I61" t="str">
            <v>I17</v>
          </cell>
          <cell r="K61">
            <v>1067</v>
          </cell>
          <cell r="L61">
            <v>13</v>
          </cell>
        </row>
        <row r="62">
          <cell r="H62" t="str">
            <v>의류</v>
          </cell>
          <cell r="I62" t="str">
            <v>I17</v>
          </cell>
          <cell r="K62">
            <v>1138</v>
          </cell>
          <cell r="L62">
            <v>56</v>
          </cell>
        </row>
        <row r="63">
          <cell r="H63" t="str">
            <v>의류</v>
          </cell>
          <cell r="I63" t="str">
            <v>I17</v>
          </cell>
          <cell r="K63">
            <v>693</v>
          </cell>
          <cell r="L63">
            <v>43</v>
          </cell>
        </row>
        <row r="64">
          <cell r="H64" t="str">
            <v>의류</v>
          </cell>
          <cell r="I64" t="str">
            <v>I17</v>
          </cell>
          <cell r="K64">
            <v>719</v>
          </cell>
          <cell r="L64">
            <v>100</v>
          </cell>
        </row>
        <row r="65">
          <cell r="H65" t="str">
            <v>의류</v>
          </cell>
          <cell r="I65" t="str">
            <v>I17</v>
          </cell>
          <cell r="K65">
            <v>1396</v>
          </cell>
          <cell r="L65">
            <v>159</v>
          </cell>
        </row>
        <row r="66">
          <cell r="H66" t="str">
            <v>의류</v>
          </cell>
          <cell r="I66" t="str">
            <v>I27</v>
          </cell>
          <cell r="K66">
            <v>3066</v>
          </cell>
          <cell r="L66">
            <v>766</v>
          </cell>
        </row>
        <row r="67">
          <cell r="H67" t="str">
            <v>의류</v>
          </cell>
          <cell r="I67" t="str">
            <v>I27</v>
          </cell>
          <cell r="K67">
            <v>3109</v>
          </cell>
          <cell r="L67">
            <v>828</v>
          </cell>
        </row>
        <row r="68">
          <cell r="H68" t="str">
            <v>의류</v>
          </cell>
          <cell r="I68" t="str">
            <v>I27</v>
          </cell>
          <cell r="K68">
            <v>1403</v>
          </cell>
          <cell r="L68">
            <v>374</v>
          </cell>
        </row>
        <row r="69">
          <cell r="H69" t="str">
            <v>의류</v>
          </cell>
          <cell r="I69" t="str">
            <v>I27</v>
          </cell>
          <cell r="K69">
            <v>1808</v>
          </cell>
          <cell r="L69">
            <v>385</v>
          </cell>
        </row>
        <row r="70">
          <cell r="H70" t="str">
            <v>의류</v>
          </cell>
          <cell r="I70" t="str">
            <v>I27</v>
          </cell>
          <cell r="K70">
            <v>454</v>
          </cell>
          <cell r="L70">
            <v>77</v>
          </cell>
        </row>
        <row r="71">
          <cell r="H71" t="str">
            <v>의류</v>
          </cell>
          <cell r="I71" t="str">
            <v>I27</v>
          </cell>
          <cell r="K71">
            <v>999</v>
          </cell>
          <cell r="L71">
            <v>184</v>
          </cell>
        </row>
        <row r="72">
          <cell r="H72" t="str">
            <v>의류</v>
          </cell>
          <cell r="I72" t="str">
            <v>I27</v>
          </cell>
          <cell r="K72">
            <v>1303</v>
          </cell>
          <cell r="L72">
            <v>444</v>
          </cell>
        </row>
        <row r="73">
          <cell r="H73" t="str">
            <v>의류</v>
          </cell>
          <cell r="I73" t="str">
            <v>I27</v>
          </cell>
          <cell r="K73">
            <v>1107</v>
          </cell>
          <cell r="L73">
            <v>497</v>
          </cell>
        </row>
        <row r="74">
          <cell r="H74" t="str">
            <v>의류</v>
          </cell>
          <cell r="I74" t="str">
            <v>I27</v>
          </cell>
          <cell r="K74">
            <v>2252</v>
          </cell>
          <cell r="L74">
            <v>792</v>
          </cell>
        </row>
        <row r="75">
          <cell r="H75" t="str">
            <v>의류</v>
          </cell>
          <cell r="I75" t="str">
            <v>I1V</v>
          </cell>
          <cell r="K75">
            <v>402</v>
          </cell>
          <cell r="L75">
            <v>19</v>
          </cell>
        </row>
        <row r="76">
          <cell r="H76" t="str">
            <v>의류</v>
          </cell>
          <cell r="I76" t="str">
            <v>I2V</v>
          </cell>
          <cell r="K76">
            <v>696</v>
          </cell>
          <cell r="L76">
            <v>170</v>
          </cell>
        </row>
        <row r="77">
          <cell r="H77" t="str">
            <v>의류</v>
          </cell>
          <cell r="I77" t="str">
            <v>I11</v>
          </cell>
          <cell r="K77">
            <v>340</v>
          </cell>
          <cell r="L77">
            <v>8</v>
          </cell>
        </row>
        <row r="78">
          <cell r="H78" t="str">
            <v>의류</v>
          </cell>
          <cell r="I78" t="str">
            <v>I11</v>
          </cell>
          <cell r="K78">
            <v>516</v>
          </cell>
          <cell r="L78">
            <v>21</v>
          </cell>
        </row>
        <row r="79">
          <cell r="H79" t="str">
            <v>의류</v>
          </cell>
          <cell r="I79" t="str">
            <v>I11</v>
          </cell>
          <cell r="K79">
            <v>529</v>
          </cell>
          <cell r="L79">
            <v>3</v>
          </cell>
        </row>
        <row r="80">
          <cell r="H80" t="str">
            <v>의류</v>
          </cell>
          <cell r="I80" t="str">
            <v>I11</v>
          </cell>
          <cell r="K80">
            <v>223</v>
          </cell>
          <cell r="L80">
            <v>11</v>
          </cell>
        </row>
        <row r="81">
          <cell r="H81" t="str">
            <v>의류</v>
          </cell>
          <cell r="I81" t="str">
            <v>I21</v>
          </cell>
          <cell r="K81">
            <v>926</v>
          </cell>
          <cell r="L81">
            <v>98</v>
          </cell>
        </row>
        <row r="82">
          <cell r="H82" t="str">
            <v>의류</v>
          </cell>
          <cell r="I82" t="str">
            <v>I21</v>
          </cell>
          <cell r="K82">
            <v>430</v>
          </cell>
          <cell r="L82">
            <v>31</v>
          </cell>
        </row>
        <row r="83">
          <cell r="H83" t="str">
            <v>의류</v>
          </cell>
          <cell r="I83" t="str">
            <v>I21</v>
          </cell>
          <cell r="K83">
            <v>399</v>
          </cell>
          <cell r="L83">
            <v>47</v>
          </cell>
        </row>
        <row r="84">
          <cell r="H84" t="str">
            <v>의류</v>
          </cell>
          <cell r="I84" t="str">
            <v>I21</v>
          </cell>
          <cell r="K84">
            <v>732</v>
          </cell>
          <cell r="L84">
            <v>40</v>
          </cell>
        </row>
        <row r="85">
          <cell r="H85" t="str">
            <v>의류</v>
          </cell>
          <cell r="I85" t="str">
            <v>I21</v>
          </cell>
          <cell r="K85">
            <v>755</v>
          </cell>
          <cell r="L85">
            <v>121</v>
          </cell>
        </row>
        <row r="86">
          <cell r="H86" t="str">
            <v>의류</v>
          </cell>
          <cell r="I86" t="str">
            <v>I21</v>
          </cell>
          <cell r="K86">
            <v>959</v>
          </cell>
          <cell r="L86">
            <v>97</v>
          </cell>
        </row>
        <row r="87">
          <cell r="H87" t="str">
            <v>의류</v>
          </cell>
          <cell r="I87" t="str">
            <v>I21</v>
          </cell>
          <cell r="K87">
            <v>833</v>
          </cell>
          <cell r="L87">
            <v>114</v>
          </cell>
        </row>
        <row r="88">
          <cell r="H88" t="str">
            <v>의류</v>
          </cell>
          <cell r="I88" t="str">
            <v>I21</v>
          </cell>
          <cell r="K88">
            <v>839</v>
          </cell>
          <cell r="L88">
            <v>159</v>
          </cell>
        </row>
        <row r="89">
          <cell r="H89" t="str">
            <v>의류</v>
          </cell>
          <cell r="I89" t="str">
            <v>I21</v>
          </cell>
          <cell r="K89">
            <v>1353</v>
          </cell>
          <cell r="L89">
            <v>293</v>
          </cell>
        </row>
        <row r="90">
          <cell r="H90" t="str">
            <v>의류</v>
          </cell>
          <cell r="I90" t="str">
            <v>I21</v>
          </cell>
          <cell r="K90">
            <v>1145</v>
          </cell>
          <cell r="L90">
            <v>200</v>
          </cell>
        </row>
        <row r="91">
          <cell r="H91" t="str">
            <v>의류</v>
          </cell>
          <cell r="I91" t="str">
            <v>I14</v>
          </cell>
          <cell r="K91">
            <v>337</v>
          </cell>
          <cell r="L91">
            <v>4</v>
          </cell>
        </row>
        <row r="92">
          <cell r="H92" t="str">
            <v>의류</v>
          </cell>
          <cell r="I92" t="str">
            <v>I16</v>
          </cell>
          <cell r="K92">
            <v>326</v>
          </cell>
          <cell r="L92">
            <v>7</v>
          </cell>
        </row>
        <row r="93">
          <cell r="H93" t="str">
            <v>의류</v>
          </cell>
          <cell r="I93" t="str">
            <v>I26</v>
          </cell>
          <cell r="K93">
            <v>792</v>
          </cell>
          <cell r="L93">
            <v>47</v>
          </cell>
        </row>
        <row r="94">
          <cell r="H94" t="str">
            <v>의류</v>
          </cell>
          <cell r="I94" t="str">
            <v>I26</v>
          </cell>
          <cell r="K94">
            <v>299</v>
          </cell>
          <cell r="L94">
            <v>14</v>
          </cell>
        </row>
        <row r="95">
          <cell r="H95" t="str">
            <v>의류</v>
          </cell>
          <cell r="I95" t="str">
            <v>I17</v>
          </cell>
          <cell r="K95">
            <v>992</v>
          </cell>
          <cell r="L95">
            <v>53</v>
          </cell>
        </row>
        <row r="96">
          <cell r="H96" t="str">
            <v>의류</v>
          </cell>
          <cell r="I96" t="str">
            <v>I17</v>
          </cell>
          <cell r="K96">
            <v>448</v>
          </cell>
          <cell r="L96">
            <v>33</v>
          </cell>
        </row>
        <row r="97">
          <cell r="H97" t="str">
            <v>의류</v>
          </cell>
          <cell r="I97" t="str">
            <v>I27</v>
          </cell>
          <cell r="K97">
            <v>855</v>
          </cell>
          <cell r="L97">
            <v>195</v>
          </cell>
        </row>
        <row r="98">
          <cell r="H98" t="str">
            <v>의류</v>
          </cell>
          <cell r="I98" t="str">
            <v>I27</v>
          </cell>
          <cell r="K98">
            <v>1189</v>
          </cell>
          <cell r="L98">
            <v>186</v>
          </cell>
        </row>
        <row r="99">
          <cell r="H99" t="str">
            <v>의류</v>
          </cell>
          <cell r="I99" t="str">
            <v>I27</v>
          </cell>
          <cell r="K99">
            <v>534</v>
          </cell>
          <cell r="L99">
            <v>43</v>
          </cell>
        </row>
        <row r="100">
          <cell r="H100" t="str">
            <v>의류</v>
          </cell>
          <cell r="I100" t="str">
            <v>I21</v>
          </cell>
          <cell r="K100">
            <v>1498</v>
          </cell>
          <cell r="L100">
            <v>266</v>
          </cell>
        </row>
        <row r="101">
          <cell r="H101" t="str">
            <v>의류</v>
          </cell>
          <cell r="I101" t="str">
            <v>I21</v>
          </cell>
          <cell r="K101">
            <v>933</v>
          </cell>
          <cell r="L101">
            <v>134</v>
          </cell>
        </row>
        <row r="102">
          <cell r="H102" t="str">
            <v>의류</v>
          </cell>
          <cell r="I102" t="str">
            <v>I21</v>
          </cell>
          <cell r="K102">
            <v>195</v>
          </cell>
          <cell r="L102">
            <v>23</v>
          </cell>
        </row>
        <row r="103">
          <cell r="H103" t="str">
            <v>의류</v>
          </cell>
          <cell r="I103" t="str">
            <v>I21</v>
          </cell>
          <cell r="K103">
            <v>743</v>
          </cell>
          <cell r="L103">
            <v>103</v>
          </cell>
        </row>
        <row r="104">
          <cell r="H104" t="str">
            <v>의류</v>
          </cell>
          <cell r="I104" t="str">
            <v>I21</v>
          </cell>
          <cell r="K104">
            <v>512</v>
          </cell>
          <cell r="L104">
            <v>107</v>
          </cell>
        </row>
        <row r="105">
          <cell r="H105" t="str">
            <v>의류</v>
          </cell>
          <cell r="I105" t="str">
            <v>I21</v>
          </cell>
          <cell r="K105">
            <v>267</v>
          </cell>
          <cell r="L105">
            <v>24</v>
          </cell>
        </row>
        <row r="106">
          <cell r="H106" t="str">
            <v>의류</v>
          </cell>
          <cell r="I106" t="str">
            <v>I21</v>
          </cell>
          <cell r="K106">
            <v>187</v>
          </cell>
          <cell r="L106">
            <v>29</v>
          </cell>
        </row>
        <row r="107">
          <cell r="H107" t="str">
            <v>의류</v>
          </cell>
          <cell r="I107" t="str">
            <v>I11</v>
          </cell>
          <cell r="K107">
            <v>838</v>
          </cell>
          <cell r="L107">
            <v>20</v>
          </cell>
        </row>
        <row r="108">
          <cell r="H108" t="str">
            <v>의류</v>
          </cell>
          <cell r="I108" t="str">
            <v>I21</v>
          </cell>
          <cell r="K108">
            <v>4622</v>
          </cell>
          <cell r="L108">
            <v>666</v>
          </cell>
        </row>
        <row r="109">
          <cell r="H109" t="str">
            <v>의류</v>
          </cell>
          <cell r="I109" t="str">
            <v>I21</v>
          </cell>
          <cell r="K109">
            <v>2698</v>
          </cell>
          <cell r="L109">
            <v>424</v>
          </cell>
        </row>
        <row r="110">
          <cell r="H110" t="str">
            <v>의류</v>
          </cell>
          <cell r="I110" t="str">
            <v>I21</v>
          </cell>
          <cell r="K110">
            <v>883</v>
          </cell>
          <cell r="L110">
            <v>211</v>
          </cell>
        </row>
        <row r="111">
          <cell r="H111" t="str">
            <v>의류</v>
          </cell>
          <cell r="I111" t="str">
            <v>I21</v>
          </cell>
          <cell r="K111">
            <v>994</v>
          </cell>
          <cell r="L111">
            <v>161</v>
          </cell>
        </row>
        <row r="112">
          <cell r="H112" t="str">
            <v>의류</v>
          </cell>
          <cell r="I112" t="str">
            <v>I21</v>
          </cell>
          <cell r="K112">
            <v>801</v>
          </cell>
          <cell r="L112">
            <v>79</v>
          </cell>
        </row>
        <row r="113">
          <cell r="H113" t="str">
            <v>의류</v>
          </cell>
          <cell r="I113" t="str">
            <v>I15</v>
          </cell>
          <cell r="K113">
            <v>299</v>
          </cell>
          <cell r="L113">
            <v>5</v>
          </cell>
        </row>
        <row r="114">
          <cell r="H114" t="str">
            <v>의류</v>
          </cell>
          <cell r="I114" t="str">
            <v>I17</v>
          </cell>
          <cell r="K114">
            <v>1784</v>
          </cell>
          <cell r="L114">
            <v>275</v>
          </cell>
        </row>
        <row r="115">
          <cell r="H115" t="str">
            <v>의류</v>
          </cell>
          <cell r="I115" t="str">
            <v>I17</v>
          </cell>
          <cell r="K115">
            <v>751</v>
          </cell>
          <cell r="L115">
            <v>66</v>
          </cell>
        </row>
        <row r="116">
          <cell r="H116" t="str">
            <v>의류</v>
          </cell>
          <cell r="I116" t="str">
            <v>I17</v>
          </cell>
          <cell r="K116">
            <v>480</v>
          </cell>
          <cell r="L116">
            <v>25</v>
          </cell>
        </row>
        <row r="117">
          <cell r="H117" t="str">
            <v>의류</v>
          </cell>
          <cell r="I117" t="str">
            <v>I27</v>
          </cell>
          <cell r="K117">
            <v>2568</v>
          </cell>
          <cell r="L117">
            <v>649</v>
          </cell>
        </row>
        <row r="118">
          <cell r="H118" t="str">
            <v>의류</v>
          </cell>
          <cell r="I118" t="str">
            <v>I27</v>
          </cell>
          <cell r="K118">
            <v>1616</v>
          </cell>
          <cell r="L118">
            <v>377</v>
          </cell>
        </row>
        <row r="119">
          <cell r="H119" t="str">
            <v>의류</v>
          </cell>
          <cell r="I119" t="str">
            <v>I27</v>
          </cell>
          <cell r="K119">
            <v>685</v>
          </cell>
          <cell r="L119">
            <v>121</v>
          </cell>
        </row>
        <row r="120">
          <cell r="H120" t="str">
            <v>의류</v>
          </cell>
          <cell r="I120" t="str">
            <v>I27</v>
          </cell>
          <cell r="K120">
            <v>1291</v>
          </cell>
          <cell r="L120">
            <v>330</v>
          </cell>
        </row>
        <row r="121">
          <cell r="H121" t="str">
            <v>의류</v>
          </cell>
          <cell r="I121" t="str">
            <v>I27</v>
          </cell>
          <cell r="K121">
            <v>676</v>
          </cell>
          <cell r="L121">
            <v>102</v>
          </cell>
        </row>
        <row r="122">
          <cell r="H122" t="str">
            <v>의류</v>
          </cell>
          <cell r="I122" t="str">
            <v>I27</v>
          </cell>
          <cell r="K122">
            <v>1169</v>
          </cell>
          <cell r="L122">
            <v>230</v>
          </cell>
        </row>
        <row r="123">
          <cell r="H123" t="str">
            <v>의류</v>
          </cell>
          <cell r="I123" t="str">
            <v>I27</v>
          </cell>
          <cell r="K123">
            <v>392</v>
          </cell>
          <cell r="L123">
            <v>64</v>
          </cell>
        </row>
        <row r="124">
          <cell r="H124" t="str">
            <v>의류</v>
          </cell>
          <cell r="I124" t="str">
            <v>I18</v>
          </cell>
          <cell r="K124">
            <v>283</v>
          </cell>
          <cell r="L124">
            <v>23</v>
          </cell>
        </row>
        <row r="125">
          <cell r="H125" t="str">
            <v>의류</v>
          </cell>
          <cell r="I125" t="str">
            <v>I18</v>
          </cell>
          <cell r="K125">
            <v>298</v>
          </cell>
          <cell r="L125">
            <v>11</v>
          </cell>
        </row>
        <row r="126">
          <cell r="H126" t="str">
            <v>의류</v>
          </cell>
          <cell r="I126" t="str">
            <v>I18</v>
          </cell>
          <cell r="K126">
            <v>672</v>
          </cell>
          <cell r="L126">
            <v>77</v>
          </cell>
        </row>
        <row r="127">
          <cell r="H127" t="str">
            <v>의류</v>
          </cell>
          <cell r="I127" t="str">
            <v>I18</v>
          </cell>
          <cell r="K127">
            <v>340</v>
          </cell>
          <cell r="L127">
            <v>15</v>
          </cell>
        </row>
        <row r="128">
          <cell r="H128" t="str">
            <v>의류</v>
          </cell>
          <cell r="I128" t="str">
            <v>I28</v>
          </cell>
          <cell r="K128">
            <v>406</v>
          </cell>
          <cell r="L128">
            <v>109</v>
          </cell>
        </row>
        <row r="129">
          <cell r="H129" t="str">
            <v>의류</v>
          </cell>
          <cell r="I129" t="str">
            <v>I28</v>
          </cell>
          <cell r="K129">
            <v>807</v>
          </cell>
          <cell r="L129">
            <v>245</v>
          </cell>
        </row>
        <row r="130">
          <cell r="H130" t="str">
            <v>의류</v>
          </cell>
          <cell r="I130" t="str">
            <v>I28</v>
          </cell>
          <cell r="K130">
            <v>349</v>
          </cell>
          <cell r="L130">
            <v>112</v>
          </cell>
        </row>
        <row r="131">
          <cell r="H131" t="str">
            <v>의류</v>
          </cell>
          <cell r="I131" t="str">
            <v>I28</v>
          </cell>
          <cell r="K131">
            <v>405</v>
          </cell>
          <cell r="L131">
            <v>136</v>
          </cell>
        </row>
        <row r="132">
          <cell r="H132" t="str">
            <v>의류</v>
          </cell>
          <cell r="I132" t="str">
            <v>I28</v>
          </cell>
          <cell r="K132">
            <v>348</v>
          </cell>
          <cell r="L132">
            <v>50</v>
          </cell>
        </row>
        <row r="133">
          <cell r="H133" t="str">
            <v>의류</v>
          </cell>
          <cell r="I133" t="str">
            <v>I28</v>
          </cell>
          <cell r="K133">
            <v>403</v>
          </cell>
          <cell r="L133">
            <v>94</v>
          </cell>
        </row>
        <row r="134">
          <cell r="H134" t="str">
            <v>의류</v>
          </cell>
          <cell r="I134" t="str">
            <v>I28</v>
          </cell>
          <cell r="K134">
            <v>412</v>
          </cell>
          <cell r="L134">
            <v>95</v>
          </cell>
        </row>
        <row r="135">
          <cell r="H135" t="str">
            <v>의류</v>
          </cell>
          <cell r="I135" t="str">
            <v>I28</v>
          </cell>
          <cell r="K135">
            <v>379</v>
          </cell>
          <cell r="L135">
            <v>48</v>
          </cell>
        </row>
        <row r="136">
          <cell r="H136" t="str">
            <v>의류</v>
          </cell>
          <cell r="I136" t="str">
            <v>I28</v>
          </cell>
          <cell r="K136">
            <v>718</v>
          </cell>
          <cell r="L136">
            <v>232</v>
          </cell>
        </row>
        <row r="137">
          <cell r="H137" t="str">
            <v>의류</v>
          </cell>
          <cell r="I137" t="str">
            <v>I28</v>
          </cell>
          <cell r="K137">
            <v>342</v>
          </cell>
          <cell r="L137">
            <v>128</v>
          </cell>
        </row>
        <row r="138">
          <cell r="H138" t="str">
            <v>의류</v>
          </cell>
          <cell r="I138" t="str">
            <v>I28</v>
          </cell>
          <cell r="K138">
            <v>397</v>
          </cell>
          <cell r="L138">
            <v>107</v>
          </cell>
        </row>
        <row r="139">
          <cell r="H139" t="str">
            <v>의류</v>
          </cell>
          <cell r="I139" t="str">
            <v>I28</v>
          </cell>
          <cell r="K139">
            <v>312</v>
          </cell>
          <cell r="L139">
            <v>18</v>
          </cell>
        </row>
        <row r="140">
          <cell r="H140" t="str">
            <v>의류</v>
          </cell>
          <cell r="I140" t="str">
            <v>I19</v>
          </cell>
          <cell r="K140">
            <v>402</v>
          </cell>
          <cell r="L140">
            <v>21</v>
          </cell>
        </row>
        <row r="141">
          <cell r="H141" t="str">
            <v>의류</v>
          </cell>
          <cell r="I141" t="str">
            <v>I19</v>
          </cell>
          <cell r="K141">
            <v>672</v>
          </cell>
          <cell r="L141">
            <v>16</v>
          </cell>
        </row>
        <row r="142">
          <cell r="H142" t="str">
            <v>의류</v>
          </cell>
          <cell r="I142" t="str">
            <v>I19</v>
          </cell>
          <cell r="K142">
            <v>668</v>
          </cell>
          <cell r="L142">
            <v>63</v>
          </cell>
        </row>
        <row r="143">
          <cell r="H143" t="str">
            <v>의류</v>
          </cell>
          <cell r="I143" t="str">
            <v>I19</v>
          </cell>
          <cell r="K143">
            <v>749</v>
          </cell>
          <cell r="L143">
            <v>44</v>
          </cell>
        </row>
        <row r="144">
          <cell r="H144" t="str">
            <v>의류</v>
          </cell>
          <cell r="I144" t="str">
            <v>I29</v>
          </cell>
          <cell r="K144">
            <v>768</v>
          </cell>
          <cell r="L144">
            <v>126</v>
          </cell>
        </row>
        <row r="145">
          <cell r="H145" t="str">
            <v>의류</v>
          </cell>
          <cell r="I145" t="str">
            <v>I29</v>
          </cell>
          <cell r="K145">
            <v>361</v>
          </cell>
          <cell r="L145">
            <v>26</v>
          </cell>
        </row>
        <row r="146">
          <cell r="H146" t="str">
            <v>의류</v>
          </cell>
          <cell r="I146" t="str">
            <v>I29</v>
          </cell>
          <cell r="K146">
            <v>359</v>
          </cell>
          <cell r="L146">
            <v>47</v>
          </cell>
        </row>
        <row r="147">
          <cell r="H147" t="str">
            <v>의류</v>
          </cell>
          <cell r="I147" t="str">
            <v>I29</v>
          </cell>
          <cell r="K147">
            <v>560</v>
          </cell>
          <cell r="L147">
            <v>25</v>
          </cell>
        </row>
        <row r="148">
          <cell r="H148" t="str">
            <v>의류</v>
          </cell>
          <cell r="I148" t="str">
            <v>I29</v>
          </cell>
          <cell r="K148">
            <v>228</v>
          </cell>
          <cell r="L148">
            <v>20</v>
          </cell>
        </row>
        <row r="149">
          <cell r="H149" t="str">
            <v>의류</v>
          </cell>
          <cell r="I149" t="str">
            <v>I29</v>
          </cell>
          <cell r="K149">
            <v>600</v>
          </cell>
          <cell r="L149">
            <v>131</v>
          </cell>
        </row>
        <row r="150">
          <cell r="H150" t="str">
            <v>의류</v>
          </cell>
          <cell r="I150" t="str">
            <v>I29</v>
          </cell>
          <cell r="K150">
            <v>261</v>
          </cell>
          <cell r="L150">
            <v>30</v>
          </cell>
        </row>
        <row r="151">
          <cell r="H151" t="str">
            <v>의류</v>
          </cell>
          <cell r="I151" t="str">
            <v>I29</v>
          </cell>
          <cell r="K151">
            <v>462</v>
          </cell>
          <cell r="L151">
            <v>44</v>
          </cell>
        </row>
        <row r="152">
          <cell r="H152" t="str">
            <v>의류</v>
          </cell>
          <cell r="I152" t="str">
            <v>I1T</v>
          </cell>
          <cell r="K152">
            <v>391</v>
          </cell>
          <cell r="L152">
            <v>4</v>
          </cell>
        </row>
        <row r="153">
          <cell r="H153" t="str">
            <v>의류</v>
          </cell>
          <cell r="I153" t="str">
            <v>P11</v>
          </cell>
          <cell r="K153">
            <v>1578</v>
          </cell>
          <cell r="L153">
            <v>45</v>
          </cell>
        </row>
        <row r="154">
          <cell r="H154" t="str">
            <v>의류</v>
          </cell>
          <cell r="I154" t="str">
            <v>P11</v>
          </cell>
          <cell r="K154">
            <v>1594</v>
          </cell>
          <cell r="L154">
            <v>58</v>
          </cell>
        </row>
        <row r="155">
          <cell r="H155" t="str">
            <v>의류</v>
          </cell>
          <cell r="I155" t="str">
            <v>P11</v>
          </cell>
          <cell r="K155">
            <v>564</v>
          </cell>
          <cell r="L155">
            <v>11</v>
          </cell>
        </row>
        <row r="156">
          <cell r="H156" t="str">
            <v>의류</v>
          </cell>
          <cell r="I156" t="str">
            <v>P11</v>
          </cell>
          <cell r="K156">
            <v>821</v>
          </cell>
          <cell r="L156">
            <v>16</v>
          </cell>
        </row>
        <row r="157">
          <cell r="H157" t="str">
            <v>의류</v>
          </cell>
          <cell r="I157" t="str">
            <v>P11</v>
          </cell>
          <cell r="K157">
            <v>760</v>
          </cell>
          <cell r="L157">
            <v>9</v>
          </cell>
        </row>
        <row r="158">
          <cell r="H158" t="str">
            <v>의류</v>
          </cell>
          <cell r="I158" t="str">
            <v>P11</v>
          </cell>
          <cell r="K158">
            <v>1174</v>
          </cell>
          <cell r="L158">
            <v>26</v>
          </cell>
        </row>
        <row r="159">
          <cell r="H159" t="str">
            <v>의류</v>
          </cell>
          <cell r="I159" t="str">
            <v>P11</v>
          </cell>
          <cell r="K159">
            <v>463</v>
          </cell>
          <cell r="L159">
            <v>8</v>
          </cell>
        </row>
        <row r="160">
          <cell r="H160" t="str">
            <v>의류</v>
          </cell>
          <cell r="I160" t="str">
            <v>P11</v>
          </cell>
          <cell r="K160">
            <v>886</v>
          </cell>
          <cell r="L160">
            <v>40</v>
          </cell>
        </row>
        <row r="161">
          <cell r="H161" t="str">
            <v>의류</v>
          </cell>
          <cell r="I161" t="str">
            <v>P11</v>
          </cell>
          <cell r="K161">
            <v>714</v>
          </cell>
          <cell r="L161">
            <v>11</v>
          </cell>
        </row>
        <row r="162">
          <cell r="H162" t="str">
            <v>의류</v>
          </cell>
          <cell r="I162" t="str">
            <v>P21</v>
          </cell>
          <cell r="K162">
            <v>2696</v>
          </cell>
          <cell r="L162">
            <v>329</v>
          </cell>
        </row>
        <row r="163">
          <cell r="H163" t="str">
            <v>의류</v>
          </cell>
          <cell r="I163" t="str">
            <v>P21</v>
          </cell>
          <cell r="K163">
            <v>1214</v>
          </cell>
          <cell r="L163">
            <v>234</v>
          </cell>
        </row>
        <row r="164">
          <cell r="H164" t="str">
            <v>의류</v>
          </cell>
          <cell r="I164" t="str">
            <v>P21</v>
          </cell>
          <cell r="K164">
            <v>1274</v>
          </cell>
          <cell r="L164">
            <v>107</v>
          </cell>
        </row>
        <row r="165">
          <cell r="H165" t="str">
            <v>의류</v>
          </cell>
          <cell r="I165" t="str">
            <v>P21</v>
          </cell>
          <cell r="K165">
            <v>2187</v>
          </cell>
          <cell r="L165">
            <v>564</v>
          </cell>
        </row>
        <row r="166">
          <cell r="H166" t="str">
            <v>의류</v>
          </cell>
          <cell r="I166" t="str">
            <v>P21</v>
          </cell>
          <cell r="K166">
            <v>444</v>
          </cell>
          <cell r="L166">
            <v>38</v>
          </cell>
        </row>
        <row r="167">
          <cell r="H167" t="str">
            <v>의류</v>
          </cell>
          <cell r="I167" t="str">
            <v>P21</v>
          </cell>
          <cell r="K167">
            <v>1479</v>
          </cell>
          <cell r="L167">
            <v>362</v>
          </cell>
        </row>
        <row r="168">
          <cell r="H168" t="str">
            <v>의류</v>
          </cell>
          <cell r="I168" t="str">
            <v>P21</v>
          </cell>
          <cell r="K168">
            <v>622</v>
          </cell>
          <cell r="L168">
            <v>100</v>
          </cell>
        </row>
        <row r="169">
          <cell r="H169" t="str">
            <v>의류</v>
          </cell>
          <cell r="I169" t="str">
            <v>P21</v>
          </cell>
          <cell r="K169">
            <v>1469</v>
          </cell>
          <cell r="L169">
            <v>301</v>
          </cell>
        </row>
        <row r="170">
          <cell r="H170" t="str">
            <v>의류</v>
          </cell>
          <cell r="I170" t="str">
            <v>P21</v>
          </cell>
          <cell r="K170">
            <v>903</v>
          </cell>
          <cell r="L170">
            <v>130</v>
          </cell>
        </row>
        <row r="171">
          <cell r="H171" t="str">
            <v>의류</v>
          </cell>
          <cell r="I171" t="str">
            <v>P21</v>
          </cell>
          <cell r="K171">
            <v>1098</v>
          </cell>
          <cell r="L171">
            <v>84</v>
          </cell>
        </row>
        <row r="172">
          <cell r="H172" t="str">
            <v>의류</v>
          </cell>
          <cell r="I172" t="str">
            <v>P21</v>
          </cell>
          <cell r="K172">
            <v>909</v>
          </cell>
          <cell r="L172">
            <v>56</v>
          </cell>
        </row>
        <row r="173">
          <cell r="H173" t="str">
            <v>의류</v>
          </cell>
          <cell r="I173" t="str">
            <v>P21</v>
          </cell>
          <cell r="K173">
            <v>1396</v>
          </cell>
          <cell r="L173">
            <v>228</v>
          </cell>
        </row>
        <row r="174">
          <cell r="H174" t="str">
            <v>의류</v>
          </cell>
          <cell r="I174" t="str">
            <v>P21</v>
          </cell>
          <cell r="K174">
            <v>1571</v>
          </cell>
          <cell r="L174">
            <v>267</v>
          </cell>
        </row>
        <row r="175">
          <cell r="H175" t="str">
            <v>의류</v>
          </cell>
          <cell r="I175" t="str">
            <v>P21</v>
          </cell>
          <cell r="K175">
            <v>1162</v>
          </cell>
          <cell r="L175">
            <v>200</v>
          </cell>
        </row>
        <row r="176">
          <cell r="H176" t="str">
            <v>의류</v>
          </cell>
          <cell r="I176" t="str">
            <v>P21</v>
          </cell>
          <cell r="K176">
            <v>1274</v>
          </cell>
          <cell r="L176">
            <v>192</v>
          </cell>
        </row>
        <row r="177">
          <cell r="H177" t="str">
            <v>의류</v>
          </cell>
          <cell r="I177" t="str">
            <v>P21</v>
          </cell>
          <cell r="K177">
            <v>1227</v>
          </cell>
          <cell r="L177">
            <v>436</v>
          </cell>
        </row>
        <row r="178">
          <cell r="H178" t="str">
            <v>의류</v>
          </cell>
          <cell r="I178" t="str">
            <v>P21</v>
          </cell>
          <cell r="K178">
            <v>1337</v>
          </cell>
          <cell r="L178">
            <v>284</v>
          </cell>
        </row>
        <row r="179">
          <cell r="H179" t="str">
            <v>의류</v>
          </cell>
          <cell r="I179" t="str">
            <v>P21</v>
          </cell>
          <cell r="K179">
            <v>1172</v>
          </cell>
          <cell r="L179">
            <v>140</v>
          </cell>
        </row>
        <row r="180">
          <cell r="H180" t="str">
            <v>의류</v>
          </cell>
          <cell r="I180" t="str">
            <v>P21</v>
          </cell>
          <cell r="K180">
            <v>1418</v>
          </cell>
          <cell r="L180">
            <v>122</v>
          </cell>
        </row>
        <row r="181">
          <cell r="H181" t="str">
            <v>의류</v>
          </cell>
          <cell r="I181" t="str">
            <v>P21</v>
          </cell>
          <cell r="K181">
            <v>1116</v>
          </cell>
          <cell r="L181">
            <v>242</v>
          </cell>
        </row>
        <row r="182">
          <cell r="H182" t="str">
            <v>의류</v>
          </cell>
          <cell r="I182" t="str">
            <v>P21</v>
          </cell>
          <cell r="K182">
            <v>1933</v>
          </cell>
          <cell r="L182">
            <v>334</v>
          </cell>
        </row>
        <row r="183">
          <cell r="H183" t="str">
            <v>의류</v>
          </cell>
          <cell r="I183" t="str">
            <v>P21</v>
          </cell>
          <cell r="K183">
            <v>1230</v>
          </cell>
          <cell r="L183">
            <v>141</v>
          </cell>
        </row>
        <row r="184">
          <cell r="H184" t="str">
            <v>의류</v>
          </cell>
          <cell r="I184" t="str">
            <v>P21</v>
          </cell>
          <cell r="K184">
            <v>386</v>
          </cell>
          <cell r="L184">
            <v>67</v>
          </cell>
        </row>
        <row r="185">
          <cell r="H185" t="str">
            <v>의류</v>
          </cell>
          <cell r="I185" t="str">
            <v>P21</v>
          </cell>
          <cell r="K185">
            <v>284</v>
          </cell>
          <cell r="L185">
            <v>60</v>
          </cell>
        </row>
        <row r="186">
          <cell r="H186" t="str">
            <v>의류</v>
          </cell>
          <cell r="I186" t="str">
            <v>P21</v>
          </cell>
          <cell r="K186">
            <v>944</v>
          </cell>
          <cell r="L186">
            <v>61</v>
          </cell>
        </row>
        <row r="187">
          <cell r="H187" t="str">
            <v>의류</v>
          </cell>
          <cell r="I187" t="str">
            <v>P21</v>
          </cell>
          <cell r="K187">
            <v>751</v>
          </cell>
          <cell r="L187">
            <v>88</v>
          </cell>
        </row>
        <row r="188">
          <cell r="H188" t="str">
            <v>의류</v>
          </cell>
          <cell r="I188" t="str">
            <v>P21</v>
          </cell>
          <cell r="K188">
            <v>814</v>
          </cell>
          <cell r="L188">
            <v>77</v>
          </cell>
        </row>
        <row r="189">
          <cell r="H189" t="str">
            <v>의류</v>
          </cell>
          <cell r="I189" t="str">
            <v>P21</v>
          </cell>
          <cell r="K189">
            <v>1107</v>
          </cell>
          <cell r="L189">
            <v>144</v>
          </cell>
        </row>
        <row r="190">
          <cell r="H190" t="str">
            <v>의류</v>
          </cell>
          <cell r="I190" t="str">
            <v>P21</v>
          </cell>
          <cell r="K190">
            <v>1151</v>
          </cell>
          <cell r="L190">
            <v>92</v>
          </cell>
        </row>
        <row r="191">
          <cell r="H191" t="str">
            <v>의류</v>
          </cell>
          <cell r="I191" t="str">
            <v>P21</v>
          </cell>
          <cell r="K191">
            <v>861</v>
          </cell>
          <cell r="L191">
            <v>83</v>
          </cell>
        </row>
        <row r="192">
          <cell r="H192" t="str">
            <v>의류</v>
          </cell>
          <cell r="I192" t="str">
            <v>P21</v>
          </cell>
          <cell r="K192">
            <v>1043</v>
          </cell>
          <cell r="L192">
            <v>152</v>
          </cell>
        </row>
        <row r="193">
          <cell r="H193" t="str">
            <v>의류</v>
          </cell>
          <cell r="I193" t="str">
            <v>P21</v>
          </cell>
          <cell r="K193">
            <v>438</v>
          </cell>
          <cell r="L193">
            <v>50</v>
          </cell>
        </row>
        <row r="194">
          <cell r="H194" t="str">
            <v>의류</v>
          </cell>
          <cell r="I194" t="str">
            <v>P21</v>
          </cell>
          <cell r="K194">
            <v>771</v>
          </cell>
          <cell r="L194">
            <v>84</v>
          </cell>
        </row>
        <row r="195">
          <cell r="H195" t="str">
            <v>의류</v>
          </cell>
          <cell r="I195" t="str">
            <v>P21</v>
          </cell>
          <cell r="K195">
            <v>512</v>
          </cell>
          <cell r="L195">
            <v>102</v>
          </cell>
        </row>
        <row r="196">
          <cell r="H196" t="str">
            <v>의류</v>
          </cell>
          <cell r="I196" t="str">
            <v>P21</v>
          </cell>
          <cell r="K196">
            <v>744</v>
          </cell>
          <cell r="L196">
            <v>211</v>
          </cell>
        </row>
        <row r="197">
          <cell r="H197" t="str">
            <v>의류</v>
          </cell>
          <cell r="I197" t="str">
            <v>P21</v>
          </cell>
          <cell r="K197">
            <v>1008</v>
          </cell>
          <cell r="L197">
            <v>141</v>
          </cell>
        </row>
        <row r="198">
          <cell r="H198" t="str">
            <v>의류</v>
          </cell>
          <cell r="I198" t="str">
            <v>P21</v>
          </cell>
          <cell r="K198">
            <v>636</v>
          </cell>
          <cell r="L198">
            <v>101</v>
          </cell>
        </row>
        <row r="199">
          <cell r="H199" t="str">
            <v>의류</v>
          </cell>
          <cell r="I199" t="str">
            <v>P21</v>
          </cell>
          <cell r="K199">
            <v>1002</v>
          </cell>
          <cell r="L199">
            <v>159</v>
          </cell>
        </row>
        <row r="200">
          <cell r="H200" t="str">
            <v>의류</v>
          </cell>
          <cell r="I200" t="str">
            <v>P21</v>
          </cell>
          <cell r="K200">
            <v>1242</v>
          </cell>
          <cell r="L200">
            <v>56</v>
          </cell>
        </row>
        <row r="201">
          <cell r="H201" t="str">
            <v>의류</v>
          </cell>
          <cell r="I201" t="str">
            <v>P21</v>
          </cell>
          <cell r="K201">
            <v>920</v>
          </cell>
          <cell r="L201">
            <v>92</v>
          </cell>
        </row>
        <row r="202">
          <cell r="H202" t="str">
            <v>의류</v>
          </cell>
          <cell r="I202" t="str">
            <v>P16</v>
          </cell>
          <cell r="K202">
            <v>1298</v>
          </cell>
          <cell r="L202">
            <v>60</v>
          </cell>
        </row>
        <row r="203">
          <cell r="H203" t="str">
            <v>의류</v>
          </cell>
          <cell r="I203" t="str">
            <v>P16</v>
          </cell>
          <cell r="K203">
            <v>822</v>
          </cell>
          <cell r="L203">
            <v>2</v>
          </cell>
        </row>
        <row r="204">
          <cell r="H204" t="str">
            <v>의류</v>
          </cell>
          <cell r="I204" t="str">
            <v>P26</v>
          </cell>
          <cell r="K204">
            <v>1790</v>
          </cell>
          <cell r="L204">
            <v>77</v>
          </cell>
        </row>
        <row r="205">
          <cell r="H205" t="str">
            <v>의류</v>
          </cell>
          <cell r="I205" t="str">
            <v>P26</v>
          </cell>
          <cell r="K205">
            <v>952</v>
          </cell>
          <cell r="L205">
            <v>20</v>
          </cell>
        </row>
        <row r="206">
          <cell r="H206" t="str">
            <v>의류</v>
          </cell>
          <cell r="I206" t="str">
            <v>P26</v>
          </cell>
          <cell r="K206">
            <v>843</v>
          </cell>
          <cell r="L206">
            <v>76</v>
          </cell>
        </row>
        <row r="207">
          <cell r="H207" t="str">
            <v>의류</v>
          </cell>
          <cell r="I207" t="str">
            <v>P26</v>
          </cell>
          <cell r="K207">
            <v>392</v>
          </cell>
          <cell r="L207">
            <v>11</v>
          </cell>
        </row>
        <row r="208">
          <cell r="H208" t="str">
            <v>의류</v>
          </cell>
          <cell r="I208" t="str">
            <v>P17</v>
          </cell>
          <cell r="K208">
            <v>728</v>
          </cell>
          <cell r="L208">
            <v>16</v>
          </cell>
        </row>
        <row r="209">
          <cell r="H209" t="str">
            <v>의류</v>
          </cell>
          <cell r="I209" t="str">
            <v>P17</v>
          </cell>
          <cell r="K209">
            <v>1493</v>
          </cell>
          <cell r="L209">
            <v>138</v>
          </cell>
        </row>
        <row r="210">
          <cell r="H210" t="str">
            <v>의류</v>
          </cell>
          <cell r="I210" t="str">
            <v>P17</v>
          </cell>
          <cell r="K210">
            <v>1040</v>
          </cell>
          <cell r="L210">
            <v>138</v>
          </cell>
        </row>
        <row r="211">
          <cell r="H211" t="str">
            <v>의류</v>
          </cell>
          <cell r="I211" t="str">
            <v>P17</v>
          </cell>
          <cell r="K211">
            <v>821</v>
          </cell>
          <cell r="L211">
            <v>66</v>
          </cell>
        </row>
        <row r="212">
          <cell r="H212" t="str">
            <v>의류</v>
          </cell>
          <cell r="I212" t="str">
            <v>P27</v>
          </cell>
          <cell r="K212">
            <v>1775</v>
          </cell>
          <cell r="L212">
            <v>306</v>
          </cell>
        </row>
        <row r="213">
          <cell r="H213" t="str">
            <v>의류</v>
          </cell>
          <cell r="I213" t="str">
            <v>P27</v>
          </cell>
          <cell r="K213">
            <v>1419</v>
          </cell>
          <cell r="L213">
            <v>670</v>
          </cell>
        </row>
        <row r="214">
          <cell r="H214" t="str">
            <v>의류</v>
          </cell>
          <cell r="I214" t="str">
            <v>P27</v>
          </cell>
          <cell r="K214">
            <v>1641</v>
          </cell>
          <cell r="L214">
            <v>205</v>
          </cell>
        </row>
        <row r="215">
          <cell r="H215" t="str">
            <v>의류</v>
          </cell>
          <cell r="I215" t="str">
            <v>P27</v>
          </cell>
          <cell r="K215">
            <v>1298</v>
          </cell>
          <cell r="L215">
            <v>175</v>
          </cell>
        </row>
        <row r="216">
          <cell r="H216" t="str">
            <v>의류</v>
          </cell>
          <cell r="I216" t="str">
            <v>P27</v>
          </cell>
          <cell r="K216">
            <v>1398</v>
          </cell>
          <cell r="L216">
            <v>519</v>
          </cell>
        </row>
        <row r="217">
          <cell r="H217" t="str">
            <v>의류</v>
          </cell>
          <cell r="I217" t="str">
            <v>P27</v>
          </cell>
          <cell r="K217">
            <v>1299</v>
          </cell>
          <cell r="L217">
            <v>490</v>
          </cell>
        </row>
        <row r="218">
          <cell r="H218" t="str">
            <v>의류</v>
          </cell>
          <cell r="I218" t="str">
            <v>P27</v>
          </cell>
          <cell r="K218">
            <v>1187</v>
          </cell>
          <cell r="L218">
            <v>458</v>
          </cell>
        </row>
        <row r="219">
          <cell r="H219" t="str">
            <v>의류</v>
          </cell>
          <cell r="I219" t="str">
            <v>P27</v>
          </cell>
          <cell r="K219">
            <v>1100</v>
          </cell>
          <cell r="L219">
            <v>232</v>
          </cell>
        </row>
        <row r="220">
          <cell r="H220" t="str">
            <v>의류</v>
          </cell>
          <cell r="I220" t="str">
            <v>P27</v>
          </cell>
          <cell r="K220">
            <v>814</v>
          </cell>
          <cell r="L220">
            <v>154</v>
          </cell>
        </row>
        <row r="221">
          <cell r="H221" t="str">
            <v>의류</v>
          </cell>
          <cell r="I221" t="str">
            <v>P1C</v>
          </cell>
          <cell r="K221">
            <v>796</v>
          </cell>
          <cell r="L221">
            <v>42</v>
          </cell>
        </row>
        <row r="222">
          <cell r="H222" t="str">
            <v>의류</v>
          </cell>
          <cell r="I222" t="str">
            <v>P2Q</v>
          </cell>
          <cell r="K222">
            <v>633</v>
          </cell>
          <cell r="L222">
            <v>72</v>
          </cell>
        </row>
        <row r="223">
          <cell r="H223" t="str">
            <v>의류</v>
          </cell>
          <cell r="I223" t="str">
            <v>P2Q</v>
          </cell>
          <cell r="K223">
            <v>273</v>
          </cell>
          <cell r="L223">
            <v>22</v>
          </cell>
        </row>
        <row r="224">
          <cell r="H224" t="str">
            <v>의류</v>
          </cell>
          <cell r="I224" t="str">
            <v>P2Q</v>
          </cell>
          <cell r="K224">
            <v>560</v>
          </cell>
          <cell r="L224">
            <v>184</v>
          </cell>
        </row>
        <row r="225">
          <cell r="H225" t="str">
            <v>의류</v>
          </cell>
          <cell r="I225" t="str">
            <v>P1T</v>
          </cell>
          <cell r="K225">
            <v>819</v>
          </cell>
          <cell r="L225">
            <v>-4</v>
          </cell>
        </row>
        <row r="226">
          <cell r="H226" t="str">
            <v>의류</v>
          </cell>
          <cell r="I226" t="str">
            <v>P1T</v>
          </cell>
          <cell r="K226">
            <v>899</v>
          </cell>
          <cell r="L226">
            <v>16</v>
          </cell>
        </row>
        <row r="227">
          <cell r="H227" t="str">
            <v>의류</v>
          </cell>
          <cell r="I227" t="str">
            <v>P2T</v>
          </cell>
          <cell r="K227">
            <v>384</v>
          </cell>
          <cell r="L227">
            <v>12</v>
          </cell>
        </row>
        <row r="228">
          <cell r="H228" t="str">
            <v>의류</v>
          </cell>
          <cell r="I228" t="str">
            <v>P1V</v>
          </cell>
          <cell r="K228">
            <v>706</v>
          </cell>
          <cell r="L228">
            <v>33</v>
          </cell>
        </row>
        <row r="229">
          <cell r="H229" t="str">
            <v>의류</v>
          </cell>
          <cell r="I229" t="str">
            <v>P2V</v>
          </cell>
          <cell r="K229">
            <v>807</v>
          </cell>
          <cell r="L229">
            <v>88</v>
          </cell>
        </row>
        <row r="230">
          <cell r="H230" t="str">
            <v>의류</v>
          </cell>
          <cell r="I230" t="str">
            <v>P2V</v>
          </cell>
          <cell r="K230">
            <v>1226</v>
          </cell>
          <cell r="L230">
            <v>280</v>
          </cell>
        </row>
        <row r="231">
          <cell r="H231" t="str">
            <v>의류</v>
          </cell>
          <cell r="I231" t="str">
            <v>P2V</v>
          </cell>
          <cell r="K231">
            <v>715</v>
          </cell>
          <cell r="L231">
            <v>46</v>
          </cell>
        </row>
        <row r="232">
          <cell r="H232" t="str">
            <v>의류</v>
          </cell>
          <cell r="I232" t="str">
            <v>P11</v>
          </cell>
          <cell r="K232">
            <v>622</v>
          </cell>
          <cell r="L232">
            <v>23</v>
          </cell>
        </row>
        <row r="233">
          <cell r="H233" t="str">
            <v>의류</v>
          </cell>
          <cell r="I233" t="str">
            <v>P11</v>
          </cell>
          <cell r="K233">
            <v>601</v>
          </cell>
          <cell r="L233">
            <v>13</v>
          </cell>
        </row>
        <row r="234">
          <cell r="H234" t="str">
            <v>의류</v>
          </cell>
          <cell r="I234" t="str">
            <v>P11</v>
          </cell>
          <cell r="K234">
            <v>897</v>
          </cell>
          <cell r="L234">
            <v>28</v>
          </cell>
        </row>
        <row r="235">
          <cell r="H235" t="str">
            <v>의류</v>
          </cell>
          <cell r="I235" t="str">
            <v>P21</v>
          </cell>
          <cell r="K235">
            <v>466</v>
          </cell>
          <cell r="L235">
            <v>136</v>
          </cell>
        </row>
        <row r="236">
          <cell r="H236" t="str">
            <v>의류</v>
          </cell>
          <cell r="I236" t="str">
            <v>P21</v>
          </cell>
          <cell r="K236">
            <v>570</v>
          </cell>
          <cell r="L236">
            <v>36</v>
          </cell>
        </row>
        <row r="237">
          <cell r="H237" t="str">
            <v>의류</v>
          </cell>
          <cell r="I237" t="str">
            <v>P21</v>
          </cell>
          <cell r="K237">
            <v>672</v>
          </cell>
          <cell r="L237">
            <v>50</v>
          </cell>
        </row>
        <row r="238">
          <cell r="H238" t="str">
            <v>의류</v>
          </cell>
          <cell r="I238" t="str">
            <v>P21</v>
          </cell>
          <cell r="K238">
            <v>615</v>
          </cell>
          <cell r="L238">
            <v>110</v>
          </cell>
        </row>
        <row r="239">
          <cell r="H239" t="str">
            <v>의류</v>
          </cell>
          <cell r="I239" t="str">
            <v>P21</v>
          </cell>
          <cell r="K239">
            <v>559</v>
          </cell>
          <cell r="L239">
            <v>18</v>
          </cell>
        </row>
        <row r="240">
          <cell r="H240" t="str">
            <v>의류</v>
          </cell>
          <cell r="I240" t="str">
            <v>P21</v>
          </cell>
          <cell r="K240">
            <v>678</v>
          </cell>
          <cell r="L240">
            <v>91</v>
          </cell>
        </row>
        <row r="241">
          <cell r="H241" t="str">
            <v>의류</v>
          </cell>
          <cell r="I241" t="str">
            <v>P21</v>
          </cell>
          <cell r="K241">
            <v>289</v>
          </cell>
          <cell r="L241">
            <v>6</v>
          </cell>
        </row>
        <row r="242">
          <cell r="H242" t="str">
            <v>의류</v>
          </cell>
          <cell r="I242" t="str">
            <v>P21</v>
          </cell>
          <cell r="K242">
            <v>616</v>
          </cell>
          <cell r="L242">
            <v>120</v>
          </cell>
        </row>
        <row r="243">
          <cell r="H243" t="str">
            <v>의류</v>
          </cell>
          <cell r="I243" t="str">
            <v>P21</v>
          </cell>
          <cell r="K243">
            <v>588</v>
          </cell>
          <cell r="L243">
            <v>59</v>
          </cell>
        </row>
        <row r="244">
          <cell r="H244" t="str">
            <v>의류</v>
          </cell>
          <cell r="I244" t="str">
            <v>P21</v>
          </cell>
          <cell r="K244">
            <v>214</v>
          </cell>
          <cell r="L244">
            <v>64</v>
          </cell>
        </row>
        <row r="245">
          <cell r="H245" t="str">
            <v>의류</v>
          </cell>
          <cell r="I245" t="str">
            <v>P21</v>
          </cell>
          <cell r="K245">
            <v>1404</v>
          </cell>
          <cell r="L245">
            <v>55</v>
          </cell>
        </row>
        <row r="246">
          <cell r="H246" t="str">
            <v>의류</v>
          </cell>
          <cell r="I246" t="str">
            <v>P16</v>
          </cell>
          <cell r="K246">
            <v>194</v>
          </cell>
          <cell r="L246">
            <v>-2</v>
          </cell>
        </row>
        <row r="247">
          <cell r="H247" t="str">
            <v>의류</v>
          </cell>
          <cell r="I247" t="str">
            <v>P26</v>
          </cell>
          <cell r="K247">
            <v>686</v>
          </cell>
          <cell r="L247">
            <v>26</v>
          </cell>
        </row>
        <row r="248">
          <cell r="H248" t="str">
            <v>의류</v>
          </cell>
          <cell r="I248" t="str">
            <v>P17</v>
          </cell>
          <cell r="K248">
            <v>315</v>
          </cell>
          <cell r="L248">
            <v>18</v>
          </cell>
        </row>
        <row r="249">
          <cell r="H249" t="str">
            <v>의류</v>
          </cell>
          <cell r="I249" t="str">
            <v>P17</v>
          </cell>
          <cell r="K249">
            <v>797</v>
          </cell>
          <cell r="L249">
            <v>19</v>
          </cell>
        </row>
        <row r="250">
          <cell r="H250" t="str">
            <v>의류</v>
          </cell>
          <cell r="I250" t="str">
            <v>P27</v>
          </cell>
          <cell r="K250">
            <v>493</v>
          </cell>
          <cell r="L250">
            <v>40</v>
          </cell>
        </row>
        <row r="251">
          <cell r="H251" t="str">
            <v>의류</v>
          </cell>
          <cell r="I251" t="str">
            <v>P27</v>
          </cell>
          <cell r="K251">
            <v>1089</v>
          </cell>
          <cell r="L251">
            <v>202</v>
          </cell>
        </row>
        <row r="252">
          <cell r="H252" t="str">
            <v>의류</v>
          </cell>
          <cell r="I252" t="str">
            <v>P27</v>
          </cell>
          <cell r="K252">
            <v>999</v>
          </cell>
          <cell r="L252">
            <v>500</v>
          </cell>
        </row>
        <row r="253">
          <cell r="H253" t="str">
            <v>의류</v>
          </cell>
          <cell r="I253" t="str">
            <v>P27</v>
          </cell>
          <cell r="K253">
            <v>617</v>
          </cell>
          <cell r="L253">
            <v>121</v>
          </cell>
        </row>
        <row r="254">
          <cell r="H254" t="str">
            <v>의류</v>
          </cell>
          <cell r="I254" t="str">
            <v>P1Q</v>
          </cell>
          <cell r="K254">
            <v>516</v>
          </cell>
          <cell r="L254">
            <v>20</v>
          </cell>
        </row>
        <row r="255">
          <cell r="H255" t="str">
            <v>의류</v>
          </cell>
          <cell r="I255" t="str">
            <v>P2Q</v>
          </cell>
          <cell r="K255">
            <v>203</v>
          </cell>
          <cell r="L255">
            <v>44</v>
          </cell>
        </row>
        <row r="256">
          <cell r="H256" t="str">
            <v>의류</v>
          </cell>
          <cell r="I256" t="str">
            <v>P2Q</v>
          </cell>
          <cell r="K256">
            <v>602</v>
          </cell>
          <cell r="L256">
            <v>26</v>
          </cell>
        </row>
        <row r="257">
          <cell r="H257" t="str">
            <v>의류</v>
          </cell>
          <cell r="I257" t="str">
            <v>P1V</v>
          </cell>
          <cell r="K257">
            <v>658</v>
          </cell>
          <cell r="L257">
            <v>35</v>
          </cell>
        </row>
        <row r="258">
          <cell r="H258" t="str">
            <v>의류</v>
          </cell>
          <cell r="I258" t="str">
            <v>P2V</v>
          </cell>
          <cell r="K258">
            <v>847</v>
          </cell>
          <cell r="L258">
            <v>69</v>
          </cell>
        </row>
        <row r="259">
          <cell r="H259" t="str">
            <v>의류</v>
          </cell>
          <cell r="I259" t="str">
            <v>P21</v>
          </cell>
          <cell r="K259">
            <v>127</v>
          </cell>
          <cell r="L259">
            <v>21</v>
          </cell>
        </row>
        <row r="260">
          <cell r="H260" t="str">
            <v>의류</v>
          </cell>
          <cell r="I260" t="str">
            <v>P21</v>
          </cell>
          <cell r="K260">
            <v>889</v>
          </cell>
          <cell r="L260">
            <v>89</v>
          </cell>
        </row>
        <row r="261">
          <cell r="H261" t="str">
            <v>의류</v>
          </cell>
          <cell r="I261" t="str">
            <v>P21</v>
          </cell>
          <cell r="K261">
            <v>552</v>
          </cell>
          <cell r="L261">
            <v>101</v>
          </cell>
        </row>
        <row r="262">
          <cell r="H262" t="str">
            <v>의류</v>
          </cell>
          <cell r="I262" t="str">
            <v>P21</v>
          </cell>
          <cell r="K262">
            <v>226</v>
          </cell>
          <cell r="L262">
            <v>10</v>
          </cell>
        </row>
        <row r="263">
          <cell r="H263" t="str">
            <v>의류</v>
          </cell>
          <cell r="I263" t="str">
            <v>P21</v>
          </cell>
          <cell r="K263">
            <v>702</v>
          </cell>
          <cell r="L263">
            <v>33</v>
          </cell>
        </row>
        <row r="264">
          <cell r="H264" t="str">
            <v>의류</v>
          </cell>
          <cell r="I264" t="str">
            <v>P21</v>
          </cell>
          <cell r="K264">
            <v>226</v>
          </cell>
          <cell r="L264">
            <v>37</v>
          </cell>
        </row>
        <row r="265">
          <cell r="H265" t="str">
            <v>의류</v>
          </cell>
          <cell r="I265" t="str">
            <v>P11</v>
          </cell>
          <cell r="K265">
            <v>699</v>
          </cell>
          <cell r="L265">
            <v>14</v>
          </cell>
        </row>
        <row r="266">
          <cell r="H266" t="str">
            <v>의류</v>
          </cell>
          <cell r="I266" t="str">
            <v>P11</v>
          </cell>
          <cell r="K266">
            <v>687</v>
          </cell>
          <cell r="L266">
            <v>14</v>
          </cell>
        </row>
        <row r="267">
          <cell r="H267" t="str">
            <v>의류</v>
          </cell>
          <cell r="I267" t="str">
            <v>P11</v>
          </cell>
          <cell r="K267">
            <v>411</v>
          </cell>
          <cell r="L267">
            <v>8</v>
          </cell>
        </row>
        <row r="268">
          <cell r="H268" t="str">
            <v>의류</v>
          </cell>
          <cell r="I268" t="str">
            <v>P21</v>
          </cell>
          <cell r="K268">
            <v>797</v>
          </cell>
          <cell r="L268">
            <v>146</v>
          </cell>
        </row>
        <row r="269">
          <cell r="H269" t="str">
            <v>의류</v>
          </cell>
          <cell r="I269" t="str">
            <v>P21</v>
          </cell>
          <cell r="K269">
            <v>900</v>
          </cell>
          <cell r="L269">
            <v>59</v>
          </cell>
        </row>
        <row r="270">
          <cell r="H270" t="str">
            <v>의류</v>
          </cell>
          <cell r="I270" t="str">
            <v>P21</v>
          </cell>
          <cell r="K270">
            <v>367</v>
          </cell>
          <cell r="L270">
            <v>26</v>
          </cell>
        </row>
        <row r="271">
          <cell r="H271" t="str">
            <v>의류</v>
          </cell>
          <cell r="I271" t="str">
            <v>P21</v>
          </cell>
          <cell r="K271">
            <v>402</v>
          </cell>
          <cell r="L271">
            <v>53</v>
          </cell>
        </row>
        <row r="272">
          <cell r="H272" t="str">
            <v>의류</v>
          </cell>
          <cell r="I272" t="str">
            <v>P21</v>
          </cell>
          <cell r="K272">
            <v>992</v>
          </cell>
          <cell r="L272">
            <v>93</v>
          </cell>
        </row>
        <row r="273">
          <cell r="H273" t="str">
            <v>의류</v>
          </cell>
          <cell r="I273" t="str">
            <v>P21</v>
          </cell>
          <cell r="K273">
            <v>1546</v>
          </cell>
          <cell r="L273">
            <v>489</v>
          </cell>
        </row>
        <row r="274">
          <cell r="H274" t="str">
            <v>의류</v>
          </cell>
          <cell r="I274" t="str">
            <v>P21</v>
          </cell>
          <cell r="K274">
            <v>904</v>
          </cell>
          <cell r="L274">
            <v>26</v>
          </cell>
        </row>
        <row r="275">
          <cell r="H275" t="str">
            <v>의류</v>
          </cell>
          <cell r="I275" t="str">
            <v>P21</v>
          </cell>
          <cell r="K275">
            <v>884</v>
          </cell>
          <cell r="L275">
            <v>72</v>
          </cell>
        </row>
        <row r="276">
          <cell r="H276" t="str">
            <v>의류</v>
          </cell>
          <cell r="I276" t="str">
            <v>P21</v>
          </cell>
          <cell r="K276">
            <v>808</v>
          </cell>
          <cell r="L276">
            <v>122</v>
          </cell>
        </row>
        <row r="277">
          <cell r="H277" t="str">
            <v>의류</v>
          </cell>
          <cell r="I277" t="str">
            <v>P15</v>
          </cell>
          <cell r="K277">
            <v>350</v>
          </cell>
          <cell r="L277">
            <v>8</v>
          </cell>
        </row>
        <row r="278">
          <cell r="H278" t="str">
            <v>의류</v>
          </cell>
          <cell r="I278" t="str">
            <v>P26</v>
          </cell>
          <cell r="K278">
            <v>796</v>
          </cell>
          <cell r="L278">
            <v>27</v>
          </cell>
        </row>
        <row r="279">
          <cell r="H279" t="str">
            <v>의류</v>
          </cell>
          <cell r="I279" t="str">
            <v>P17</v>
          </cell>
          <cell r="K279">
            <v>1071</v>
          </cell>
          <cell r="L279">
            <v>29</v>
          </cell>
        </row>
        <row r="280">
          <cell r="H280" t="str">
            <v>의류</v>
          </cell>
          <cell r="I280" t="str">
            <v>P17</v>
          </cell>
          <cell r="K280">
            <v>418</v>
          </cell>
          <cell r="L280">
            <v>8</v>
          </cell>
        </row>
        <row r="281">
          <cell r="H281" t="str">
            <v>의류</v>
          </cell>
          <cell r="I281" t="str">
            <v>P17</v>
          </cell>
          <cell r="K281">
            <v>488</v>
          </cell>
          <cell r="L281">
            <v>15</v>
          </cell>
        </row>
        <row r="282">
          <cell r="H282" t="str">
            <v>의류</v>
          </cell>
          <cell r="I282" t="str">
            <v>P17</v>
          </cell>
          <cell r="K282">
            <v>499</v>
          </cell>
          <cell r="L282">
            <v>18</v>
          </cell>
        </row>
        <row r="283">
          <cell r="H283" t="str">
            <v>의류</v>
          </cell>
          <cell r="I283" t="str">
            <v>P27</v>
          </cell>
          <cell r="K283">
            <v>946</v>
          </cell>
          <cell r="L283">
            <v>91</v>
          </cell>
        </row>
        <row r="284">
          <cell r="H284" t="str">
            <v>의류</v>
          </cell>
          <cell r="I284" t="str">
            <v>P27</v>
          </cell>
          <cell r="K284">
            <v>1132</v>
          </cell>
          <cell r="L284">
            <v>139</v>
          </cell>
        </row>
        <row r="285">
          <cell r="H285" t="str">
            <v>의류</v>
          </cell>
          <cell r="I285" t="str">
            <v>P27</v>
          </cell>
          <cell r="K285">
            <v>513</v>
          </cell>
          <cell r="L285">
            <v>215</v>
          </cell>
        </row>
        <row r="286">
          <cell r="H286" t="str">
            <v>의류</v>
          </cell>
          <cell r="I286" t="str">
            <v>P27</v>
          </cell>
          <cell r="K286">
            <v>1264</v>
          </cell>
          <cell r="L286">
            <v>217</v>
          </cell>
        </row>
        <row r="287">
          <cell r="H287" t="str">
            <v>의류</v>
          </cell>
          <cell r="I287" t="str">
            <v>P27</v>
          </cell>
          <cell r="K287">
            <v>450</v>
          </cell>
          <cell r="L287">
            <v>107</v>
          </cell>
        </row>
        <row r="288">
          <cell r="H288" t="str">
            <v>의류</v>
          </cell>
          <cell r="I288" t="str">
            <v>P18</v>
          </cell>
          <cell r="K288">
            <v>582</v>
          </cell>
          <cell r="L288">
            <v>21</v>
          </cell>
        </row>
        <row r="289">
          <cell r="H289" t="str">
            <v>의류</v>
          </cell>
          <cell r="I289" t="str">
            <v>P18</v>
          </cell>
          <cell r="K289">
            <v>298</v>
          </cell>
          <cell r="L289">
            <v>33</v>
          </cell>
        </row>
        <row r="290">
          <cell r="H290" t="str">
            <v>의류</v>
          </cell>
          <cell r="I290" t="str">
            <v>P28</v>
          </cell>
          <cell r="K290">
            <v>298</v>
          </cell>
          <cell r="L290">
            <v>39</v>
          </cell>
        </row>
        <row r="291">
          <cell r="H291" t="str">
            <v>의류</v>
          </cell>
          <cell r="I291" t="str">
            <v>P28</v>
          </cell>
          <cell r="K291">
            <v>406</v>
          </cell>
          <cell r="L291">
            <v>77</v>
          </cell>
        </row>
        <row r="292">
          <cell r="H292" t="str">
            <v>의류</v>
          </cell>
          <cell r="I292" t="str">
            <v>P28</v>
          </cell>
          <cell r="K292">
            <v>634</v>
          </cell>
          <cell r="L292">
            <v>105</v>
          </cell>
        </row>
        <row r="293">
          <cell r="H293" t="str">
            <v>의류</v>
          </cell>
          <cell r="I293" t="str">
            <v>P28</v>
          </cell>
          <cell r="K293">
            <v>348</v>
          </cell>
          <cell r="L293">
            <v>37</v>
          </cell>
        </row>
        <row r="294">
          <cell r="H294" t="str">
            <v>의류</v>
          </cell>
          <cell r="I294" t="str">
            <v>P28</v>
          </cell>
          <cell r="K294">
            <v>427</v>
          </cell>
          <cell r="L294">
            <v>13</v>
          </cell>
        </row>
        <row r="295">
          <cell r="H295" t="str">
            <v>의류</v>
          </cell>
          <cell r="I295" t="str">
            <v>P28</v>
          </cell>
          <cell r="K295">
            <v>427</v>
          </cell>
          <cell r="L295">
            <v>66</v>
          </cell>
        </row>
        <row r="296">
          <cell r="H296" t="str">
            <v>의류</v>
          </cell>
          <cell r="I296" t="str">
            <v>P19</v>
          </cell>
          <cell r="K296">
            <v>924</v>
          </cell>
          <cell r="L296">
            <v>26</v>
          </cell>
        </row>
        <row r="297">
          <cell r="H297" t="str">
            <v>의류</v>
          </cell>
          <cell r="I297" t="str">
            <v>P29</v>
          </cell>
          <cell r="K297">
            <v>235</v>
          </cell>
          <cell r="L297">
            <v>24</v>
          </cell>
        </row>
        <row r="298">
          <cell r="H298" t="str">
            <v>의류</v>
          </cell>
          <cell r="I298" t="str">
            <v>P1C</v>
          </cell>
          <cell r="K298">
            <v>800</v>
          </cell>
          <cell r="L298">
            <v>7</v>
          </cell>
        </row>
        <row r="299">
          <cell r="H299" t="str">
            <v>의류</v>
          </cell>
          <cell r="I299" t="str">
            <v>P1T</v>
          </cell>
          <cell r="K299">
            <v>668</v>
          </cell>
          <cell r="L299">
            <v>20</v>
          </cell>
        </row>
        <row r="300">
          <cell r="H300" t="str">
            <v>의류</v>
          </cell>
          <cell r="I300" t="str">
            <v>P1T</v>
          </cell>
          <cell r="K300">
            <v>397</v>
          </cell>
          <cell r="L300">
            <v>6</v>
          </cell>
        </row>
        <row r="301">
          <cell r="H301" t="str">
            <v>의류</v>
          </cell>
          <cell r="I301" t="str">
            <v>P2T</v>
          </cell>
          <cell r="K301">
            <v>672</v>
          </cell>
          <cell r="L301">
            <v>26</v>
          </cell>
        </row>
        <row r="302">
          <cell r="H302" t="str">
            <v>의류</v>
          </cell>
          <cell r="I302" t="str">
            <v>P1V</v>
          </cell>
          <cell r="K302">
            <v>724</v>
          </cell>
          <cell r="L302">
            <v>25</v>
          </cell>
        </row>
      </sheetData>
      <sheetData sheetId="8">
        <row r="3">
          <cell r="G3" t="str">
            <v>할인품번</v>
          </cell>
          <cell r="H3" t="str">
            <v>할인차수</v>
          </cell>
          <cell r="I3" t="str">
            <v>할인가</v>
          </cell>
          <cell r="T3">
            <v>4158896000</v>
          </cell>
        </row>
        <row r="4">
          <cell r="G4" t="str">
            <v>I0W6301</v>
          </cell>
          <cell r="H4">
            <v>42655</v>
          </cell>
          <cell r="I4">
            <v>89000</v>
          </cell>
          <cell r="T4" t="str">
            <v>오더번호</v>
          </cell>
          <cell r="U4" t="str">
            <v>칼라수</v>
          </cell>
          <cell r="V4" t="str">
            <v>기획량</v>
          </cell>
          <cell r="W4" t="str">
            <v>입고량</v>
          </cell>
          <cell r="X4" t="str">
            <v>%</v>
          </cell>
          <cell r="Y4" t="str">
            <v>사전판매가</v>
          </cell>
          <cell r="Z4" t="str">
            <v>사후판매가</v>
          </cell>
          <cell r="AA4" t="str">
            <v>사전원가</v>
          </cell>
          <cell r="AB4" t="str">
            <v>사후원가</v>
          </cell>
        </row>
        <row r="5">
          <cell r="G5" t="str">
            <v>I0W7302</v>
          </cell>
          <cell r="H5">
            <v>42655</v>
          </cell>
          <cell r="I5">
            <v>79000</v>
          </cell>
          <cell r="T5" t="str">
            <v>I0Y1101</v>
          </cell>
          <cell r="U5">
            <v>5</v>
          </cell>
          <cell r="V5">
            <v>3200</v>
          </cell>
          <cell r="W5">
            <v>2738</v>
          </cell>
          <cell r="X5">
            <v>0.85562499999999997</v>
          </cell>
          <cell r="Y5">
            <v>78000</v>
          </cell>
          <cell r="Z5">
            <v>78000</v>
          </cell>
          <cell r="AA5">
            <v>14600</v>
          </cell>
          <cell r="AB5">
            <v>15142</v>
          </cell>
        </row>
        <row r="6">
          <cell r="G6" t="str">
            <v>I0W7305</v>
          </cell>
          <cell r="H6">
            <v>42655</v>
          </cell>
          <cell r="I6">
            <v>59000</v>
          </cell>
          <cell r="T6" t="str">
            <v>I0Y1102</v>
          </cell>
          <cell r="U6">
            <v>2</v>
          </cell>
          <cell r="V6">
            <v>1900</v>
          </cell>
          <cell r="W6">
            <v>1153</v>
          </cell>
          <cell r="X6">
            <v>0.60684210526315785</v>
          </cell>
          <cell r="Y6">
            <v>158000</v>
          </cell>
          <cell r="Z6">
            <v>158000</v>
          </cell>
          <cell r="AA6">
            <v>18600</v>
          </cell>
          <cell r="AB6">
            <v>18465</v>
          </cell>
        </row>
        <row r="7">
          <cell r="G7" t="str">
            <v>INW6301</v>
          </cell>
          <cell r="H7">
            <v>42655</v>
          </cell>
          <cell r="I7">
            <v>119000</v>
          </cell>
          <cell r="T7" t="str">
            <v>I0Y1103</v>
          </cell>
          <cell r="U7">
            <v>2</v>
          </cell>
          <cell r="V7">
            <v>1900</v>
          </cell>
          <cell r="W7">
            <v>1812</v>
          </cell>
          <cell r="X7">
            <v>0.9536842105263158</v>
          </cell>
          <cell r="Y7">
            <v>158000</v>
          </cell>
          <cell r="Z7">
            <v>158000</v>
          </cell>
          <cell r="AA7">
            <v>18400</v>
          </cell>
          <cell r="AB7">
            <v>17274</v>
          </cell>
        </row>
        <row r="8">
          <cell r="G8" t="str">
            <v>INW7302</v>
          </cell>
          <cell r="H8">
            <v>42655</v>
          </cell>
          <cell r="I8">
            <v>89000</v>
          </cell>
          <cell r="T8" t="str">
            <v>I0Y1104</v>
          </cell>
          <cell r="U8">
            <v>2</v>
          </cell>
          <cell r="V8">
            <v>1200</v>
          </cell>
          <cell r="W8">
            <v>1070</v>
          </cell>
          <cell r="X8">
            <v>0.89166666666666672</v>
          </cell>
          <cell r="Y8">
            <v>178000</v>
          </cell>
          <cell r="Z8">
            <v>158000</v>
          </cell>
          <cell r="AA8">
            <v>21500</v>
          </cell>
          <cell r="AB8">
            <v>16133</v>
          </cell>
        </row>
        <row r="9">
          <cell r="G9" t="str">
            <v>P0W1309</v>
          </cell>
          <cell r="H9">
            <v>42655</v>
          </cell>
          <cell r="I9">
            <v>69000</v>
          </cell>
          <cell r="T9" t="str">
            <v>I0Y1105</v>
          </cell>
          <cell r="U9">
            <v>2</v>
          </cell>
          <cell r="V9">
            <v>1400</v>
          </cell>
          <cell r="W9">
            <v>1408</v>
          </cell>
          <cell r="X9">
            <v>1.0057142857142858</v>
          </cell>
          <cell r="Y9">
            <v>158000</v>
          </cell>
          <cell r="Z9">
            <v>158000</v>
          </cell>
          <cell r="AA9">
            <v>15400</v>
          </cell>
          <cell r="AB9">
            <v>16120</v>
          </cell>
        </row>
        <row r="10">
          <cell r="G10" t="str">
            <v>P0W7301</v>
          </cell>
          <cell r="H10">
            <v>42655</v>
          </cell>
          <cell r="I10">
            <v>79000</v>
          </cell>
          <cell r="T10" t="str">
            <v>I0Y1106</v>
          </cell>
          <cell r="U10">
            <v>2</v>
          </cell>
          <cell r="V10">
            <v>1450</v>
          </cell>
          <cell r="W10">
            <v>1445</v>
          </cell>
          <cell r="X10">
            <v>0.99655172413793103</v>
          </cell>
          <cell r="Y10">
            <v>178000</v>
          </cell>
          <cell r="Z10">
            <v>158000</v>
          </cell>
          <cell r="AA10">
            <v>19700</v>
          </cell>
          <cell r="AB10">
            <v>19969</v>
          </cell>
        </row>
        <row r="11">
          <cell r="G11" t="str">
            <v>P0W7303</v>
          </cell>
          <cell r="H11">
            <v>42655</v>
          </cell>
          <cell r="I11">
            <v>79000</v>
          </cell>
          <cell r="T11" t="str">
            <v>I0Y1107</v>
          </cell>
          <cell r="U11">
            <v>2</v>
          </cell>
          <cell r="V11">
            <v>1400</v>
          </cell>
          <cell r="W11">
            <v>1250</v>
          </cell>
          <cell r="X11">
            <v>0.8928571428571429</v>
          </cell>
          <cell r="Y11">
            <v>158000</v>
          </cell>
          <cell r="Z11">
            <v>158000</v>
          </cell>
          <cell r="AA11">
            <v>17000</v>
          </cell>
          <cell r="AB11">
            <v>13895</v>
          </cell>
        </row>
        <row r="12">
          <cell r="G12" t="str">
            <v>P0W7306</v>
          </cell>
          <cell r="H12">
            <v>42655</v>
          </cell>
          <cell r="I12">
            <v>59000</v>
          </cell>
          <cell r="T12" t="str">
            <v>I0Y1108</v>
          </cell>
          <cell r="U12">
            <v>2</v>
          </cell>
          <cell r="V12">
            <v>900</v>
          </cell>
          <cell r="W12">
            <v>988</v>
          </cell>
          <cell r="X12">
            <v>1.0977777777777777</v>
          </cell>
          <cell r="Y12">
            <v>138000</v>
          </cell>
          <cell r="Z12">
            <v>138000</v>
          </cell>
          <cell r="AA12">
            <v>16200</v>
          </cell>
          <cell r="AB12">
            <v>15983</v>
          </cell>
        </row>
        <row r="13">
          <cell r="G13" t="str">
            <v>P0WT301</v>
          </cell>
          <cell r="H13">
            <v>42655</v>
          </cell>
          <cell r="I13">
            <v>99000</v>
          </cell>
          <cell r="T13" t="str">
            <v>INY1101</v>
          </cell>
          <cell r="U13">
            <v>3</v>
          </cell>
          <cell r="V13">
            <v>1350</v>
          </cell>
          <cell r="W13">
            <v>1186</v>
          </cell>
          <cell r="X13">
            <v>0.87851851851851848</v>
          </cell>
          <cell r="Y13">
            <v>158000</v>
          </cell>
          <cell r="Z13">
            <v>138000</v>
          </cell>
          <cell r="AA13">
            <v>17400</v>
          </cell>
          <cell r="AB13">
            <v>16976</v>
          </cell>
        </row>
        <row r="14">
          <cell r="G14" t="str">
            <v>PNW6301</v>
          </cell>
          <cell r="H14">
            <v>42655</v>
          </cell>
          <cell r="I14">
            <v>119000</v>
          </cell>
          <cell r="T14" t="str">
            <v>INY1102</v>
          </cell>
          <cell r="U14">
            <v>1</v>
          </cell>
          <cell r="V14">
            <v>400</v>
          </cell>
          <cell r="W14">
            <v>410</v>
          </cell>
          <cell r="X14">
            <v>1.0249999999999999</v>
          </cell>
          <cell r="Y14">
            <v>178000</v>
          </cell>
          <cell r="Z14">
            <v>178000</v>
          </cell>
          <cell r="AA14">
            <v>20500</v>
          </cell>
          <cell r="AB14">
            <v>20435</v>
          </cell>
        </row>
        <row r="15">
          <cell r="G15" t="str">
            <v>I0W1404</v>
          </cell>
          <cell r="H15">
            <v>42700</v>
          </cell>
          <cell r="I15">
            <v>39000</v>
          </cell>
          <cell r="T15" t="str">
            <v>INY1104</v>
          </cell>
          <cell r="U15">
            <v>2</v>
          </cell>
          <cell r="V15">
            <v>900</v>
          </cell>
          <cell r="W15">
            <v>866</v>
          </cell>
          <cell r="X15">
            <v>0.9622222222222222</v>
          </cell>
          <cell r="Y15">
            <v>138000</v>
          </cell>
          <cell r="Z15">
            <v>138000</v>
          </cell>
          <cell r="AA15">
            <v>16300</v>
          </cell>
          <cell r="AB15">
            <v>16470</v>
          </cell>
        </row>
        <row r="16">
          <cell r="G16" t="str">
            <v>I0W1405</v>
          </cell>
          <cell r="H16">
            <v>42700</v>
          </cell>
          <cell r="I16">
            <v>39000</v>
          </cell>
          <cell r="T16" t="str">
            <v>ITY1101</v>
          </cell>
          <cell r="U16">
            <v>2</v>
          </cell>
          <cell r="V16">
            <v>1900</v>
          </cell>
          <cell r="W16">
            <v>1920</v>
          </cell>
          <cell r="X16">
            <v>1.0105263157894737</v>
          </cell>
          <cell r="Y16">
            <v>118000</v>
          </cell>
          <cell r="Z16">
            <v>118000</v>
          </cell>
          <cell r="AA16">
            <v>14000</v>
          </cell>
          <cell r="AB16">
            <v>14005</v>
          </cell>
        </row>
        <row r="17">
          <cell r="G17" t="str">
            <v>I0W2471</v>
          </cell>
          <cell r="H17">
            <v>42700</v>
          </cell>
          <cell r="I17">
            <v>109000</v>
          </cell>
          <cell r="T17" t="str">
            <v>ITY1102</v>
          </cell>
          <cell r="U17">
            <v>2</v>
          </cell>
          <cell r="V17">
            <v>1700</v>
          </cell>
          <cell r="W17">
            <v>1500</v>
          </cell>
          <cell r="X17">
            <v>0.88235294117647056</v>
          </cell>
          <cell r="Y17">
            <v>198000</v>
          </cell>
          <cell r="Z17">
            <v>198000</v>
          </cell>
          <cell r="AA17">
            <v>23800</v>
          </cell>
          <cell r="AB17">
            <v>24247</v>
          </cell>
        </row>
        <row r="18">
          <cell r="G18" t="str">
            <v>I0W2472</v>
          </cell>
          <cell r="H18">
            <v>42700</v>
          </cell>
          <cell r="I18">
            <v>89000</v>
          </cell>
          <cell r="T18" t="str">
            <v>ITY1103</v>
          </cell>
          <cell r="U18">
            <v>2</v>
          </cell>
          <cell r="V18">
            <v>1300</v>
          </cell>
          <cell r="W18">
            <v>1108</v>
          </cell>
          <cell r="X18">
            <v>0.85230769230769232</v>
          </cell>
          <cell r="Y18">
            <v>138000</v>
          </cell>
          <cell r="Z18">
            <v>158000</v>
          </cell>
          <cell r="AA18">
            <v>15200</v>
          </cell>
          <cell r="AB18">
            <v>14450</v>
          </cell>
        </row>
        <row r="19">
          <cell r="G19" t="str">
            <v>I0W5373</v>
          </cell>
          <cell r="H19">
            <v>42700</v>
          </cell>
          <cell r="I19">
            <v>99000</v>
          </cell>
          <cell r="U19">
            <v>31</v>
          </cell>
          <cell r="V19">
            <v>20900</v>
          </cell>
          <cell r="W19">
            <v>18854</v>
          </cell>
          <cell r="X19">
            <v>0.90210526315789474</v>
          </cell>
        </row>
        <row r="20">
          <cell r="G20" t="str">
            <v>I0W6401</v>
          </cell>
          <cell r="H20">
            <v>42700</v>
          </cell>
          <cell r="I20">
            <v>69000</v>
          </cell>
          <cell r="T20" t="str">
            <v>I0Y4101</v>
          </cell>
          <cell r="U20">
            <v>1</v>
          </cell>
          <cell r="V20">
            <v>400</v>
          </cell>
          <cell r="W20">
            <v>394</v>
          </cell>
          <cell r="X20">
            <v>0.98499999999999999</v>
          </cell>
          <cell r="Y20">
            <v>298000</v>
          </cell>
          <cell r="Z20">
            <v>298000</v>
          </cell>
          <cell r="AA20">
            <v>38300</v>
          </cell>
          <cell r="AB20">
            <v>41637</v>
          </cell>
        </row>
        <row r="21">
          <cell r="G21" t="str">
            <v>I0W7474</v>
          </cell>
          <cell r="H21">
            <v>42700</v>
          </cell>
          <cell r="I21">
            <v>79000</v>
          </cell>
          <cell r="U21">
            <v>1</v>
          </cell>
          <cell r="V21">
            <v>400</v>
          </cell>
          <cell r="W21">
            <v>394</v>
          </cell>
          <cell r="X21">
            <v>0.98499999999999999</v>
          </cell>
        </row>
        <row r="22">
          <cell r="G22" t="str">
            <v>INW1402</v>
          </cell>
          <cell r="H22">
            <v>42700</v>
          </cell>
          <cell r="I22">
            <v>69000</v>
          </cell>
          <cell r="T22" t="str">
            <v>I0Y6101</v>
          </cell>
          <cell r="U22">
            <v>2</v>
          </cell>
          <cell r="V22">
            <v>1700</v>
          </cell>
          <cell r="W22">
            <v>1700</v>
          </cell>
          <cell r="X22">
            <v>1</v>
          </cell>
          <cell r="Y22">
            <v>278000</v>
          </cell>
          <cell r="Z22">
            <v>278000</v>
          </cell>
          <cell r="AA22">
            <v>31000</v>
          </cell>
          <cell r="AB22">
            <v>29082</v>
          </cell>
        </row>
        <row r="23">
          <cell r="G23" t="str">
            <v>INW1403</v>
          </cell>
          <cell r="H23">
            <v>42700</v>
          </cell>
          <cell r="I23">
            <v>109000</v>
          </cell>
          <cell r="T23" t="str">
            <v>I0Y6102</v>
          </cell>
          <cell r="U23">
            <v>2</v>
          </cell>
          <cell r="V23">
            <v>1400</v>
          </cell>
          <cell r="W23">
            <v>1338</v>
          </cell>
          <cell r="X23">
            <v>0.95571428571428574</v>
          </cell>
          <cell r="Y23">
            <v>278000</v>
          </cell>
          <cell r="Z23">
            <v>298000</v>
          </cell>
          <cell r="AA23">
            <v>32700</v>
          </cell>
          <cell r="AB23">
            <v>33855</v>
          </cell>
        </row>
        <row r="24">
          <cell r="G24" t="str">
            <v>P0W1402</v>
          </cell>
          <cell r="H24">
            <v>42700</v>
          </cell>
          <cell r="I24">
            <v>39000</v>
          </cell>
          <cell r="T24" t="str">
            <v>I0Y6103</v>
          </cell>
          <cell r="U24">
            <v>2</v>
          </cell>
          <cell r="V24">
            <v>800</v>
          </cell>
          <cell r="W24">
            <v>800</v>
          </cell>
          <cell r="X24">
            <v>1</v>
          </cell>
          <cell r="Y24">
            <v>318000</v>
          </cell>
          <cell r="Z24">
            <v>298000</v>
          </cell>
          <cell r="AA24">
            <v>38800</v>
          </cell>
          <cell r="AB24">
            <v>33776</v>
          </cell>
        </row>
        <row r="25">
          <cell r="G25" t="str">
            <v>P0W1407</v>
          </cell>
          <cell r="H25">
            <v>42700</v>
          </cell>
          <cell r="I25">
            <v>39000</v>
          </cell>
          <cell r="T25" t="str">
            <v>I0Y6104</v>
          </cell>
          <cell r="U25">
            <v>2</v>
          </cell>
          <cell r="V25">
            <v>1100</v>
          </cell>
          <cell r="W25">
            <v>1099</v>
          </cell>
          <cell r="X25">
            <v>0.99909090909090914</v>
          </cell>
          <cell r="Y25">
            <v>378000</v>
          </cell>
          <cell r="Z25">
            <v>358000</v>
          </cell>
          <cell r="AA25">
            <v>48200</v>
          </cell>
          <cell r="AB25">
            <v>46412</v>
          </cell>
        </row>
        <row r="26">
          <cell r="G26" t="str">
            <v>P0W2472</v>
          </cell>
          <cell r="H26">
            <v>42700</v>
          </cell>
          <cell r="I26">
            <v>89000</v>
          </cell>
          <cell r="T26" t="str">
            <v>INY6101</v>
          </cell>
          <cell r="U26">
            <v>1</v>
          </cell>
          <cell r="V26">
            <v>400</v>
          </cell>
          <cell r="W26">
            <v>388</v>
          </cell>
          <cell r="X26">
            <v>0.97</v>
          </cell>
          <cell r="Y26">
            <v>378000</v>
          </cell>
          <cell r="Z26">
            <v>358000</v>
          </cell>
          <cell r="AA26">
            <v>49300</v>
          </cell>
          <cell r="AB26">
            <v>40422</v>
          </cell>
        </row>
        <row r="27">
          <cell r="G27" t="str">
            <v>P0W4401</v>
          </cell>
          <cell r="H27">
            <v>42700</v>
          </cell>
          <cell r="I27">
            <v>79000</v>
          </cell>
          <cell r="T27" t="str">
            <v>INY6102</v>
          </cell>
          <cell r="U27">
            <v>2</v>
          </cell>
          <cell r="V27">
            <v>800</v>
          </cell>
          <cell r="W27">
            <v>772</v>
          </cell>
          <cell r="X27">
            <v>0.96499999999999997</v>
          </cell>
          <cell r="Y27">
            <v>318000</v>
          </cell>
          <cell r="Z27">
            <v>318000</v>
          </cell>
          <cell r="AA27">
            <v>37300</v>
          </cell>
          <cell r="AB27">
            <v>32728</v>
          </cell>
        </row>
        <row r="28">
          <cell r="G28" t="str">
            <v>P0W5403</v>
          </cell>
          <cell r="H28">
            <v>42700</v>
          </cell>
          <cell r="I28">
            <v>129000</v>
          </cell>
          <cell r="T28" t="str">
            <v>INY6103</v>
          </cell>
          <cell r="U28">
            <v>2</v>
          </cell>
          <cell r="V28">
            <v>900</v>
          </cell>
          <cell r="W28">
            <v>900</v>
          </cell>
          <cell r="X28">
            <v>1</v>
          </cell>
          <cell r="Y28">
            <v>358000</v>
          </cell>
          <cell r="Z28">
            <v>318000</v>
          </cell>
          <cell r="AA28">
            <v>41900</v>
          </cell>
          <cell r="AB28">
            <v>36497</v>
          </cell>
        </row>
        <row r="29">
          <cell r="G29" t="str">
            <v>P0W6402</v>
          </cell>
          <cell r="H29">
            <v>42700</v>
          </cell>
          <cell r="I29">
            <v>59000</v>
          </cell>
          <cell r="T29" t="str">
            <v>INY6104</v>
          </cell>
          <cell r="U29">
            <v>1</v>
          </cell>
          <cell r="V29">
            <v>500</v>
          </cell>
          <cell r="W29">
            <v>500</v>
          </cell>
          <cell r="X29">
            <v>1</v>
          </cell>
          <cell r="Y29">
            <v>378000</v>
          </cell>
          <cell r="Z29">
            <v>358000</v>
          </cell>
          <cell r="AA29">
            <v>49300</v>
          </cell>
          <cell r="AB29">
            <v>41627</v>
          </cell>
        </row>
        <row r="30">
          <cell r="G30" t="str">
            <v>PNW1404</v>
          </cell>
          <cell r="H30">
            <v>42700</v>
          </cell>
          <cell r="I30">
            <v>79000</v>
          </cell>
          <cell r="U30">
            <v>14</v>
          </cell>
          <cell r="V30">
            <v>7600</v>
          </cell>
          <cell r="W30">
            <v>7497</v>
          </cell>
          <cell r="X30">
            <v>0.98644736842105263</v>
          </cell>
        </row>
        <row r="31">
          <cell r="G31" t="str">
            <v>I0WV471</v>
          </cell>
          <cell r="H31">
            <v>42709</v>
          </cell>
          <cell r="I31">
            <v>69000</v>
          </cell>
          <cell r="T31" t="str">
            <v>ITYT101</v>
          </cell>
          <cell r="U31">
            <v>2</v>
          </cell>
          <cell r="V31">
            <v>1600</v>
          </cell>
          <cell r="W31">
            <v>1565</v>
          </cell>
          <cell r="X31">
            <v>0.97812500000000002</v>
          </cell>
          <cell r="Y31">
            <v>358000</v>
          </cell>
          <cell r="Z31">
            <v>358000</v>
          </cell>
          <cell r="AA31">
            <v>44500</v>
          </cell>
          <cell r="AB31">
            <v>40500</v>
          </cell>
        </row>
        <row r="32">
          <cell r="G32" t="str">
            <v>INW6401</v>
          </cell>
          <cell r="H32">
            <v>42709</v>
          </cell>
          <cell r="I32">
            <v>89000</v>
          </cell>
          <cell r="U32">
            <v>2</v>
          </cell>
          <cell r="V32">
            <v>1600</v>
          </cell>
          <cell r="W32">
            <v>1565</v>
          </cell>
          <cell r="X32">
            <v>0.97812500000000002</v>
          </cell>
        </row>
        <row r="33">
          <cell r="G33" t="str">
            <v>INWV401</v>
          </cell>
          <cell r="H33">
            <v>42709</v>
          </cell>
          <cell r="I33">
            <v>69000</v>
          </cell>
          <cell r="T33" t="str">
            <v>ITY8102</v>
          </cell>
          <cell r="U33">
            <v>1</v>
          </cell>
          <cell r="V33">
            <v>500</v>
          </cell>
          <cell r="W33">
            <v>462</v>
          </cell>
          <cell r="X33">
            <v>0.92400000000000004</v>
          </cell>
          <cell r="Y33">
            <v>138000</v>
          </cell>
          <cell r="Z33">
            <v>158000</v>
          </cell>
          <cell r="AA33">
            <v>15200</v>
          </cell>
          <cell r="AB33">
            <v>15291</v>
          </cell>
        </row>
        <row r="34">
          <cell r="G34" t="str">
            <v>PNW6401</v>
          </cell>
          <cell r="H34">
            <v>42709</v>
          </cell>
          <cell r="I34">
            <v>89000</v>
          </cell>
          <cell r="T34" t="str">
            <v>ITY8103</v>
          </cell>
          <cell r="U34">
            <v>1</v>
          </cell>
          <cell r="V34">
            <v>550</v>
          </cell>
          <cell r="W34">
            <v>600</v>
          </cell>
          <cell r="X34">
            <v>1.0909090909090908</v>
          </cell>
          <cell r="Y34">
            <v>158000</v>
          </cell>
          <cell r="Z34">
            <v>158000</v>
          </cell>
          <cell r="AA34">
            <v>21300</v>
          </cell>
          <cell r="AB34">
            <v>20061</v>
          </cell>
        </row>
        <row r="35">
          <cell r="G35" t="str">
            <v>PNWV401</v>
          </cell>
          <cell r="H35">
            <v>42709</v>
          </cell>
          <cell r="I35">
            <v>69000</v>
          </cell>
          <cell r="T35" t="str">
            <v>ITY8104</v>
          </cell>
          <cell r="U35">
            <v>1</v>
          </cell>
          <cell r="V35">
            <v>500</v>
          </cell>
          <cell r="W35">
            <v>486</v>
          </cell>
          <cell r="X35">
            <v>0.97199999999999998</v>
          </cell>
          <cell r="Y35">
            <v>178000</v>
          </cell>
          <cell r="Z35">
            <v>178000</v>
          </cell>
          <cell r="AA35">
            <v>21100</v>
          </cell>
          <cell r="AB35">
            <v>20729</v>
          </cell>
        </row>
        <row r="36">
          <cell r="G36" t="str">
            <v>PNWV402</v>
          </cell>
          <cell r="H36">
            <v>42709</v>
          </cell>
          <cell r="I36">
            <v>79000</v>
          </cell>
          <cell r="U36">
            <v>3</v>
          </cell>
          <cell r="V36">
            <v>1550</v>
          </cell>
          <cell r="W36">
            <v>1548</v>
          </cell>
          <cell r="X36">
            <v>0.99870967741935479</v>
          </cell>
        </row>
        <row r="37">
          <cell r="G37" t="str">
            <v>I0W1402</v>
          </cell>
          <cell r="H37">
            <v>42730</v>
          </cell>
          <cell r="I37">
            <v>49000</v>
          </cell>
          <cell r="T37" t="str">
            <v>ITY9101</v>
          </cell>
          <cell r="U37">
            <v>1</v>
          </cell>
          <cell r="V37">
            <v>500</v>
          </cell>
          <cell r="W37">
            <v>499</v>
          </cell>
          <cell r="X37">
            <v>0.998</v>
          </cell>
          <cell r="Y37">
            <v>358000</v>
          </cell>
          <cell r="Z37">
            <v>358000</v>
          </cell>
          <cell r="AA37">
            <v>41200</v>
          </cell>
          <cell r="AB37">
            <v>40826</v>
          </cell>
        </row>
        <row r="38">
          <cell r="G38" t="str">
            <v>I0W4403</v>
          </cell>
          <cell r="H38">
            <v>42730</v>
          </cell>
          <cell r="I38">
            <v>59000</v>
          </cell>
          <cell r="T38" t="str">
            <v>ITY9102</v>
          </cell>
          <cell r="U38">
            <v>1</v>
          </cell>
          <cell r="V38">
            <v>500</v>
          </cell>
          <cell r="W38">
            <v>494</v>
          </cell>
          <cell r="X38">
            <v>0.98799999999999999</v>
          </cell>
          <cell r="Y38">
            <v>338000</v>
          </cell>
          <cell r="Z38">
            <v>358000</v>
          </cell>
          <cell r="AA38">
            <v>41500</v>
          </cell>
          <cell r="AB38">
            <v>40499</v>
          </cell>
        </row>
        <row r="39">
          <cell r="G39" t="str">
            <v>I0W5401</v>
          </cell>
          <cell r="H39">
            <v>42730</v>
          </cell>
          <cell r="I39">
            <v>129000</v>
          </cell>
          <cell r="T39" t="str">
            <v>ITY9103</v>
          </cell>
          <cell r="U39">
            <v>1</v>
          </cell>
          <cell r="V39">
            <v>500</v>
          </cell>
          <cell r="W39">
            <v>500</v>
          </cell>
          <cell r="X39">
            <v>1</v>
          </cell>
          <cell r="Y39">
            <v>378000</v>
          </cell>
          <cell r="Z39">
            <v>378000</v>
          </cell>
          <cell r="AA39">
            <v>46700</v>
          </cell>
          <cell r="AB39">
            <v>44459</v>
          </cell>
        </row>
        <row r="40">
          <cell r="G40" t="str">
            <v>I0W5402</v>
          </cell>
          <cell r="H40">
            <v>42730</v>
          </cell>
          <cell r="I40">
            <v>189000</v>
          </cell>
          <cell r="T40" t="str">
            <v>ITY9104</v>
          </cell>
          <cell r="U40">
            <v>2</v>
          </cell>
          <cell r="V40">
            <v>800</v>
          </cell>
          <cell r="W40">
            <v>763</v>
          </cell>
          <cell r="X40">
            <v>0.95374999999999999</v>
          </cell>
          <cell r="Y40">
            <v>378000</v>
          </cell>
          <cell r="Z40">
            <v>358000</v>
          </cell>
          <cell r="AA40">
            <v>43400</v>
          </cell>
          <cell r="AB40">
            <v>39599</v>
          </cell>
        </row>
        <row r="41">
          <cell r="G41" t="str">
            <v>I0W7402</v>
          </cell>
          <cell r="H41">
            <v>42730</v>
          </cell>
          <cell r="I41">
            <v>69000</v>
          </cell>
          <cell r="U41">
            <v>5</v>
          </cell>
          <cell r="V41">
            <v>2300</v>
          </cell>
          <cell r="W41">
            <v>2256</v>
          </cell>
          <cell r="X41">
            <v>0.98086956521739133</v>
          </cell>
        </row>
        <row r="42">
          <cell r="G42" t="str">
            <v>I0W7404</v>
          </cell>
          <cell r="H42">
            <v>42730</v>
          </cell>
          <cell r="I42">
            <v>79000</v>
          </cell>
          <cell r="T42" t="str">
            <v>I0Y7101</v>
          </cell>
          <cell r="U42">
            <v>2</v>
          </cell>
          <cell r="V42">
            <v>1400</v>
          </cell>
          <cell r="W42">
            <v>764</v>
          </cell>
          <cell r="X42">
            <v>0.54571428571428571</v>
          </cell>
          <cell r="Y42">
            <v>178000</v>
          </cell>
          <cell r="Z42">
            <v>178000</v>
          </cell>
          <cell r="AA42">
            <v>22000</v>
          </cell>
          <cell r="AB42">
            <v>20699</v>
          </cell>
        </row>
        <row r="43">
          <cell r="G43" t="str">
            <v>I0WA471</v>
          </cell>
          <cell r="H43">
            <v>42730</v>
          </cell>
          <cell r="I43">
            <v>109000</v>
          </cell>
          <cell r="T43" t="str">
            <v>I0Y7102</v>
          </cell>
          <cell r="U43">
            <v>3</v>
          </cell>
          <cell r="V43">
            <v>4000</v>
          </cell>
          <cell r="W43">
            <v>3429</v>
          </cell>
          <cell r="X43">
            <v>0.85724999999999996</v>
          </cell>
          <cell r="Y43">
            <v>138000</v>
          </cell>
          <cell r="Z43">
            <v>158000</v>
          </cell>
          <cell r="AA43">
            <v>17200</v>
          </cell>
          <cell r="AB43">
            <v>17286</v>
          </cell>
        </row>
        <row r="44">
          <cell r="G44" t="str">
            <v>IEWT401</v>
          </cell>
          <cell r="H44">
            <v>42730</v>
          </cell>
          <cell r="I44">
            <v>149000</v>
          </cell>
          <cell r="T44" t="str">
            <v>I0Y7103</v>
          </cell>
          <cell r="U44">
            <v>2</v>
          </cell>
          <cell r="V44">
            <v>1500</v>
          </cell>
          <cell r="W44">
            <v>1509</v>
          </cell>
          <cell r="X44">
            <v>1.006</v>
          </cell>
          <cell r="Y44">
            <v>198000</v>
          </cell>
          <cell r="Z44">
            <v>198000</v>
          </cell>
          <cell r="AA44">
            <v>24600</v>
          </cell>
          <cell r="AB44">
            <v>22738</v>
          </cell>
        </row>
        <row r="45">
          <cell r="G45" t="str">
            <v>INW7401</v>
          </cell>
          <cell r="H45">
            <v>42730</v>
          </cell>
          <cell r="I45">
            <v>89000</v>
          </cell>
          <cell r="T45" t="str">
            <v>I0Y7104</v>
          </cell>
          <cell r="U45">
            <v>2</v>
          </cell>
          <cell r="V45">
            <v>1500</v>
          </cell>
          <cell r="W45">
            <v>1426</v>
          </cell>
          <cell r="X45">
            <v>0.95066666666666666</v>
          </cell>
          <cell r="Y45">
            <v>178000</v>
          </cell>
          <cell r="Z45">
            <v>178000</v>
          </cell>
          <cell r="AA45">
            <v>20100</v>
          </cell>
          <cell r="AB45">
            <v>17501</v>
          </cell>
        </row>
        <row r="46">
          <cell r="G46" t="str">
            <v>P0W1472</v>
          </cell>
          <cell r="H46">
            <v>42730</v>
          </cell>
          <cell r="I46">
            <v>49000</v>
          </cell>
          <cell r="T46" t="str">
            <v>I0Y7105</v>
          </cell>
          <cell r="U46">
            <v>1</v>
          </cell>
          <cell r="V46">
            <v>600</v>
          </cell>
          <cell r="W46">
            <v>655</v>
          </cell>
          <cell r="X46">
            <v>1.0916666666666666</v>
          </cell>
          <cell r="Y46">
            <v>218000</v>
          </cell>
          <cell r="Z46">
            <v>218000</v>
          </cell>
          <cell r="AA46">
            <v>25300</v>
          </cell>
          <cell r="AB46">
            <v>24519</v>
          </cell>
        </row>
        <row r="47">
          <cell r="G47" t="str">
            <v>P0W1475</v>
          </cell>
          <cell r="H47">
            <v>42730</v>
          </cell>
          <cell r="I47">
            <v>39000</v>
          </cell>
          <cell r="T47" t="str">
            <v>INY7101</v>
          </cell>
          <cell r="U47">
            <v>3</v>
          </cell>
          <cell r="V47">
            <v>2100</v>
          </cell>
          <cell r="W47">
            <v>2004</v>
          </cell>
          <cell r="X47">
            <v>0.95428571428571429</v>
          </cell>
          <cell r="Y47">
            <v>178000</v>
          </cell>
          <cell r="Z47">
            <v>198000</v>
          </cell>
          <cell r="AA47">
            <v>20600</v>
          </cell>
          <cell r="AB47">
            <v>21700</v>
          </cell>
        </row>
        <row r="48">
          <cell r="G48" t="str">
            <v>P0W4402</v>
          </cell>
          <cell r="H48">
            <v>42730</v>
          </cell>
          <cell r="I48">
            <v>139000</v>
          </cell>
          <cell r="T48" t="str">
            <v>INY7102</v>
          </cell>
          <cell r="U48">
            <v>2</v>
          </cell>
          <cell r="V48">
            <v>1300</v>
          </cell>
          <cell r="W48">
            <v>1314</v>
          </cell>
          <cell r="X48">
            <v>1.0107692307692309</v>
          </cell>
          <cell r="Y48">
            <v>218000</v>
          </cell>
          <cell r="Z48">
            <v>238000</v>
          </cell>
          <cell r="AA48">
            <v>27300</v>
          </cell>
          <cell r="AB48">
            <v>27314</v>
          </cell>
        </row>
        <row r="49">
          <cell r="G49" t="str">
            <v>P0W5402</v>
          </cell>
          <cell r="H49">
            <v>42730</v>
          </cell>
          <cell r="I49">
            <v>149000</v>
          </cell>
          <cell r="T49" t="str">
            <v>ITY7101</v>
          </cell>
          <cell r="U49">
            <v>1</v>
          </cell>
          <cell r="V49">
            <v>1000</v>
          </cell>
          <cell r="W49">
            <v>905</v>
          </cell>
          <cell r="X49">
            <v>0.90500000000000003</v>
          </cell>
          <cell r="Y49">
            <v>218000</v>
          </cell>
          <cell r="Z49">
            <v>218000</v>
          </cell>
          <cell r="AA49">
            <v>26800</v>
          </cell>
          <cell r="AB49">
            <v>27048</v>
          </cell>
        </row>
        <row r="50">
          <cell r="G50" t="str">
            <v>P0W7403</v>
          </cell>
          <cell r="H50">
            <v>42730</v>
          </cell>
          <cell r="I50">
            <v>69000</v>
          </cell>
          <cell r="T50" t="str">
            <v>ITY7102</v>
          </cell>
          <cell r="U50">
            <v>2</v>
          </cell>
          <cell r="V50">
            <v>1800</v>
          </cell>
          <cell r="W50">
            <v>1951</v>
          </cell>
          <cell r="X50">
            <v>1.0838888888888889</v>
          </cell>
          <cell r="Y50">
            <v>178000</v>
          </cell>
          <cell r="Z50">
            <v>178000</v>
          </cell>
          <cell r="AA50">
            <v>18900</v>
          </cell>
          <cell r="AB50">
            <v>17762</v>
          </cell>
        </row>
        <row r="51">
          <cell r="G51" t="str">
            <v>P0W7404</v>
          </cell>
          <cell r="H51">
            <v>42730</v>
          </cell>
          <cell r="I51">
            <v>69000</v>
          </cell>
          <cell r="T51" t="str">
            <v>ITY7103</v>
          </cell>
          <cell r="U51">
            <v>1</v>
          </cell>
          <cell r="V51">
            <v>1000</v>
          </cell>
          <cell r="W51">
            <v>1005</v>
          </cell>
          <cell r="X51">
            <v>1.0049999999999999</v>
          </cell>
          <cell r="Y51">
            <v>198000</v>
          </cell>
          <cell r="Z51">
            <v>198000</v>
          </cell>
          <cell r="AA51">
            <v>23000</v>
          </cell>
          <cell r="AB51">
            <v>26949</v>
          </cell>
        </row>
        <row r="52">
          <cell r="G52" t="str">
            <v>PEWT401</v>
          </cell>
          <cell r="H52">
            <v>42730</v>
          </cell>
          <cell r="I52">
            <v>149000</v>
          </cell>
          <cell r="U52">
            <v>19</v>
          </cell>
          <cell r="V52">
            <v>16200</v>
          </cell>
          <cell r="W52">
            <v>14962</v>
          </cell>
          <cell r="X52">
            <v>0.92358024691358021</v>
          </cell>
        </row>
        <row r="53">
          <cell r="G53" t="str">
            <v>PNW1401</v>
          </cell>
          <cell r="H53">
            <v>42730</v>
          </cell>
          <cell r="I53">
            <v>59000</v>
          </cell>
          <cell r="T53" t="str">
            <v>남성봄계</v>
          </cell>
          <cell r="U53">
            <v>75</v>
          </cell>
          <cell r="V53">
            <v>50550</v>
          </cell>
          <cell r="W53">
            <v>47076</v>
          </cell>
          <cell r="X53">
            <v>0.93127596439169136</v>
          </cell>
        </row>
        <row r="54">
          <cell r="G54" t="str">
            <v>I0W1473</v>
          </cell>
          <cell r="H54">
            <v>42732</v>
          </cell>
          <cell r="I54">
            <v>69000</v>
          </cell>
          <cell r="T54" t="str">
            <v>P0Y1101</v>
          </cell>
          <cell r="U54">
            <v>5</v>
          </cell>
          <cell r="V54">
            <v>3200</v>
          </cell>
          <cell r="W54">
            <v>3074</v>
          </cell>
          <cell r="X54">
            <v>0.96062499999999995</v>
          </cell>
          <cell r="Y54">
            <v>78000</v>
          </cell>
          <cell r="Z54">
            <v>78000</v>
          </cell>
          <cell r="AA54">
            <v>13000</v>
          </cell>
          <cell r="AB54">
            <v>12629</v>
          </cell>
        </row>
        <row r="55">
          <cell r="G55" t="str">
            <v>I0W2401</v>
          </cell>
          <cell r="H55">
            <v>42732</v>
          </cell>
          <cell r="I55">
            <v>99000</v>
          </cell>
          <cell r="T55" t="str">
            <v>P0Y1102</v>
          </cell>
          <cell r="U55">
            <v>2</v>
          </cell>
          <cell r="V55">
            <v>900</v>
          </cell>
          <cell r="W55">
            <v>917</v>
          </cell>
          <cell r="X55">
            <v>1.018888888888889</v>
          </cell>
          <cell r="Y55">
            <v>98000</v>
          </cell>
          <cell r="Z55">
            <v>98000</v>
          </cell>
          <cell r="AA55">
            <v>12100</v>
          </cell>
          <cell r="AB55">
            <v>12227</v>
          </cell>
        </row>
        <row r="56">
          <cell r="G56" t="str">
            <v>I0WT473</v>
          </cell>
          <cell r="H56">
            <v>42732</v>
          </cell>
          <cell r="I56">
            <v>149000</v>
          </cell>
          <cell r="T56" t="str">
            <v>P0Y1103</v>
          </cell>
          <cell r="U56">
            <v>2</v>
          </cell>
          <cell r="V56">
            <v>1000</v>
          </cell>
          <cell r="W56">
            <v>932</v>
          </cell>
          <cell r="X56">
            <v>0.93200000000000005</v>
          </cell>
          <cell r="Y56">
            <v>158000</v>
          </cell>
          <cell r="Z56">
            <v>158000</v>
          </cell>
          <cell r="AA56">
            <v>18600</v>
          </cell>
          <cell r="AB56">
            <v>17951</v>
          </cell>
        </row>
        <row r="57">
          <cell r="G57" t="str">
            <v>I0WT474</v>
          </cell>
          <cell r="H57">
            <v>42732</v>
          </cell>
          <cell r="I57">
            <v>199000</v>
          </cell>
          <cell r="T57" t="str">
            <v>P0Y1104</v>
          </cell>
          <cell r="U57">
            <v>2</v>
          </cell>
          <cell r="V57">
            <v>1100</v>
          </cell>
          <cell r="W57">
            <v>1014</v>
          </cell>
          <cell r="X57">
            <v>0.92181818181818187</v>
          </cell>
          <cell r="Y57">
            <v>138000</v>
          </cell>
          <cell r="Z57">
            <v>158000</v>
          </cell>
          <cell r="AA57">
            <v>12300</v>
          </cell>
          <cell r="AB57">
            <v>14124</v>
          </cell>
        </row>
        <row r="58">
          <cell r="G58" t="str">
            <v>INW1404</v>
          </cell>
          <cell r="H58">
            <v>42732</v>
          </cell>
          <cell r="I58">
            <v>89000</v>
          </cell>
          <cell r="T58" t="str">
            <v>P0Y1105</v>
          </cell>
          <cell r="U58">
            <v>2</v>
          </cell>
          <cell r="V58">
            <v>1600</v>
          </cell>
          <cell r="W58">
            <v>1682</v>
          </cell>
          <cell r="X58">
            <v>1.05125</v>
          </cell>
          <cell r="Y58">
            <v>158000</v>
          </cell>
          <cell r="Z58">
            <v>158000</v>
          </cell>
          <cell r="AA58">
            <v>16500</v>
          </cell>
          <cell r="AB58">
            <v>15610</v>
          </cell>
        </row>
        <row r="59">
          <cell r="G59" t="str">
            <v>INW6402</v>
          </cell>
          <cell r="H59">
            <v>42732</v>
          </cell>
          <cell r="I59">
            <v>189000</v>
          </cell>
          <cell r="T59" t="str">
            <v>P0Y1106</v>
          </cell>
          <cell r="U59">
            <v>2</v>
          </cell>
          <cell r="V59">
            <v>1600</v>
          </cell>
          <cell r="W59">
            <v>1184</v>
          </cell>
          <cell r="X59">
            <v>0.74</v>
          </cell>
          <cell r="Y59">
            <v>158000</v>
          </cell>
          <cell r="Z59">
            <v>158000</v>
          </cell>
          <cell r="AA59">
            <v>19700</v>
          </cell>
          <cell r="AB59">
            <v>20584</v>
          </cell>
        </row>
        <row r="60">
          <cell r="G60" t="str">
            <v>INW7403</v>
          </cell>
          <cell r="H60">
            <v>42732</v>
          </cell>
          <cell r="I60">
            <v>79000</v>
          </cell>
          <cell r="T60" t="str">
            <v>P0Y1107</v>
          </cell>
          <cell r="U60">
            <v>2</v>
          </cell>
          <cell r="V60">
            <v>1200</v>
          </cell>
          <cell r="W60">
            <v>1203</v>
          </cell>
          <cell r="X60">
            <v>1.0024999999999999</v>
          </cell>
          <cell r="Y60">
            <v>158000</v>
          </cell>
          <cell r="Z60">
            <v>158000</v>
          </cell>
          <cell r="AA60">
            <v>17200</v>
          </cell>
          <cell r="AB60">
            <v>15075</v>
          </cell>
        </row>
        <row r="61">
          <cell r="G61" t="str">
            <v>P0W1401</v>
          </cell>
          <cell r="H61">
            <v>42732</v>
          </cell>
          <cell r="I61">
            <v>39000</v>
          </cell>
          <cell r="T61" t="str">
            <v>P0Y1108</v>
          </cell>
          <cell r="U61">
            <v>2</v>
          </cell>
          <cell r="V61">
            <v>1000</v>
          </cell>
          <cell r="W61">
            <v>1134</v>
          </cell>
          <cell r="X61">
            <v>1.1339999999999999</v>
          </cell>
          <cell r="Y61">
            <v>158000</v>
          </cell>
          <cell r="Z61">
            <v>158000</v>
          </cell>
          <cell r="AA61">
            <v>15300</v>
          </cell>
          <cell r="AB61">
            <v>15928</v>
          </cell>
        </row>
        <row r="62">
          <cell r="G62" t="str">
            <v>P0W1405</v>
          </cell>
          <cell r="H62">
            <v>42732</v>
          </cell>
          <cell r="I62">
            <v>64000</v>
          </cell>
          <cell r="T62" t="str">
            <v>P0Y1109</v>
          </cell>
          <cell r="U62">
            <v>1</v>
          </cell>
          <cell r="V62">
            <v>400</v>
          </cell>
          <cell r="W62">
            <v>415</v>
          </cell>
          <cell r="X62">
            <v>1.0375000000000001</v>
          </cell>
          <cell r="Y62">
            <v>98000</v>
          </cell>
          <cell r="Z62">
            <v>98000</v>
          </cell>
          <cell r="AA62">
            <v>10850</v>
          </cell>
          <cell r="AB62">
            <v>11315</v>
          </cell>
        </row>
        <row r="63">
          <cell r="G63" t="str">
            <v>P0W1413</v>
          </cell>
          <cell r="H63">
            <v>42732</v>
          </cell>
          <cell r="I63">
            <v>39000</v>
          </cell>
          <cell r="T63" t="str">
            <v>PTY1101</v>
          </cell>
          <cell r="U63">
            <v>2</v>
          </cell>
          <cell r="V63">
            <v>1600</v>
          </cell>
          <cell r="W63">
            <v>1633</v>
          </cell>
          <cell r="X63">
            <v>1.0206249999999999</v>
          </cell>
          <cell r="Y63">
            <v>178000</v>
          </cell>
          <cell r="Z63">
            <v>158000</v>
          </cell>
          <cell r="AA63">
            <v>15700</v>
          </cell>
          <cell r="AB63">
            <v>15627</v>
          </cell>
        </row>
        <row r="64">
          <cell r="G64" t="str">
            <v>P0W1474</v>
          </cell>
          <cell r="H64">
            <v>42732</v>
          </cell>
          <cell r="I64">
            <v>39000</v>
          </cell>
          <cell r="T64" t="str">
            <v>PNY1101</v>
          </cell>
          <cell r="U64">
            <v>2</v>
          </cell>
          <cell r="V64">
            <v>1000</v>
          </cell>
          <cell r="W64">
            <v>920</v>
          </cell>
          <cell r="X64">
            <v>0.92</v>
          </cell>
          <cell r="Y64">
            <v>118000</v>
          </cell>
          <cell r="Z64">
            <v>98000</v>
          </cell>
          <cell r="AA64">
            <v>11100</v>
          </cell>
          <cell r="AB64">
            <v>9994</v>
          </cell>
        </row>
        <row r="65">
          <cell r="G65" t="str">
            <v>P0W7473</v>
          </cell>
          <cell r="H65">
            <v>42732</v>
          </cell>
          <cell r="I65">
            <v>69000</v>
          </cell>
          <cell r="T65" t="str">
            <v>PNY1102</v>
          </cell>
          <cell r="U65">
            <v>2</v>
          </cell>
          <cell r="V65">
            <v>1000</v>
          </cell>
          <cell r="W65">
            <v>1080</v>
          </cell>
          <cell r="X65">
            <v>1.08</v>
          </cell>
          <cell r="Y65">
            <v>138000</v>
          </cell>
          <cell r="Z65">
            <v>138000</v>
          </cell>
          <cell r="AA65">
            <v>14400</v>
          </cell>
          <cell r="AB65">
            <v>14845</v>
          </cell>
        </row>
        <row r="66">
          <cell r="G66" t="str">
            <v>P0WC471</v>
          </cell>
          <cell r="H66">
            <v>42732</v>
          </cell>
          <cell r="I66">
            <v>169000</v>
          </cell>
          <cell r="T66" t="str">
            <v>PNY1103</v>
          </cell>
          <cell r="U66">
            <v>2</v>
          </cell>
          <cell r="V66">
            <v>800</v>
          </cell>
          <cell r="W66">
            <v>772</v>
          </cell>
          <cell r="X66">
            <v>0.96499999999999997</v>
          </cell>
          <cell r="Y66">
            <v>158000</v>
          </cell>
          <cell r="Z66">
            <v>138000</v>
          </cell>
          <cell r="AA66">
            <v>17100</v>
          </cell>
          <cell r="AB66">
            <v>17208</v>
          </cell>
        </row>
        <row r="67">
          <cell r="G67" t="str">
            <v>P0WC472</v>
          </cell>
          <cell r="H67">
            <v>42732</v>
          </cell>
          <cell r="I67">
            <v>279000</v>
          </cell>
          <cell r="U67">
            <v>28</v>
          </cell>
          <cell r="V67">
            <v>16400</v>
          </cell>
          <cell r="W67">
            <v>15960</v>
          </cell>
          <cell r="X67">
            <v>0.97317073170731705</v>
          </cell>
        </row>
        <row r="68">
          <cell r="G68" t="str">
            <v>I0X1303</v>
          </cell>
          <cell r="H68">
            <v>43021</v>
          </cell>
          <cell r="I68">
            <v>49000</v>
          </cell>
          <cell r="T68" t="str">
            <v>P0Y4101</v>
          </cell>
          <cell r="U68">
            <v>1</v>
          </cell>
          <cell r="V68">
            <v>400</v>
          </cell>
          <cell r="W68">
            <v>400</v>
          </cell>
          <cell r="X68">
            <v>1</v>
          </cell>
          <cell r="Y68">
            <v>238000</v>
          </cell>
          <cell r="Z68">
            <v>238000</v>
          </cell>
          <cell r="AA68">
            <v>27900</v>
          </cell>
          <cell r="AB68">
            <v>27546</v>
          </cell>
        </row>
        <row r="69">
          <cell r="G69" t="str">
            <v>I0X1305</v>
          </cell>
          <cell r="H69">
            <v>43021</v>
          </cell>
          <cell r="I69">
            <v>59000</v>
          </cell>
          <cell r="T69" t="str">
            <v>P0Y4102</v>
          </cell>
          <cell r="U69">
            <v>1</v>
          </cell>
          <cell r="V69">
            <v>500</v>
          </cell>
          <cell r="W69">
            <v>403</v>
          </cell>
          <cell r="X69">
            <v>0.80600000000000005</v>
          </cell>
          <cell r="Y69">
            <v>238000</v>
          </cell>
          <cell r="Z69">
            <v>218000</v>
          </cell>
          <cell r="AA69">
            <v>27100</v>
          </cell>
          <cell r="AB69">
            <v>24465</v>
          </cell>
        </row>
        <row r="70">
          <cell r="G70" t="str">
            <v>I0X1314</v>
          </cell>
          <cell r="H70">
            <v>43021</v>
          </cell>
          <cell r="I70">
            <v>59000</v>
          </cell>
          <cell r="U70">
            <v>2</v>
          </cell>
          <cell r="V70">
            <v>900</v>
          </cell>
          <cell r="W70">
            <v>803</v>
          </cell>
          <cell r="X70">
            <v>0.89222222222222225</v>
          </cell>
        </row>
        <row r="71">
          <cell r="G71" t="str">
            <v>I0X7304</v>
          </cell>
          <cell r="H71">
            <v>43021</v>
          </cell>
          <cell r="I71">
            <v>69000</v>
          </cell>
          <cell r="T71" t="str">
            <v>P0Y5101</v>
          </cell>
          <cell r="U71">
            <v>2</v>
          </cell>
          <cell r="V71">
            <v>700</v>
          </cell>
          <cell r="W71">
            <v>670</v>
          </cell>
          <cell r="X71">
            <v>0.95714285714285718</v>
          </cell>
          <cell r="Y71">
            <v>358000</v>
          </cell>
          <cell r="Z71">
            <v>338000</v>
          </cell>
          <cell r="AA71">
            <v>42200</v>
          </cell>
          <cell r="AB71">
            <v>42760</v>
          </cell>
        </row>
        <row r="72">
          <cell r="G72" t="str">
            <v>I0X7306</v>
          </cell>
          <cell r="H72">
            <v>43021</v>
          </cell>
          <cell r="I72">
            <v>69000</v>
          </cell>
          <cell r="U72">
            <v>2</v>
          </cell>
          <cell r="V72">
            <v>700</v>
          </cell>
          <cell r="W72">
            <v>670</v>
          </cell>
          <cell r="X72">
            <v>0.95714285714285718</v>
          </cell>
        </row>
        <row r="73">
          <cell r="G73" t="str">
            <v>INX1301</v>
          </cell>
          <cell r="H73">
            <v>43021</v>
          </cell>
          <cell r="I73">
            <v>39000</v>
          </cell>
          <cell r="T73" t="str">
            <v>P0Y6101</v>
          </cell>
          <cell r="U73">
            <v>3</v>
          </cell>
          <cell r="V73">
            <v>1500</v>
          </cell>
          <cell r="W73">
            <v>1375</v>
          </cell>
          <cell r="X73">
            <v>0.91666666666666663</v>
          </cell>
          <cell r="Y73">
            <v>278000</v>
          </cell>
          <cell r="Z73">
            <v>278000</v>
          </cell>
          <cell r="AA73">
            <v>34900</v>
          </cell>
          <cell r="AB73">
            <v>32562</v>
          </cell>
        </row>
        <row r="74">
          <cell r="G74" t="str">
            <v>INX1302</v>
          </cell>
          <cell r="H74">
            <v>43021</v>
          </cell>
          <cell r="I74">
            <v>59000</v>
          </cell>
          <cell r="T74" t="str">
            <v>P0Y6102</v>
          </cell>
          <cell r="U74">
            <v>2</v>
          </cell>
          <cell r="V74">
            <v>700</v>
          </cell>
          <cell r="W74">
            <v>694</v>
          </cell>
          <cell r="X74">
            <v>0.99142857142857144</v>
          </cell>
          <cell r="Y74">
            <v>318000</v>
          </cell>
          <cell r="Z74">
            <v>318000</v>
          </cell>
          <cell r="AA74">
            <v>34500</v>
          </cell>
          <cell r="AB74">
            <v>36690</v>
          </cell>
        </row>
        <row r="75">
          <cell r="G75" t="str">
            <v>INX1305</v>
          </cell>
          <cell r="H75">
            <v>43021</v>
          </cell>
          <cell r="I75">
            <v>59000</v>
          </cell>
          <cell r="T75" t="str">
            <v>PNY6101</v>
          </cell>
          <cell r="U75">
            <v>2</v>
          </cell>
          <cell r="V75">
            <v>700</v>
          </cell>
          <cell r="W75">
            <v>527</v>
          </cell>
          <cell r="X75">
            <v>0.75285714285714289</v>
          </cell>
          <cell r="Y75">
            <v>298000</v>
          </cell>
          <cell r="Z75">
            <v>298000</v>
          </cell>
          <cell r="AA75">
            <v>33600</v>
          </cell>
          <cell r="AB75">
            <v>32807</v>
          </cell>
        </row>
        <row r="76">
          <cell r="G76" t="str">
            <v>INX1307</v>
          </cell>
          <cell r="H76">
            <v>43021</v>
          </cell>
          <cell r="I76">
            <v>59000</v>
          </cell>
          <cell r="T76" t="str">
            <v>PNY6102</v>
          </cell>
          <cell r="U76">
            <v>1</v>
          </cell>
          <cell r="V76">
            <v>500</v>
          </cell>
          <cell r="W76">
            <v>488</v>
          </cell>
          <cell r="X76">
            <v>0.97599999999999998</v>
          </cell>
          <cell r="Y76">
            <v>318000</v>
          </cell>
          <cell r="Z76">
            <v>358000</v>
          </cell>
          <cell r="AA76">
            <v>39400</v>
          </cell>
          <cell r="AB76">
            <v>40104</v>
          </cell>
        </row>
        <row r="77">
          <cell r="G77" t="str">
            <v>INX7301</v>
          </cell>
          <cell r="H77">
            <v>43021</v>
          </cell>
          <cell r="I77">
            <v>79000</v>
          </cell>
          <cell r="U77">
            <v>8</v>
          </cell>
          <cell r="V77">
            <v>3400</v>
          </cell>
          <cell r="W77">
            <v>3084</v>
          </cell>
          <cell r="X77">
            <v>0.90705882352941181</v>
          </cell>
        </row>
        <row r="78">
          <cell r="G78" t="str">
            <v>ITX1301</v>
          </cell>
          <cell r="H78">
            <v>43021</v>
          </cell>
          <cell r="I78">
            <v>49000</v>
          </cell>
          <cell r="T78" t="str">
            <v>PTYT101</v>
          </cell>
          <cell r="U78">
            <v>2</v>
          </cell>
          <cell r="V78">
            <v>1100</v>
          </cell>
          <cell r="W78">
            <v>1093</v>
          </cell>
          <cell r="X78">
            <v>0.99363636363636365</v>
          </cell>
          <cell r="Y78">
            <v>318000</v>
          </cell>
          <cell r="Z78">
            <v>318000</v>
          </cell>
          <cell r="AA78">
            <v>39900</v>
          </cell>
          <cell r="AB78">
            <v>38375</v>
          </cell>
        </row>
        <row r="79">
          <cell r="G79" t="str">
            <v>ITX1303</v>
          </cell>
          <cell r="H79">
            <v>43021</v>
          </cell>
          <cell r="I79">
            <v>59000</v>
          </cell>
          <cell r="T79" t="str">
            <v>PTYT102</v>
          </cell>
          <cell r="U79">
            <v>2</v>
          </cell>
          <cell r="V79">
            <v>1100</v>
          </cell>
          <cell r="W79">
            <v>1084</v>
          </cell>
          <cell r="X79">
            <v>0.98545454545454547</v>
          </cell>
          <cell r="Y79">
            <v>278000</v>
          </cell>
          <cell r="Z79">
            <v>318000</v>
          </cell>
          <cell r="AA79">
            <v>32000</v>
          </cell>
          <cell r="AB79">
            <v>33439</v>
          </cell>
        </row>
        <row r="80">
          <cell r="G80" t="str">
            <v>ITX1304</v>
          </cell>
          <cell r="H80">
            <v>43021</v>
          </cell>
          <cell r="I80">
            <v>49000</v>
          </cell>
          <cell r="T80" t="str">
            <v>P0YT101</v>
          </cell>
          <cell r="U80">
            <v>2</v>
          </cell>
          <cell r="V80">
            <v>1100</v>
          </cell>
          <cell r="W80">
            <v>1073</v>
          </cell>
          <cell r="X80">
            <v>0.97545454545454546</v>
          </cell>
          <cell r="Y80">
            <v>378000</v>
          </cell>
          <cell r="Z80">
            <v>398000</v>
          </cell>
          <cell r="AA80">
            <v>45800</v>
          </cell>
          <cell r="AB80">
            <v>45843</v>
          </cell>
        </row>
        <row r="81">
          <cell r="G81" t="str">
            <v>ITX1305</v>
          </cell>
          <cell r="H81">
            <v>43021</v>
          </cell>
          <cell r="I81">
            <v>59000</v>
          </cell>
          <cell r="U81">
            <v>6</v>
          </cell>
          <cell r="V81">
            <v>3300</v>
          </cell>
          <cell r="W81">
            <v>3250</v>
          </cell>
          <cell r="X81">
            <v>0.98484848484848486</v>
          </cell>
        </row>
        <row r="82">
          <cell r="G82" t="str">
            <v>ITX6302</v>
          </cell>
          <cell r="H82">
            <v>43021</v>
          </cell>
          <cell r="I82">
            <v>119000</v>
          </cell>
          <cell r="T82" t="str">
            <v>P0YV101</v>
          </cell>
          <cell r="U82">
            <v>2</v>
          </cell>
          <cell r="V82">
            <v>900</v>
          </cell>
          <cell r="W82">
            <v>888</v>
          </cell>
          <cell r="X82">
            <v>0.98666666666666669</v>
          </cell>
          <cell r="Y82">
            <v>298000</v>
          </cell>
          <cell r="Z82">
            <v>298000</v>
          </cell>
          <cell r="AA82">
            <v>37000</v>
          </cell>
          <cell r="AB82">
            <v>37598</v>
          </cell>
        </row>
        <row r="83">
          <cell r="G83" t="str">
            <v>ITX7301</v>
          </cell>
          <cell r="H83">
            <v>43021</v>
          </cell>
          <cell r="I83">
            <v>69000</v>
          </cell>
          <cell r="T83" t="str">
            <v>PTYV101</v>
          </cell>
          <cell r="U83">
            <v>2</v>
          </cell>
          <cell r="V83">
            <v>1000</v>
          </cell>
          <cell r="W83">
            <v>960</v>
          </cell>
          <cell r="X83">
            <v>0.96</v>
          </cell>
          <cell r="Y83">
            <v>298000</v>
          </cell>
          <cell r="Z83">
            <v>298000</v>
          </cell>
          <cell r="AA83">
            <v>33100</v>
          </cell>
          <cell r="AB83">
            <v>31189</v>
          </cell>
        </row>
        <row r="84">
          <cell r="G84" t="str">
            <v>P0X1302</v>
          </cell>
          <cell r="H84">
            <v>43021</v>
          </cell>
          <cell r="I84">
            <v>39000</v>
          </cell>
          <cell r="T84" t="str">
            <v>PNYV101</v>
          </cell>
          <cell r="U84">
            <v>2</v>
          </cell>
          <cell r="V84">
            <v>800</v>
          </cell>
          <cell r="W84">
            <v>677</v>
          </cell>
          <cell r="X84">
            <v>0.84624999999999995</v>
          </cell>
          <cell r="Y84">
            <v>238000</v>
          </cell>
          <cell r="Z84">
            <v>238000</v>
          </cell>
          <cell r="AA84">
            <v>26500</v>
          </cell>
          <cell r="AB84">
            <v>25294</v>
          </cell>
        </row>
        <row r="85">
          <cell r="G85" t="str">
            <v>P0X1305</v>
          </cell>
          <cell r="H85">
            <v>43021</v>
          </cell>
          <cell r="I85">
            <v>49000</v>
          </cell>
          <cell r="U85">
            <v>6</v>
          </cell>
          <cell r="V85">
            <v>2700</v>
          </cell>
          <cell r="W85">
            <v>2525</v>
          </cell>
          <cell r="X85">
            <v>0.93518518518518523</v>
          </cell>
        </row>
        <row r="86">
          <cell r="G86" t="str">
            <v>P0X1310</v>
          </cell>
          <cell r="H86">
            <v>43021</v>
          </cell>
          <cell r="I86">
            <v>59000</v>
          </cell>
          <cell r="T86" t="str">
            <v>PNYC101</v>
          </cell>
          <cell r="U86">
            <v>2</v>
          </cell>
          <cell r="V86">
            <v>1200</v>
          </cell>
          <cell r="W86">
            <v>1215</v>
          </cell>
          <cell r="X86">
            <v>1.0125</v>
          </cell>
          <cell r="Y86">
            <v>498000</v>
          </cell>
          <cell r="Z86">
            <v>498000</v>
          </cell>
          <cell r="AA86">
            <v>72200</v>
          </cell>
          <cell r="AB86">
            <v>72811</v>
          </cell>
        </row>
        <row r="87">
          <cell r="G87" t="str">
            <v>P0X6303</v>
          </cell>
          <cell r="H87">
            <v>43021</v>
          </cell>
          <cell r="I87">
            <v>159000</v>
          </cell>
          <cell r="U87">
            <v>2</v>
          </cell>
          <cell r="V87">
            <v>1200</v>
          </cell>
          <cell r="W87">
            <v>1215</v>
          </cell>
          <cell r="X87">
            <v>1.0125</v>
          </cell>
        </row>
        <row r="88">
          <cell r="G88" t="str">
            <v>P0X7301</v>
          </cell>
          <cell r="H88">
            <v>43021</v>
          </cell>
          <cell r="I88">
            <v>49000</v>
          </cell>
          <cell r="T88" t="str">
            <v>PTY8101</v>
          </cell>
          <cell r="U88">
            <v>3</v>
          </cell>
          <cell r="V88">
            <v>1600</v>
          </cell>
          <cell r="W88">
            <v>1650</v>
          </cell>
          <cell r="X88">
            <v>1.03125</v>
          </cell>
          <cell r="Y88">
            <v>258000</v>
          </cell>
          <cell r="Z88">
            <v>238000</v>
          </cell>
          <cell r="AA88">
            <v>32500</v>
          </cell>
          <cell r="AB88">
            <v>28962</v>
          </cell>
        </row>
        <row r="89">
          <cell r="G89" t="str">
            <v>P0X7302</v>
          </cell>
          <cell r="H89">
            <v>43021</v>
          </cell>
          <cell r="I89">
            <v>69000</v>
          </cell>
          <cell r="T89" t="str">
            <v>PTY8102</v>
          </cell>
          <cell r="U89">
            <v>2</v>
          </cell>
          <cell r="V89">
            <v>1100</v>
          </cell>
          <cell r="W89">
            <v>1042</v>
          </cell>
          <cell r="X89">
            <v>0.94727272727272727</v>
          </cell>
          <cell r="Y89">
            <v>198000</v>
          </cell>
          <cell r="Z89">
            <v>178000</v>
          </cell>
          <cell r="AA89">
            <v>24500</v>
          </cell>
          <cell r="AB89">
            <v>22799</v>
          </cell>
        </row>
        <row r="90">
          <cell r="G90" t="str">
            <v>P0X7306</v>
          </cell>
          <cell r="H90">
            <v>43021</v>
          </cell>
          <cell r="I90">
            <v>79000</v>
          </cell>
          <cell r="U90">
            <v>5</v>
          </cell>
          <cell r="V90">
            <v>2700</v>
          </cell>
          <cell r="W90">
            <v>2692</v>
          </cell>
          <cell r="X90">
            <v>0.99703703703703705</v>
          </cell>
        </row>
        <row r="91">
          <cell r="G91" t="str">
            <v>P0XQ301</v>
          </cell>
          <cell r="H91">
            <v>43021</v>
          </cell>
          <cell r="I91">
            <v>69000</v>
          </cell>
          <cell r="T91" t="str">
            <v>P0Y7101</v>
          </cell>
          <cell r="U91">
            <v>2</v>
          </cell>
          <cell r="V91">
            <v>1800</v>
          </cell>
          <cell r="W91">
            <v>1596</v>
          </cell>
          <cell r="X91">
            <v>0.88666666666666671</v>
          </cell>
          <cell r="Y91">
            <v>118000</v>
          </cell>
          <cell r="Z91">
            <v>178000</v>
          </cell>
          <cell r="AA91">
            <v>15300</v>
          </cell>
          <cell r="AB91">
            <v>20642</v>
          </cell>
        </row>
        <row r="92">
          <cell r="G92" t="str">
            <v>PNX1301</v>
          </cell>
          <cell r="H92">
            <v>43021</v>
          </cell>
          <cell r="I92">
            <v>29000</v>
          </cell>
          <cell r="T92" t="str">
            <v>P0Y7102</v>
          </cell>
          <cell r="U92">
            <v>2</v>
          </cell>
          <cell r="V92">
            <v>900</v>
          </cell>
          <cell r="W92">
            <v>886</v>
          </cell>
          <cell r="X92">
            <v>0.98444444444444446</v>
          </cell>
          <cell r="Y92">
            <v>158000</v>
          </cell>
          <cell r="Z92">
            <v>158000</v>
          </cell>
          <cell r="AA92">
            <v>19400</v>
          </cell>
          <cell r="AB92">
            <v>17856</v>
          </cell>
        </row>
        <row r="93">
          <cell r="G93" t="str">
            <v>PNX1302</v>
          </cell>
          <cell r="H93">
            <v>43021</v>
          </cell>
          <cell r="I93">
            <v>59000</v>
          </cell>
          <cell r="T93" t="str">
            <v>P0Y7103</v>
          </cell>
          <cell r="U93">
            <v>3</v>
          </cell>
          <cell r="V93">
            <v>1300</v>
          </cell>
          <cell r="W93">
            <v>1275</v>
          </cell>
          <cell r="X93">
            <v>0.98076923076923073</v>
          </cell>
          <cell r="Y93">
            <v>178000</v>
          </cell>
          <cell r="Z93">
            <v>178000</v>
          </cell>
          <cell r="AA93">
            <v>19800</v>
          </cell>
          <cell r="AB93">
            <v>17493</v>
          </cell>
        </row>
        <row r="94">
          <cell r="G94" t="str">
            <v>PNX1303</v>
          </cell>
          <cell r="H94">
            <v>43021</v>
          </cell>
          <cell r="I94">
            <v>59000</v>
          </cell>
          <cell r="T94" t="str">
            <v>P0Y7104</v>
          </cell>
          <cell r="U94">
            <v>1</v>
          </cell>
          <cell r="V94">
            <v>600</v>
          </cell>
          <cell r="W94">
            <v>595</v>
          </cell>
          <cell r="X94">
            <v>0.9916666666666667</v>
          </cell>
          <cell r="Y94">
            <v>198000</v>
          </cell>
          <cell r="Z94">
            <v>198000</v>
          </cell>
          <cell r="AA94">
            <v>20900</v>
          </cell>
          <cell r="AB94">
            <v>20434</v>
          </cell>
        </row>
        <row r="95">
          <cell r="G95" t="str">
            <v>INX2301</v>
          </cell>
          <cell r="H95">
            <v>43035</v>
          </cell>
          <cell r="I95">
            <v>99000</v>
          </cell>
          <cell r="T95" t="str">
            <v>PTY7101</v>
          </cell>
          <cell r="U95">
            <v>2</v>
          </cell>
          <cell r="V95">
            <v>2400</v>
          </cell>
          <cell r="W95">
            <v>2347</v>
          </cell>
          <cell r="X95">
            <v>0.97791666666666666</v>
          </cell>
          <cell r="Y95">
            <v>138000</v>
          </cell>
          <cell r="Z95">
            <v>118000</v>
          </cell>
          <cell r="AA95">
            <v>15600</v>
          </cell>
          <cell r="AB95">
            <v>13140</v>
          </cell>
        </row>
        <row r="96">
          <cell r="G96" t="str">
            <v>ITX1302</v>
          </cell>
          <cell r="H96">
            <v>43035</v>
          </cell>
          <cell r="I96">
            <v>59000</v>
          </cell>
          <cell r="T96" t="str">
            <v>PTY7102</v>
          </cell>
          <cell r="U96">
            <v>1</v>
          </cell>
          <cell r="V96">
            <v>800</v>
          </cell>
          <cell r="W96">
            <v>812</v>
          </cell>
          <cell r="X96">
            <v>1.0149999999999999</v>
          </cell>
          <cell r="Y96">
            <v>198000</v>
          </cell>
          <cell r="Z96">
            <v>198000</v>
          </cell>
          <cell r="AA96">
            <v>23000</v>
          </cell>
          <cell r="AB96">
            <v>21937</v>
          </cell>
        </row>
        <row r="97">
          <cell r="G97" t="str">
            <v>ITX2301</v>
          </cell>
          <cell r="H97">
            <v>43035</v>
          </cell>
          <cell r="I97">
            <v>99000</v>
          </cell>
          <cell r="T97" t="str">
            <v>PNY7101</v>
          </cell>
          <cell r="U97">
            <v>3</v>
          </cell>
          <cell r="V97">
            <v>1500</v>
          </cell>
          <cell r="W97">
            <v>1260</v>
          </cell>
          <cell r="X97">
            <v>0.84</v>
          </cell>
          <cell r="Y97">
            <v>178000</v>
          </cell>
          <cell r="Z97">
            <v>178000</v>
          </cell>
          <cell r="AA97">
            <v>20100</v>
          </cell>
          <cell r="AB97">
            <v>20301</v>
          </cell>
        </row>
        <row r="98">
          <cell r="G98" t="str">
            <v>ITX7302</v>
          </cell>
          <cell r="H98">
            <v>43035</v>
          </cell>
          <cell r="I98">
            <v>79000</v>
          </cell>
          <cell r="T98" t="str">
            <v>PNY7102</v>
          </cell>
          <cell r="U98">
            <v>2</v>
          </cell>
          <cell r="V98">
            <v>1500</v>
          </cell>
          <cell r="W98">
            <v>1297</v>
          </cell>
          <cell r="X98">
            <v>0.86466666666666669</v>
          </cell>
          <cell r="Y98">
            <v>238000</v>
          </cell>
          <cell r="Z98">
            <v>238000</v>
          </cell>
          <cell r="AA98">
            <v>23000</v>
          </cell>
          <cell r="AB98">
            <v>24917</v>
          </cell>
        </row>
        <row r="99">
          <cell r="G99" t="str">
            <v>ITX7303</v>
          </cell>
          <cell r="H99">
            <v>43035</v>
          </cell>
          <cell r="I99">
            <v>79000</v>
          </cell>
          <cell r="U99">
            <v>16</v>
          </cell>
          <cell r="V99">
            <v>10800</v>
          </cell>
          <cell r="W99">
            <v>10068</v>
          </cell>
          <cell r="X99">
            <v>0.93222222222222217</v>
          </cell>
        </row>
        <row r="100">
          <cell r="G100" t="str">
            <v>ITX8301</v>
          </cell>
          <cell r="H100">
            <v>43035</v>
          </cell>
          <cell r="I100">
            <v>59000</v>
          </cell>
          <cell r="T100" t="str">
            <v>P0YQ101</v>
          </cell>
          <cell r="U100">
            <v>1</v>
          </cell>
          <cell r="V100">
            <v>800</v>
          </cell>
          <cell r="W100">
            <v>233</v>
          </cell>
          <cell r="X100">
            <v>0.29125000000000001</v>
          </cell>
          <cell r="Y100">
            <v>198000</v>
          </cell>
          <cell r="Z100">
            <v>198000</v>
          </cell>
          <cell r="AA100">
            <v>21100</v>
          </cell>
          <cell r="AB100">
            <v>26023</v>
          </cell>
        </row>
        <row r="101">
          <cell r="G101" t="str">
            <v>ITX8305</v>
          </cell>
          <cell r="H101">
            <v>43035</v>
          </cell>
          <cell r="I101">
            <v>59000</v>
          </cell>
          <cell r="T101" t="str">
            <v>P0YQ102</v>
          </cell>
          <cell r="U101">
            <v>1</v>
          </cell>
          <cell r="V101">
            <v>400</v>
          </cell>
          <cell r="W101">
            <v>369</v>
          </cell>
          <cell r="X101">
            <v>0.92249999999999999</v>
          </cell>
          <cell r="Y101">
            <v>198000</v>
          </cell>
          <cell r="Z101">
            <v>198000</v>
          </cell>
          <cell r="AA101">
            <v>18000</v>
          </cell>
          <cell r="AB101">
            <v>25143</v>
          </cell>
        </row>
        <row r="102">
          <cell r="G102" t="str">
            <v>ITX9303</v>
          </cell>
          <cell r="H102">
            <v>43035</v>
          </cell>
          <cell r="I102">
            <v>169000</v>
          </cell>
          <cell r="T102" t="str">
            <v>PNYQ101</v>
          </cell>
          <cell r="U102">
            <v>2</v>
          </cell>
          <cell r="V102">
            <v>700</v>
          </cell>
          <cell r="W102">
            <v>543</v>
          </cell>
          <cell r="X102">
            <v>0.77571428571428569</v>
          </cell>
          <cell r="Y102">
            <v>198000</v>
          </cell>
          <cell r="Z102">
            <v>198000</v>
          </cell>
          <cell r="AA102">
            <v>17500</v>
          </cell>
          <cell r="AB102">
            <v>16977</v>
          </cell>
        </row>
        <row r="103">
          <cell r="G103" t="str">
            <v>PNX1304</v>
          </cell>
          <cell r="H103">
            <v>43035</v>
          </cell>
          <cell r="I103">
            <v>69000</v>
          </cell>
          <cell r="U103">
            <v>4</v>
          </cell>
          <cell r="V103">
            <v>1900</v>
          </cell>
          <cell r="W103">
            <v>1145</v>
          </cell>
          <cell r="X103">
            <v>0.60263157894736841</v>
          </cell>
        </row>
        <row r="104">
          <cell r="G104" t="str">
            <v>PNX1305</v>
          </cell>
          <cell r="H104">
            <v>43035</v>
          </cell>
          <cell r="I104">
            <v>59000</v>
          </cell>
          <cell r="T104" t="str">
            <v>여성봄계</v>
          </cell>
          <cell r="U104">
            <v>79</v>
          </cell>
          <cell r="V104">
            <v>44000</v>
          </cell>
          <cell r="W104">
            <v>41412</v>
          </cell>
          <cell r="X104">
            <v>0.94118181818181823</v>
          </cell>
        </row>
        <row r="105">
          <cell r="G105" t="str">
            <v>PNX2301</v>
          </cell>
          <cell r="H105">
            <v>43035</v>
          </cell>
          <cell r="I105">
            <v>99000</v>
          </cell>
          <cell r="T105" t="str">
            <v>봄 합계</v>
          </cell>
          <cell r="U105">
            <v>154</v>
          </cell>
          <cell r="V105">
            <v>94550</v>
          </cell>
          <cell r="W105">
            <v>88488</v>
          </cell>
          <cell r="X105">
            <v>0.93588577472236911</v>
          </cell>
        </row>
        <row r="106">
          <cell r="G106" t="str">
            <v>PTX6302</v>
          </cell>
          <cell r="H106">
            <v>43035</v>
          </cell>
          <cell r="I106">
            <v>149000</v>
          </cell>
          <cell r="T106" t="str">
            <v>I0Y1201</v>
          </cell>
          <cell r="U106">
            <v>8</v>
          </cell>
          <cell r="V106">
            <v>7700</v>
          </cell>
          <cell r="W106">
            <v>5451</v>
          </cell>
          <cell r="X106">
            <v>0.70792207792207795</v>
          </cell>
          <cell r="Y106">
            <v>78000</v>
          </cell>
          <cell r="Z106">
            <v>78000</v>
          </cell>
          <cell r="AA106">
            <v>11600</v>
          </cell>
          <cell r="AB106">
            <v>8779</v>
          </cell>
        </row>
        <row r="107">
          <cell r="G107" t="str">
            <v>PTXT303</v>
          </cell>
          <cell r="H107">
            <v>43035</v>
          </cell>
          <cell r="I107">
            <v>159000</v>
          </cell>
          <cell r="T107" t="str">
            <v>I0Y1202</v>
          </cell>
          <cell r="U107">
            <v>2</v>
          </cell>
          <cell r="V107">
            <v>2000</v>
          </cell>
          <cell r="W107">
            <v>1973</v>
          </cell>
          <cell r="X107">
            <v>0.98650000000000004</v>
          </cell>
          <cell r="Y107">
            <v>158000</v>
          </cell>
          <cell r="Z107">
            <v>158000</v>
          </cell>
          <cell r="AA107">
            <v>17700</v>
          </cell>
          <cell r="AB107">
            <v>18166</v>
          </cell>
        </row>
        <row r="108">
          <cell r="G108" t="str">
            <v>I0X1408</v>
          </cell>
          <cell r="H108">
            <v>43056</v>
          </cell>
          <cell r="I108">
            <v>39000</v>
          </cell>
          <cell r="T108" t="str">
            <v>I0Y1203</v>
          </cell>
          <cell r="U108">
            <v>3</v>
          </cell>
          <cell r="V108">
            <v>3700</v>
          </cell>
          <cell r="W108">
            <v>3589</v>
          </cell>
          <cell r="X108">
            <v>0.97</v>
          </cell>
          <cell r="Y108">
            <v>158000</v>
          </cell>
          <cell r="Z108">
            <v>158000</v>
          </cell>
          <cell r="AA108">
            <v>15900</v>
          </cell>
          <cell r="AB108">
            <v>15301</v>
          </cell>
        </row>
        <row r="109">
          <cell r="G109" t="str">
            <v>I0X1410</v>
          </cell>
          <cell r="H109">
            <v>43056</v>
          </cell>
          <cell r="I109">
            <v>99000</v>
          </cell>
          <cell r="T109" t="str">
            <v>I0Y1204</v>
          </cell>
          <cell r="U109">
            <v>2</v>
          </cell>
          <cell r="V109">
            <v>2000</v>
          </cell>
          <cell r="W109">
            <v>1103</v>
          </cell>
          <cell r="X109">
            <v>0.55149999999999999</v>
          </cell>
          <cell r="Y109">
            <v>138000</v>
          </cell>
          <cell r="Z109">
            <v>118000</v>
          </cell>
          <cell r="AA109">
            <v>15700</v>
          </cell>
          <cell r="AB109">
            <v>14717</v>
          </cell>
        </row>
        <row r="110">
          <cell r="G110" t="str">
            <v>I0X1411</v>
          </cell>
          <cell r="H110">
            <v>43056</v>
          </cell>
          <cell r="I110">
            <v>39000</v>
          </cell>
          <cell r="T110" t="str">
            <v>I0Y1205</v>
          </cell>
          <cell r="U110">
            <v>2</v>
          </cell>
          <cell r="V110">
            <v>1800</v>
          </cell>
          <cell r="W110">
            <v>1607</v>
          </cell>
          <cell r="X110">
            <v>0.89277777777777778</v>
          </cell>
          <cell r="Y110">
            <v>158000</v>
          </cell>
          <cell r="Z110">
            <v>158000</v>
          </cell>
          <cell r="AA110">
            <v>16500</v>
          </cell>
          <cell r="AB110">
            <v>17718</v>
          </cell>
        </row>
        <row r="111">
          <cell r="G111" t="str">
            <v>I0X1412</v>
          </cell>
          <cell r="H111">
            <v>43056</v>
          </cell>
          <cell r="I111">
            <v>39000</v>
          </cell>
          <cell r="T111" t="str">
            <v>I0Y1206</v>
          </cell>
          <cell r="U111">
            <v>2</v>
          </cell>
          <cell r="V111">
            <v>1700</v>
          </cell>
          <cell r="W111">
            <v>1704</v>
          </cell>
          <cell r="X111">
            <v>1.0023529411764707</v>
          </cell>
          <cell r="Y111">
            <v>158000</v>
          </cell>
          <cell r="Z111">
            <v>158000</v>
          </cell>
          <cell r="AA111">
            <v>16800</v>
          </cell>
          <cell r="AB111">
            <v>16649</v>
          </cell>
        </row>
        <row r="112">
          <cell r="G112" t="str">
            <v>I0X7401</v>
          </cell>
          <cell r="H112">
            <v>43056</v>
          </cell>
          <cell r="I112">
            <v>59000</v>
          </cell>
          <cell r="T112" t="str">
            <v>I0Y1207</v>
          </cell>
          <cell r="U112">
            <v>3</v>
          </cell>
          <cell r="V112">
            <v>2600</v>
          </cell>
          <cell r="W112">
            <v>2481</v>
          </cell>
          <cell r="X112">
            <v>0.95423076923076922</v>
          </cell>
          <cell r="Y112">
            <v>158000</v>
          </cell>
          <cell r="Z112">
            <v>158000</v>
          </cell>
          <cell r="AA112">
            <v>17600</v>
          </cell>
          <cell r="AB112">
            <v>17522</v>
          </cell>
        </row>
        <row r="113">
          <cell r="G113" t="str">
            <v>I0X7408</v>
          </cell>
          <cell r="H113">
            <v>43056</v>
          </cell>
          <cell r="I113">
            <v>69000</v>
          </cell>
          <cell r="T113" t="str">
            <v>I0Y1208</v>
          </cell>
          <cell r="U113">
            <v>3</v>
          </cell>
          <cell r="V113">
            <v>2250</v>
          </cell>
          <cell r="W113">
            <v>1518</v>
          </cell>
          <cell r="X113">
            <v>0.67466666666666664</v>
          </cell>
          <cell r="Y113">
            <v>138000</v>
          </cell>
          <cell r="Z113">
            <v>158000</v>
          </cell>
          <cell r="AA113">
            <v>16300</v>
          </cell>
          <cell r="AB113">
            <v>14694</v>
          </cell>
        </row>
        <row r="114">
          <cell r="G114" t="str">
            <v>INX1401</v>
          </cell>
          <cell r="H114">
            <v>43056</v>
          </cell>
          <cell r="I114">
            <v>69000</v>
          </cell>
          <cell r="T114" t="str">
            <v>I0Y1209</v>
          </cell>
          <cell r="U114">
            <v>2</v>
          </cell>
          <cell r="V114">
            <v>1700</v>
          </cell>
          <cell r="W114">
            <v>1052</v>
          </cell>
          <cell r="X114">
            <v>0.61882352941176466</v>
          </cell>
          <cell r="Y114">
            <v>138000</v>
          </cell>
          <cell r="Z114">
            <v>158000</v>
          </cell>
          <cell r="AA114">
            <v>16400</v>
          </cell>
          <cell r="AB114">
            <v>17006</v>
          </cell>
        </row>
        <row r="115">
          <cell r="G115" t="str">
            <v>INXV401</v>
          </cell>
          <cell r="H115">
            <v>43056</v>
          </cell>
          <cell r="I115">
            <v>129000</v>
          </cell>
          <cell r="T115" t="str">
            <v>I0Y1210</v>
          </cell>
          <cell r="U115">
            <v>2</v>
          </cell>
          <cell r="V115">
            <v>2100</v>
          </cell>
          <cell r="W115">
            <v>2047</v>
          </cell>
          <cell r="X115">
            <v>0.97476190476190472</v>
          </cell>
          <cell r="Y115">
            <v>138000</v>
          </cell>
          <cell r="Z115">
            <v>138000</v>
          </cell>
          <cell r="AA115">
            <v>15000</v>
          </cell>
          <cell r="AB115">
            <v>14549</v>
          </cell>
        </row>
        <row r="116">
          <cell r="G116" t="str">
            <v>ITX2401</v>
          </cell>
          <cell r="H116">
            <v>43056</v>
          </cell>
          <cell r="I116">
            <v>49000</v>
          </cell>
          <cell r="T116" t="str">
            <v>I0Y1211</v>
          </cell>
          <cell r="U116">
            <v>2</v>
          </cell>
          <cell r="V116">
            <v>3200</v>
          </cell>
          <cell r="W116">
            <v>3240</v>
          </cell>
          <cell r="X116">
            <v>1.0125</v>
          </cell>
          <cell r="Y116">
            <v>158000</v>
          </cell>
          <cell r="Z116">
            <v>158000</v>
          </cell>
          <cell r="AA116">
            <v>16200</v>
          </cell>
          <cell r="AB116">
            <v>17417</v>
          </cell>
        </row>
        <row r="117">
          <cell r="G117" t="str">
            <v>ITX2402</v>
          </cell>
          <cell r="H117">
            <v>43056</v>
          </cell>
          <cell r="I117">
            <v>49000</v>
          </cell>
          <cell r="T117" t="str">
            <v>I0Y1212</v>
          </cell>
          <cell r="U117">
            <v>2</v>
          </cell>
          <cell r="V117">
            <v>1600</v>
          </cell>
          <cell r="W117">
            <v>1396</v>
          </cell>
          <cell r="X117">
            <v>0.87250000000000005</v>
          </cell>
          <cell r="Y117">
            <v>158000</v>
          </cell>
          <cell r="Z117">
            <v>158000</v>
          </cell>
          <cell r="AA117">
            <v>16300</v>
          </cell>
          <cell r="AB117">
            <v>16037</v>
          </cell>
        </row>
        <row r="118">
          <cell r="G118" t="str">
            <v>ITX2404</v>
          </cell>
          <cell r="H118">
            <v>43056</v>
          </cell>
          <cell r="I118">
            <v>109000</v>
          </cell>
          <cell r="T118" t="str">
            <v>I0Y1213</v>
          </cell>
          <cell r="U118">
            <v>2</v>
          </cell>
          <cell r="V118">
            <v>1800</v>
          </cell>
          <cell r="W118">
            <v>1774</v>
          </cell>
          <cell r="X118">
            <v>0.98555555555555552</v>
          </cell>
          <cell r="Y118">
            <v>158000</v>
          </cell>
          <cell r="Z118">
            <v>158000</v>
          </cell>
          <cell r="AA118">
            <v>19200</v>
          </cell>
          <cell r="AB118">
            <v>19069</v>
          </cell>
        </row>
        <row r="119">
          <cell r="G119" t="str">
            <v>ITX2451</v>
          </cell>
          <cell r="H119">
            <v>43056</v>
          </cell>
          <cell r="I119">
            <v>99000</v>
          </cell>
          <cell r="T119" t="str">
            <v>I0Y1214</v>
          </cell>
          <cell r="U119">
            <v>2</v>
          </cell>
          <cell r="V119">
            <v>1800</v>
          </cell>
          <cell r="W119">
            <v>1569</v>
          </cell>
          <cell r="X119">
            <v>0.8716666666666667</v>
          </cell>
          <cell r="Y119">
            <v>158000</v>
          </cell>
          <cell r="Z119">
            <v>158000</v>
          </cell>
          <cell r="AA119">
            <v>16300</v>
          </cell>
          <cell r="AB119">
            <v>17069</v>
          </cell>
        </row>
        <row r="120">
          <cell r="G120" t="str">
            <v>ITX2452</v>
          </cell>
          <cell r="H120">
            <v>43056</v>
          </cell>
          <cell r="I120">
            <v>99000</v>
          </cell>
          <cell r="T120" t="str">
            <v>I0Y1215</v>
          </cell>
          <cell r="U120">
            <v>1</v>
          </cell>
          <cell r="V120">
            <v>800</v>
          </cell>
          <cell r="W120">
            <v>813</v>
          </cell>
          <cell r="X120">
            <v>1.0162500000000001</v>
          </cell>
          <cell r="Y120">
            <v>118000</v>
          </cell>
          <cell r="Z120">
            <v>98000</v>
          </cell>
          <cell r="AA120">
            <v>12900</v>
          </cell>
          <cell r="AB120">
            <v>13859</v>
          </cell>
        </row>
        <row r="121">
          <cell r="G121" t="str">
            <v>ITX2453</v>
          </cell>
          <cell r="H121">
            <v>43056</v>
          </cell>
          <cell r="I121">
            <v>99000</v>
          </cell>
          <cell r="T121" t="str">
            <v>I0Y1216</v>
          </cell>
          <cell r="U121">
            <v>3</v>
          </cell>
          <cell r="V121">
            <v>2600</v>
          </cell>
          <cell r="W121">
            <v>2532</v>
          </cell>
          <cell r="X121">
            <v>0.97384615384615381</v>
          </cell>
          <cell r="Y121">
            <v>78000</v>
          </cell>
          <cell r="Z121">
            <v>78000</v>
          </cell>
          <cell r="AA121">
            <v>8000</v>
          </cell>
          <cell r="AB121">
            <v>8156</v>
          </cell>
        </row>
        <row r="122">
          <cell r="G122" t="str">
            <v>ITX5401</v>
          </cell>
          <cell r="H122">
            <v>43056</v>
          </cell>
          <cell r="I122">
            <v>59000</v>
          </cell>
          <cell r="T122" t="str">
            <v>INY1201</v>
          </cell>
          <cell r="U122">
            <v>2</v>
          </cell>
          <cell r="V122">
            <v>1100</v>
          </cell>
          <cell r="W122">
            <v>1097</v>
          </cell>
          <cell r="X122">
            <v>0.99727272727272731</v>
          </cell>
          <cell r="Y122">
            <v>158000</v>
          </cell>
          <cell r="Z122">
            <v>138000</v>
          </cell>
          <cell r="AA122">
            <v>15700</v>
          </cell>
          <cell r="AB122">
            <v>16418</v>
          </cell>
        </row>
        <row r="123">
          <cell r="G123" t="str">
            <v>ITX7404</v>
          </cell>
          <cell r="H123">
            <v>43056</v>
          </cell>
          <cell r="I123">
            <v>69000</v>
          </cell>
          <cell r="T123" t="str">
            <v>INY1202</v>
          </cell>
          <cell r="U123">
            <v>2</v>
          </cell>
          <cell r="V123">
            <v>1000</v>
          </cell>
          <cell r="W123">
            <v>821</v>
          </cell>
          <cell r="X123">
            <v>0.82099999999999995</v>
          </cell>
          <cell r="Y123">
            <v>138000</v>
          </cell>
          <cell r="Z123">
            <v>138000</v>
          </cell>
          <cell r="AA123">
            <v>15800</v>
          </cell>
          <cell r="AB123">
            <v>14643</v>
          </cell>
        </row>
        <row r="124">
          <cell r="G124" t="str">
            <v>P0X1403</v>
          </cell>
          <cell r="H124">
            <v>43056</v>
          </cell>
          <cell r="I124">
            <v>59000</v>
          </cell>
          <cell r="T124" t="str">
            <v>INY1203</v>
          </cell>
          <cell r="U124">
            <v>2</v>
          </cell>
          <cell r="V124">
            <v>1100</v>
          </cell>
          <cell r="W124">
            <v>895</v>
          </cell>
          <cell r="X124">
            <v>0.8136363636363636</v>
          </cell>
          <cell r="Y124">
            <v>158000</v>
          </cell>
          <cell r="Z124">
            <v>138000</v>
          </cell>
          <cell r="AA124">
            <v>17200</v>
          </cell>
          <cell r="AB124">
            <v>16359</v>
          </cell>
        </row>
        <row r="125">
          <cell r="G125" t="str">
            <v>P0X1405</v>
          </cell>
          <cell r="H125">
            <v>43056</v>
          </cell>
          <cell r="I125">
            <v>69000</v>
          </cell>
          <cell r="T125" t="str">
            <v>INY1204</v>
          </cell>
          <cell r="U125">
            <v>2</v>
          </cell>
          <cell r="V125">
            <v>1400</v>
          </cell>
          <cell r="W125">
            <v>1325</v>
          </cell>
          <cell r="X125">
            <v>0.9464285714285714</v>
          </cell>
          <cell r="Y125">
            <v>158000</v>
          </cell>
          <cell r="Z125">
            <v>138000</v>
          </cell>
          <cell r="AA125">
            <v>17600</v>
          </cell>
          <cell r="AB125">
            <v>17437</v>
          </cell>
        </row>
        <row r="126">
          <cell r="G126" t="str">
            <v>P0X1407</v>
          </cell>
          <cell r="H126">
            <v>43056</v>
          </cell>
          <cell r="I126">
            <v>69000</v>
          </cell>
          <cell r="T126" t="str">
            <v>INY1205</v>
          </cell>
          <cell r="U126">
            <v>1</v>
          </cell>
          <cell r="V126">
            <v>900</v>
          </cell>
          <cell r="W126">
            <v>722</v>
          </cell>
          <cell r="X126">
            <v>0.80222222222222217</v>
          </cell>
          <cell r="Y126">
            <v>158000</v>
          </cell>
          <cell r="Z126">
            <v>158000</v>
          </cell>
          <cell r="AA126">
            <v>17700</v>
          </cell>
          <cell r="AB126">
            <v>15849</v>
          </cell>
        </row>
        <row r="127">
          <cell r="G127" t="str">
            <v>P0X1414</v>
          </cell>
          <cell r="H127">
            <v>43056</v>
          </cell>
          <cell r="I127">
            <v>49000</v>
          </cell>
          <cell r="T127" t="str">
            <v>INY1206</v>
          </cell>
          <cell r="U127">
            <v>1</v>
          </cell>
          <cell r="V127">
            <v>400</v>
          </cell>
          <cell r="W127">
            <v>383</v>
          </cell>
          <cell r="X127">
            <v>0.95750000000000002</v>
          </cell>
          <cell r="Y127">
            <v>158000</v>
          </cell>
          <cell r="Z127">
            <v>158000</v>
          </cell>
          <cell r="AA127">
            <v>17100</v>
          </cell>
          <cell r="AB127">
            <v>17315</v>
          </cell>
        </row>
        <row r="128">
          <cell r="G128" t="str">
            <v>P0X1415</v>
          </cell>
          <cell r="H128">
            <v>43056</v>
          </cell>
          <cell r="I128">
            <v>39000</v>
          </cell>
          <cell r="T128" t="str">
            <v>INY1207</v>
          </cell>
          <cell r="U128">
            <v>2</v>
          </cell>
          <cell r="V128">
            <v>750</v>
          </cell>
          <cell r="W128">
            <v>690</v>
          </cell>
          <cell r="X128">
            <v>0.92</v>
          </cell>
          <cell r="Y128">
            <v>158000</v>
          </cell>
          <cell r="Z128">
            <v>138000</v>
          </cell>
          <cell r="AA128">
            <v>13000</v>
          </cell>
          <cell r="AB128">
            <v>14746</v>
          </cell>
        </row>
        <row r="129">
          <cell r="G129" t="str">
            <v>P0X2401</v>
          </cell>
          <cell r="H129">
            <v>43056</v>
          </cell>
          <cell r="I129">
            <v>49000</v>
          </cell>
          <cell r="T129" t="str">
            <v>INY1208</v>
          </cell>
          <cell r="U129">
            <v>1</v>
          </cell>
          <cell r="V129">
            <v>400</v>
          </cell>
          <cell r="W129">
            <v>385</v>
          </cell>
          <cell r="X129">
            <v>0.96250000000000002</v>
          </cell>
          <cell r="Y129">
            <v>158000</v>
          </cell>
          <cell r="Z129">
            <v>158000</v>
          </cell>
          <cell r="AA129">
            <v>16600</v>
          </cell>
          <cell r="AB129">
            <v>18474</v>
          </cell>
        </row>
        <row r="130">
          <cell r="G130" t="str">
            <v>P0X2451</v>
          </cell>
          <cell r="H130">
            <v>43056</v>
          </cell>
          <cell r="I130">
            <v>89000</v>
          </cell>
          <cell r="T130" t="str">
            <v>INY1209</v>
          </cell>
          <cell r="U130">
            <v>1</v>
          </cell>
          <cell r="V130">
            <v>650</v>
          </cell>
          <cell r="W130">
            <v>683</v>
          </cell>
          <cell r="X130">
            <v>1.0507692307692307</v>
          </cell>
          <cell r="Y130">
            <v>158000</v>
          </cell>
          <cell r="Z130">
            <v>158000</v>
          </cell>
          <cell r="AA130">
            <v>18300</v>
          </cell>
          <cell r="AB130">
            <v>19417</v>
          </cell>
        </row>
        <row r="131">
          <cell r="G131" t="str">
            <v>P0X5451</v>
          </cell>
          <cell r="H131">
            <v>43056</v>
          </cell>
          <cell r="I131">
            <v>99000</v>
          </cell>
          <cell r="T131" t="str">
            <v>ITY1201</v>
          </cell>
          <cell r="U131">
            <v>3</v>
          </cell>
          <cell r="V131">
            <v>4200</v>
          </cell>
          <cell r="W131">
            <v>1503</v>
          </cell>
          <cell r="X131">
            <v>0.35785714285714287</v>
          </cell>
          <cell r="Y131">
            <v>118000</v>
          </cell>
          <cell r="Z131">
            <v>98000</v>
          </cell>
          <cell r="AA131">
            <v>11500</v>
          </cell>
          <cell r="AB131">
            <v>11665</v>
          </cell>
        </row>
        <row r="132">
          <cell r="G132" t="str">
            <v>P0X7401</v>
          </cell>
          <cell r="H132">
            <v>43056</v>
          </cell>
          <cell r="I132">
            <v>69000</v>
          </cell>
          <cell r="T132" t="str">
            <v>ITY1202</v>
          </cell>
          <cell r="U132">
            <v>3</v>
          </cell>
          <cell r="V132">
            <v>2600</v>
          </cell>
          <cell r="W132">
            <v>2254</v>
          </cell>
          <cell r="X132">
            <v>0.86692307692307691</v>
          </cell>
          <cell r="Y132">
            <v>178000</v>
          </cell>
          <cell r="Z132">
            <v>178000</v>
          </cell>
          <cell r="AA132">
            <v>21600</v>
          </cell>
          <cell r="AB132">
            <v>19282</v>
          </cell>
        </row>
        <row r="133">
          <cell r="G133" t="str">
            <v>PTX1401</v>
          </cell>
          <cell r="H133">
            <v>43056</v>
          </cell>
          <cell r="I133">
            <v>49000</v>
          </cell>
          <cell r="T133" t="str">
            <v>ITY1203</v>
          </cell>
          <cell r="U133">
            <v>2</v>
          </cell>
          <cell r="V133">
            <v>2100</v>
          </cell>
          <cell r="W133">
            <v>1107</v>
          </cell>
          <cell r="X133">
            <v>0.52714285714285714</v>
          </cell>
          <cell r="Y133">
            <v>98000</v>
          </cell>
          <cell r="Z133">
            <v>138000</v>
          </cell>
          <cell r="AA133">
            <v>11100</v>
          </cell>
          <cell r="AB133">
            <v>13247</v>
          </cell>
        </row>
        <row r="134">
          <cell r="G134" t="str">
            <v>PTX2401</v>
          </cell>
          <cell r="H134">
            <v>43056</v>
          </cell>
          <cell r="I134">
            <v>49000</v>
          </cell>
          <cell r="T134" t="str">
            <v>ITY1204</v>
          </cell>
          <cell r="U134">
            <v>2</v>
          </cell>
          <cell r="V134">
            <v>2000</v>
          </cell>
          <cell r="W134">
            <v>1840</v>
          </cell>
          <cell r="X134">
            <v>0.92</v>
          </cell>
          <cell r="Y134">
            <v>98000</v>
          </cell>
          <cell r="Z134">
            <v>78000</v>
          </cell>
          <cell r="AA134">
            <v>8800</v>
          </cell>
          <cell r="AB134">
            <v>8129</v>
          </cell>
        </row>
        <row r="135">
          <cell r="G135" t="str">
            <v>PTX7402</v>
          </cell>
          <cell r="H135">
            <v>43056</v>
          </cell>
          <cell r="I135">
            <v>49000</v>
          </cell>
          <cell r="T135" t="str">
            <v>ITY1205</v>
          </cell>
          <cell r="U135">
            <v>5</v>
          </cell>
          <cell r="V135">
            <v>10200</v>
          </cell>
          <cell r="W135">
            <v>7253</v>
          </cell>
          <cell r="X135">
            <v>0.711078431372549</v>
          </cell>
          <cell r="Y135">
            <v>58000</v>
          </cell>
          <cell r="Z135">
            <v>58000</v>
          </cell>
          <cell r="AA135">
            <v>8900</v>
          </cell>
          <cell r="AB135">
            <v>7916</v>
          </cell>
        </row>
        <row r="136">
          <cell r="G136" t="str">
            <v>I0X5401</v>
          </cell>
          <cell r="H136">
            <v>43067</v>
          </cell>
          <cell r="I136">
            <v>197100</v>
          </cell>
          <cell r="U136">
            <v>70</v>
          </cell>
          <cell r="V136">
            <v>68150</v>
          </cell>
          <cell r="W136">
            <v>54807</v>
          </cell>
          <cell r="X136">
            <v>0.80421129860601615</v>
          </cell>
        </row>
        <row r="137">
          <cell r="G137" t="str">
            <v>I0X5402</v>
          </cell>
          <cell r="H137">
            <v>43067</v>
          </cell>
          <cell r="I137">
            <v>179100</v>
          </cell>
          <cell r="T137" t="str">
            <v>I0Y6201</v>
          </cell>
          <cell r="U137">
            <v>4</v>
          </cell>
          <cell r="V137">
            <v>4400</v>
          </cell>
          <cell r="W137">
            <v>4392</v>
          </cell>
          <cell r="X137">
            <v>0.99818181818181817</v>
          </cell>
          <cell r="Y137">
            <v>278000</v>
          </cell>
          <cell r="Z137">
            <v>278000</v>
          </cell>
          <cell r="AA137">
            <v>34100</v>
          </cell>
          <cell r="AB137">
            <v>32778</v>
          </cell>
        </row>
        <row r="138">
          <cell r="G138" t="str">
            <v>I0X5403</v>
          </cell>
          <cell r="H138">
            <v>43067</v>
          </cell>
          <cell r="I138">
            <v>233100</v>
          </cell>
          <cell r="T138" t="str">
            <v>I0Y6202</v>
          </cell>
          <cell r="U138">
            <v>2</v>
          </cell>
          <cell r="V138">
            <v>1800</v>
          </cell>
          <cell r="W138">
            <v>1439</v>
          </cell>
          <cell r="X138" t="str">
            <v>WK</v>
          </cell>
          <cell r="Y138">
            <v>278000</v>
          </cell>
          <cell r="Z138">
            <v>278000</v>
          </cell>
          <cell r="AA138">
            <v>31500</v>
          </cell>
          <cell r="AB138">
            <v>31755</v>
          </cell>
        </row>
        <row r="139">
          <cell r="G139" t="str">
            <v>I0X5404</v>
          </cell>
          <cell r="H139">
            <v>43067</v>
          </cell>
          <cell r="I139">
            <v>161100</v>
          </cell>
          <cell r="T139" t="str">
            <v>INY6201</v>
          </cell>
          <cell r="U139">
            <v>2</v>
          </cell>
          <cell r="V139">
            <v>800</v>
          </cell>
          <cell r="W139">
            <v>746</v>
          </cell>
          <cell r="X139">
            <v>0.9325</v>
          </cell>
          <cell r="Y139">
            <v>298000</v>
          </cell>
          <cell r="Z139">
            <v>298000</v>
          </cell>
          <cell r="AA139">
            <v>38000</v>
          </cell>
          <cell r="AB139">
            <v>36930</v>
          </cell>
        </row>
        <row r="140">
          <cell r="G140" t="str">
            <v>I0X6401</v>
          </cell>
          <cell r="H140">
            <v>43067</v>
          </cell>
          <cell r="I140">
            <v>143100</v>
          </cell>
          <cell r="T140" t="str">
            <v>INY6202</v>
          </cell>
          <cell r="U140">
            <v>2</v>
          </cell>
          <cell r="V140">
            <v>700</v>
          </cell>
          <cell r="W140">
            <v>615</v>
          </cell>
          <cell r="X140">
            <v>0.87857142857142856</v>
          </cell>
          <cell r="Y140">
            <v>258000</v>
          </cell>
          <cell r="Z140">
            <v>258000</v>
          </cell>
          <cell r="AA140">
            <v>30500</v>
          </cell>
          <cell r="AB140">
            <v>32399</v>
          </cell>
        </row>
        <row r="141">
          <cell r="G141" t="str">
            <v>I0X6402</v>
          </cell>
          <cell r="H141">
            <v>43067</v>
          </cell>
          <cell r="I141">
            <v>134100</v>
          </cell>
          <cell r="T141" t="str">
            <v>ITY6201</v>
          </cell>
          <cell r="U141">
            <v>2</v>
          </cell>
          <cell r="V141">
            <v>2200</v>
          </cell>
          <cell r="W141">
            <v>2015</v>
          </cell>
          <cell r="X141">
            <v>0.91590909090909089</v>
          </cell>
          <cell r="Y141">
            <v>278000</v>
          </cell>
          <cell r="Z141">
            <v>278000</v>
          </cell>
          <cell r="AA141">
            <v>31700</v>
          </cell>
          <cell r="AB141">
            <v>31407</v>
          </cell>
        </row>
        <row r="142">
          <cell r="G142" t="str">
            <v>I0X6404</v>
          </cell>
          <cell r="H142">
            <v>43067</v>
          </cell>
          <cell r="I142">
            <v>251100</v>
          </cell>
          <cell r="T142" t="str">
            <v>ITY6202</v>
          </cell>
          <cell r="U142">
            <v>2</v>
          </cell>
          <cell r="V142">
            <v>1100</v>
          </cell>
          <cell r="W142">
            <v>968</v>
          </cell>
          <cell r="X142">
            <v>0.88</v>
          </cell>
          <cell r="Y142">
            <v>278000</v>
          </cell>
          <cell r="Z142">
            <v>278000</v>
          </cell>
          <cell r="AA142">
            <v>31600</v>
          </cell>
          <cell r="AB142">
            <v>31020</v>
          </cell>
        </row>
        <row r="143">
          <cell r="G143" t="str">
            <v>I0XV401</v>
          </cell>
          <cell r="H143">
            <v>43067</v>
          </cell>
          <cell r="I143">
            <v>89100</v>
          </cell>
          <cell r="U143">
            <v>14</v>
          </cell>
          <cell r="V143">
            <v>11000</v>
          </cell>
          <cell r="W143">
            <v>10175</v>
          </cell>
          <cell r="X143">
            <v>0.92500000000000004</v>
          </cell>
        </row>
        <row r="144">
          <cell r="G144" t="str">
            <v>I0XV402</v>
          </cell>
          <cell r="H144">
            <v>43067</v>
          </cell>
          <cell r="I144">
            <v>152100</v>
          </cell>
          <cell r="T144" t="str">
            <v>I0YV201</v>
          </cell>
          <cell r="U144">
            <v>2</v>
          </cell>
          <cell r="V144">
            <v>1100</v>
          </cell>
          <cell r="W144">
            <v>1064</v>
          </cell>
          <cell r="X144">
            <v>0.96727272727272728</v>
          </cell>
          <cell r="Y144">
            <v>258000</v>
          </cell>
          <cell r="Z144">
            <v>238000</v>
          </cell>
          <cell r="AA144">
            <v>30700</v>
          </cell>
          <cell r="AB144">
            <v>27963</v>
          </cell>
        </row>
        <row r="145">
          <cell r="G145" t="str">
            <v>INX5401</v>
          </cell>
          <cell r="H145">
            <v>43067</v>
          </cell>
          <cell r="I145">
            <v>170100</v>
          </cell>
          <cell r="U145">
            <v>2</v>
          </cell>
          <cell r="V145">
            <v>1100</v>
          </cell>
          <cell r="W145">
            <v>1064</v>
          </cell>
          <cell r="X145">
            <v>0.96727272727272728</v>
          </cell>
        </row>
        <row r="146">
          <cell r="G146" t="str">
            <v>ITX9401</v>
          </cell>
          <cell r="H146">
            <v>43067</v>
          </cell>
          <cell r="I146">
            <v>224100</v>
          </cell>
          <cell r="T146" t="str">
            <v>ITY8201</v>
          </cell>
          <cell r="U146">
            <v>2</v>
          </cell>
          <cell r="V146">
            <v>800</v>
          </cell>
          <cell r="W146">
            <v>809</v>
          </cell>
          <cell r="X146">
            <v>1.01125</v>
          </cell>
          <cell r="Y146">
            <v>158000</v>
          </cell>
          <cell r="Z146">
            <v>138000</v>
          </cell>
          <cell r="AA146">
            <v>18200</v>
          </cell>
          <cell r="AB146">
            <v>15089</v>
          </cell>
        </row>
        <row r="147">
          <cell r="G147" t="str">
            <v>ITX9403</v>
          </cell>
          <cell r="H147">
            <v>43067</v>
          </cell>
          <cell r="I147">
            <v>269100</v>
          </cell>
          <cell r="T147" t="str">
            <v>ITY8202</v>
          </cell>
          <cell r="U147">
            <v>2</v>
          </cell>
          <cell r="V147">
            <v>900</v>
          </cell>
          <cell r="W147">
            <v>911</v>
          </cell>
          <cell r="X147">
            <v>1.0122222222222221</v>
          </cell>
          <cell r="Y147">
            <v>158000</v>
          </cell>
          <cell r="Z147">
            <v>178000</v>
          </cell>
          <cell r="AA147">
            <v>18200</v>
          </cell>
          <cell r="AB147">
            <v>18033</v>
          </cell>
        </row>
        <row r="148">
          <cell r="G148" t="str">
            <v>ITXC402</v>
          </cell>
          <cell r="H148">
            <v>43067</v>
          </cell>
          <cell r="I148">
            <v>314100</v>
          </cell>
          <cell r="T148" t="str">
            <v>ITY8203</v>
          </cell>
          <cell r="U148">
            <v>1</v>
          </cell>
          <cell r="V148">
            <v>550</v>
          </cell>
          <cell r="W148">
            <v>586</v>
          </cell>
          <cell r="X148">
            <v>1.0654545454545454</v>
          </cell>
          <cell r="Y148">
            <v>158000</v>
          </cell>
          <cell r="Z148">
            <v>158000</v>
          </cell>
          <cell r="AA148">
            <v>19600</v>
          </cell>
          <cell r="AB148">
            <v>17124</v>
          </cell>
        </row>
        <row r="149">
          <cell r="G149" t="str">
            <v>ITXT402</v>
          </cell>
          <cell r="H149">
            <v>43067</v>
          </cell>
          <cell r="I149">
            <v>305100</v>
          </cell>
          <cell r="T149" t="str">
            <v>ITY8204</v>
          </cell>
          <cell r="U149">
            <v>1</v>
          </cell>
          <cell r="V149">
            <v>550</v>
          </cell>
          <cell r="W149">
            <v>542</v>
          </cell>
          <cell r="X149">
            <v>0.98545454545454547</v>
          </cell>
          <cell r="Y149">
            <v>138000</v>
          </cell>
          <cell r="Z149">
            <v>158000</v>
          </cell>
          <cell r="AA149">
            <v>15000</v>
          </cell>
          <cell r="AB149">
            <v>15065</v>
          </cell>
        </row>
        <row r="150">
          <cell r="G150" t="str">
            <v>ITXT403</v>
          </cell>
          <cell r="H150">
            <v>43067</v>
          </cell>
          <cell r="I150">
            <v>269100</v>
          </cell>
          <cell r="T150" t="str">
            <v>ITY8205</v>
          </cell>
          <cell r="U150">
            <v>1</v>
          </cell>
          <cell r="V150">
            <v>700</v>
          </cell>
          <cell r="W150">
            <v>654</v>
          </cell>
          <cell r="X150">
            <v>0.93428571428571427</v>
          </cell>
          <cell r="Y150">
            <v>118000</v>
          </cell>
          <cell r="Z150">
            <v>158000</v>
          </cell>
          <cell r="AA150">
            <v>14700</v>
          </cell>
          <cell r="AB150">
            <v>13685</v>
          </cell>
        </row>
        <row r="151">
          <cell r="G151" t="str">
            <v>ITXV401</v>
          </cell>
          <cell r="H151">
            <v>43067</v>
          </cell>
          <cell r="I151">
            <v>89100</v>
          </cell>
          <cell r="T151" t="str">
            <v>ITY8206</v>
          </cell>
          <cell r="U151">
            <v>1</v>
          </cell>
          <cell r="V151">
            <v>600</v>
          </cell>
          <cell r="W151">
            <v>535</v>
          </cell>
          <cell r="X151">
            <v>0.89166666666666672</v>
          </cell>
          <cell r="Y151">
            <v>138000</v>
          </cell>
          <cell r="Z151">
            <v>138000</v>
          </cell>
          <cell r="AA151">
            <v>17300</v>
          </cell>
          <cell r="AB151">
            <v>17085</v>
          </cell>
        </row>
        <row r="152">
          <cell r="G152" t="str">
            <v>P0X5401</v>
          </cell>
          <cell r="H152">
            <v>43067</v>
          </cell>
          <cell r="I152">
            <v>179100</v>
          </cell>
          <cell r="T152" t="str">
            <v>ITY8207</v>
          </cell>
          <cell r="U152">
            <v>1</v>
          </cell>
          <cell r="V152">
            <v>450</v>
          </cell>
          <cell r="W152">
            <v>446</v>
          </cell>
          <cell r="X152">
            <v>0.99111111111111116</v>
          </cell>
          <cell r="Y152">
            <v>138000</v>
          </cell>
          <cell r="Z152">
            <v>158000</v>
          </cell>
          <cell r="AA152">
            <v>15900</v>
          </cell>
          <cell r="AB152">
            <v>15395</v>
          </cell>
        </row>
        <row r="153">
          <cell r="G153" t="str">
            <v>P0X5402</v>
          </cell>
          <cell r="H153">
            <v>43067</v>
          </cell>
          <cell r="I153">
            <v>179100</v>
          </cell>
          <cell r="T153" t="str">
            <v>ITY8208</v>
          </cell>
          <cell r="U153">
            <v>1</v>
          </cell>
          <cell r="V153">
            <v>700</v>
          </cell>
          <cell r="W153">
            <v>410</v>
          </cell>
          <cell r="X153">
            <v>0.58571428571428574</v>
          </cell>
          <cell r="Y153">
            <v>138000</v>
          </cell>
          <cell r="Z153">
            <v>138000</v>
          </cell>
          <cell r="AA153">
            <v>13200</v>
          </cell>
          <cell r="AB153">
            <v>11509</v>
          </cell>
        </row>
        <row r="154">
          <cell r="G154" t="str">
            <v>P0X6401</v>
          </cell>
          <cell r="H154">
            <v>43067</v>
          </cell>
          <cell r="I154">
            <v>107100</v>
          </cell>
          <cell r="T154" t="str">
            <v>ITY8209</v>
          </cell>
          <cell r="U154">
            <v>1</v>
          </cell>
          <cell r="V154">
            <v>400</v>
          </cell>
          <cell r="W154">
            <v>378</v>
          </cell>
          <cell r="X154">
            <v>0.94499999999999995</v>
          </cell>
          <cell r="Y154">
            <v>138000</v>
          </cell>
          <cell r="Z154">
            <v>138000</v>
          </cell>
          <cell r="AA154">
            <v>15000</v>
          </cell>
          <cell r="AB154">
            <v>14611</v>
          </cell>
        </row>
        <row r="155">
          <cell r="G155" t="str">
            <v>P0X6402</v>
          </cell>
          <cell r="H155">
            <v>43067</v>
          </cell>
          <cell r="I155">
            <v>143100</v>
          </cell>
          <cell r="U155">
            <v>11</v>
          </cell>
          <cell r="V155">
            <v>5650</v>
          </cell>
          <cell r="W155">
            <v>5271</v>
          </cell>
          <cell r="X155">
            <v>0.93292035398230089</v>
          </cell>
        </row>
        <row r="156">
          <cell r="G156" t="str">
            <v>P0X6404</v>
          </cell>
          <cell r="H156">
            <v>43067</v>
          </cell>
          <cell r="I156">
            <v>197100</v>
          </cell>
          <cell r="T156" t="str">
            <v>ITY9201</v>
          </cell>
          <cell r="U156">
            <v>1</v>
          </cell>
          <cell r="V156">
            <v>600</v>
          </cell>
          <cell r="W156">
            <v>464</v>
          </cell>
          <cell r="X156">
            <v>0.77333333333333332</v>
          </cell>
          <cell r="Y156">
            <v>338000</v>
          </cell>
          <cell r="Z156">
            <v>338000</v>
          </cell>
          <cell r="AA156">
            <v>41400</v>
          </cell>
          <cell r="AB156">
            <v>41933</v>
          </cell>
        </row>
        <row r="157">
          <cell r="G157" t="str">
            <v>P0XT401</v>
          </cell>
          <cell r="H157">
            <v>43067</v>
          </cell>
          <cell r="I157">
            <v>161100</v>
          </cell>
          <cell r="T157" t="str">
            <v>ITY9202</v>
          </cell>
          <cell r="U157">
            <v>2</v>
          </cell>
          <cell r="V157">
            <v>700</v>
          </cell>
          <cell r="W157">
            <v>694</v>
          </cell>
          <cell r="X157">
            <v>0.99142857142857144</v>
          </cell>
          <cell r="Y157">
            <v>398000</v>
          </cell>
          <cell r="Z157">
            <v>358000</v>
          </cell>
          <cell r="AA157">
            <v>45800</v>
          </cell>
          <cell r="AB157">
            <v>42857</v>
          </cell>
        </row>
        <row r="158">
          <cell r="G158" t="str">
            <v>P0XT402</v>
          </cell>
          <cell r="H158">
            <v>43067</v>
          </cell>
          <cell r="I158">
            <v>179100</v>
          </cell>
          <cell r="T158" t="str">
            <v>ITY9203</v>
          </cell>
          <cell r="U158">
            <v>1</v>
          </cell>
          <cell r="V158">
            <v>600</v>
          </cell>
          <cell r="W158">
            <v>600</v>
          </cell>
          <cell r="X158">
            <v>1</v>
          </cell>
          <cell r="Y158">
            <v>358000</v>
          </cell>
          <cell r="Z158">
            <v>358000</v>
          </cell>
          <cell r="AA158">
            <v>40700</v>
          </cell>
          <cell r="AB158">
            <v>40061</v>
          </cell>
        </row>
        <row r="159">
          <cell r="G159" t="str">
            <v>P0XT404</v>
          </cell>
          <cell r="H159">
            <v>43067</v>
          </cell>
          <cell r="I159">
            <v>269100</v>
          </cell>
          <cell r="T159" t="str">
            <v>ITY9204</v>
          </cell>
          <cell r="U159">
            <v>1</v>
          </cell>
          <cell r="V159">
            <v>700</v>
          </cell>
          <cell r="W159">
            <v>678</v>
          </cell>
          <cell r="X159">
            <v>0.96857142857142853</v>
          </cell>
          <cell r="Y159">
            <v>338000</v>
          </cell>
          <cell r="Z159">
            <v>358000</v>
          </cell>
          <cell r="AA159">
            <v>35500</v>
          </cell>
          <cell r="AB159">
            <v>35413</v>
          </cell>
        </row>
        <row r="160">
          <cell r="G160" t="str">
            <v>P0XV401</v>
          </cell>
          <cell r="H160">
            <v>43067</v>
          </cell>
          <cell r="I160">
            <v>80100</v>
          </cell>
          <cell r="T160" t="str">
            <v>ITY9205</v>
          </cell>
          <cell r="U160">
            <v>1</v>
          </cell>
          <cell r="V160">
            <v>400</v>
          </cell>
          <cell r="W160">
            <v>397</v>
          </cell>
          <cell r="X160">
            <v>0.99250000000000005</v>
          </cell>
          <cell r="Y160">
            <v>358000</v>
          </cell>
          <cell r="Z160">
            <v>358000</v>
          </cell>
          <cell r="AA160">
            <v>42100</v>
          </cell>
          <cell r="AB160">
            <v>41569</v>
          </cell>
        </row>
        <row r="161">
          <cell r="G161" t="str">
            <v>P0XV402</v>
          </cell>
          <cell r="H161">
            <v>43067</v>
          </cell>
          <cell r="I161">
            <v>89100</v>
          </cell>
          <cell r="T161" t="str">
            <v>ITY9206</v>
          </cell>
          <cell r="U161">
            <v>2</v>
          </cell>
          <cell r="V161">
            <v>900</v>
          </cell>
          <cell r="W161">
            <v>799</v>
          </cell>
          <cell r="X161">
            <v>0.88777777777777778</v>
          </cell>
          <cell r="Y161">
            <v>358000</v>
          </cell>
          <cell r="Z161">
            <v>378000</v>
          </cell>
          <cell r="AA161">
            <v>44700</v>
          </cell>
          <cell r="AB161">
            <v>46374</v>
          </cell>
        </row>
        <row r="162">
          <cell r="G162" t="str">
            <v>PNX5401</v>
          </cell>
          <cell r="H162">
            <v>43067</v>
          </cell>
          <cell r="I162">
            <v>134100</v>
          </cell>
          <cell r="U162">
            <v>8</v>
          </cell>
          <cell r="V162">
            <v>3900</v>
          </cell>
          <cell r="W162">
            <v>3632</v>
          </cell>
          <cell r="X162">
            <v>0.93128205128205133</v>
          </cell>
        </row>
        <row r="163">
          <cell r="G163" t="str">
            <v>PNX5402</v>
          </cell>
          <cell r="H163">
            <v>43067</v>
          </cell>
          <cell r="I163">
            <v>134100</v>
          </cell>
          <cell r="T163" t="str">
            <v>I0Y7201</v>
          </cell>
          <cell r="U163">
            <v>3</v>
          </cell>
          <cell r="V163">
            <v>6000</v>
          </cell>
          <cell r="W163">
            <v>5909</v>
          </cell>
          <cell r="X163">
            <v>0.98483333333333334</v>
          </cell>
          <cell r="Y163">
            <v>138000</v>
          </cell>
          <cell r="Z163">
            <v>158000</v>
          </cell>
          <cell r="AA163">
            <v>16900</v>
          </cell>
          <cell r="AB163">
            <v>16718</v>
          </cell>
        </row>
        <row r="164">
          <cell r="G164" t="str">
            <v>PNX6401</v>
          </cell>
          <cell r="H164">
            <v>43067</v>
          </cell>
          <cell r="I164">
            <v>161100</v>
          </cell>
          <cell r="T164" t="str">
            <v>I0Y7202</v>
          </cell>
          <cell r="U164">
            <v>3</v>
          </cell>
          <cell r="V164">
            <v>3200</v>
          </cell>
          <cell r="W164">
            <v>2989</v>
          </cell>
          <cell r="X164">
            <v>0.93406250000000002</v>
          </cell>
          <cell r="Y164">
            <v>138000</v>
          </cell>
          <cell r="Z164">
            <v>158000</v>
          </cell>
          <cell r="AA164">
            <v>14600</v>
          </cell>
          <cell r="AB164">
            <v>14566</v>
          </cell>
        </row>
        <row r="165">
          <cell r="G165" t="str">
            <v>PNX6402</v>
          </cell>
          <cell r="H165">
            <v>43067</v>
          </cell>
          <cell r="I165">
            <v>215100</v>
          </cell>
          <cell r="T165" t="str">
            <v>I0Y7203</v>
          </cell>
          <cell r="U165">
            <v>2</v>
          </cell>
          <cell r="V165">
            <v>2500</v>
          </cell>
          <cell r="W165">
            <v>2662</v>
          </cell>
          <cell r="X165">
            <v>1.0648</v>
          </cell>
          <cell r="Y165">
            <v>198000</v>
          </cell>
          <cell r="Z165">
            <v>198000</v>
          </cell>
          <cell r="AA165">
            <v>21000</v>
          </cell>
          <cell r="AB165">
            <v>18903</v>
          </cell>
        </row>
        <row r="166">
          <cell r="G166" t="str">
            <v>PTX5401</v>
          </cell>
          <cell r="H166">
            <v>43067</v>
          </cell>
          <cell r="I166">
            <v>80100</v>
          </cell>
          <cell r="T166" t="str">
            <v>I0Y7204</v>
          </cell>
          <cell r="U166">
            <v>1</v>
          </cell>
          <cell r="V166">
            <v>1200</v>
          </cell>
          <cell r="W166">
            <v>1302</v>
          </cell>
          <cell r="X166">
            <v>1.085</v>
          </cell>
          <cell r="Y166">
            <v>178000</v>
          </cell>
          <cell r="Z166">
            <v>178000</v>
          </cell>
          <cell r="AA166">
            <v>21400</v>
          </cell>
          <cell r="AB166">
            <v>21518</v>
          </cell>
        </row>
        <row r="167">
          <cell r="G167" t="str">
            <v>PTXC401</v>
          </cell>
          <cell r="H167">
            <v>43067</v>
          </cell>
          <cell r="I167">
            <v>332100</v>
          </cell>
          <cell r="T167" t="str">
            <v>I0Y7205</v>
          </cell>
          <cell r="U167">
            <v>3</v>
          </cell>
          <cell r="V167">
            <v>2300</v>
          </cell>
          <cell r="W167">
            <v>2370</v>
          </cell>
          <cell r="X167">
            <v>1.0304347826086957</v>
          </cell>
          <cell r="Y167">
            <v>98000</v>
          </cell>
          <cell r="Z167">
            <v>98000</v>
          </cell>
          <cell r="AA167">
            <v>11700</v>
          </cell>
          <cell r="AB167">
            <v>10675</v>
          </cell>
        </row>
        <row r="168">
          <cell r="G168" t="str">
            <v>PTXC402</v>
          </cell>
          <cell r="H168">
            <v>43067</v>
          </cell>
          <cell r="I168">
            <v>269100</v>
          </cell>
          <cell r="T168" t="str">
            <v>I0Y7206</v>
          </cell>
          <cell r="U168">
            <v>2</v>
          </cell>
          <cell r="V168">
            <v>1500</v>
          </cell>
          <cell r="W168">
            <v>1607</v>
          </cell>
          <cell r="X168">
            <v>1.0713333333333332</v>
          </cell>
          <cell r="Y168">
            <v>138000</v>
          </cell>
          <cell r="Z168">
            <v>138000</v>
          </cell>
          <cell r="AA168">
            <v>16600</v>
          </cell>
          <cell r="AB168">
            <v>15614</v>
          </cell>
        </row>
        <row r="169">
          <cell r="G169" t="str">
            <v>PTXT402</v>
          </cell>
          <cell r="H169">
            <v>43067</v>
          </cell>
          <cell r="I169">
            <v>269100</v>
          </cell>
          <cell r="T169" t="str">
            <v>I0Y7207</v>
          </cell>
          <cell r="U169">
            <v>3</v>
          </cell>
          <cell r="V169">
            <v>5400</v>
          </cell>
          <cell r="W169">
            <v>5450</v>
          </cell>
          <cell r="X169">
            <v>1.0092592592592593</v>
          </cell>
          <cell r="Y169">
            <v>108000</v>
          </cell>
          <cell r="Z169">
            <v>118000</v>
          </cell>
          <cell r="AA169">
            <v>14300</v>
          </cell>
          <cell r="AB169">
            <v>12732</v>
          </cell>
        </row>
        <row r="170">
          <cell r="G170" t="str">
            <v>I0X1404</v>
          </cell>
          <cell r="H170">
            <v>43077</v>
          </cell>
          <cell r="I170">
            <v>59000</v>
          </cell>
          <cell r="T170" t="str">
            <v>I0Y7208</v>
          </cell>
          <cell r="U170">
            <v>2</v>
          </cell>
          <cell r="V170">
            <v>2000</v>
          </cell>
          <cell r="W170">
            <v>2033</v>
          </cell>
          <cell r="X170">
            <v>1.0165</v>
          </cell>
          <cell r="Y170">
            <v>138000</v>
          </cell>
          <cell r="Z170">
            <v>118000</v>
          </cell>
          <cell r="AA170">
            <v>12000</v>
          </cell>
          <cell r="AB170">
            <v>13345</v>
          </cell>
        </row>
        <row r="171">
          <cell r="G171" t="str">
            <v>I0X6403</v>
          </cell>
          <cell r="H171">
            <v>43077</v>
          </cell>
          <cell r="I171">
            <v>179000</v>
          </cell>
          <cell r="T171" t="str">
            <v>INY7201</v>
          </cell>
          <cell r="U171">
            <v>2</v>
          </cell>
          <cell r="V171">
            <v>1200</v>
          </cell>
          <cell r="W171">
            <v>1189</v>
          </cell>
          <cell r="X171">
            <v>0.99083333333333334</v>
          </cell>
          <cell r="Y171">
            <v>218000</v>
          </cell>
          <cell r="Z171">
            <v>198000</v>
          </cell>
          <cell r="AA171">
            <v>20200</v>
          </cell>
          <cell r="AB171">
            <v>22305</v>
          </cell>
        </row>
        <row r="172">
          <cell r="G172" t="str">
            <v>INX1402</v>
          </cell>
          <cell r="H172">
            <v>43077</v>
          </cell>
          <cell r="I172">
            <v>59000</v>
          </cell>
          <cell r="T172" t="str">
            <v>INY7202</v>
          </cell>
          <cell r="U172">
            <v>1</v>
          </cell>
          <cell r="V172">
            <v>1200</v>
          </cell>
          <cell r="W172">
            <v>1145</v>
          </cell>
          <cell r="X172">
            <v>0.95416666666666672</v>
          </cell>
          <cell r="Y172">
            <v>218000</v>
          </cell>
          <cell r="Z172">
            <v>218000</v>
          </cell>
          <cell r="AA172">
            <v>26100</v>
          </cell>
          <cell r="AB172">
            <v>24232</v>
          </cell>
        </row>
        <row r="173">
          <cell r="G173" t="str">
            <v>INX6401</v>
          </cell>
          <cell r="H173">
            <v>43077</v>
          </cell>
          <cell r="I173">
            <v>179000</v>
          </cell>
          <cell r="T173" t="str">
            <v>INY7203</v>
          </cell>
          <cell r="U173">
            <v>2</v>
          </cell>
          <cell r="V173">
            <v>1400</v>
          </cell>
          <cell r="W173">
            <v>1426</v>
          </cell>
          <cell r="X173">
            <v>1.0185714285714285</v>
          </cell>
          <cell r="Y173">
            <v>218000</v>
          </cell>
          <cell r="Z173">
            <v>218000</v>
          </cell>
          <cell r="AA173">
            <v>27800</v>
          </cell>
          <cell r="AB173">
            <v>22046</v>
          </cell>
        </row>
        <row r="174">
          <cell r="G174" t="str">
            <v>INX7401</v>
          </cell>
          <cell r="H174">
            <v>43077</v>
          </cell>
          <cell r="I174">
            <v>79000</v>
          </cell>
          <cell r="T174" t="str">
            <v>ITY7201</v>
          </cell>
          <cell r="U174">
            <v>1</v>
          </cell>
          <cell r="V174">
            <v>2500</v>
          </cell>
          <cell r="W174">
            <v>2442</v>
          </cell>
          <cell r="X174">
            <v>0.9768</v>
          </cell>
          <cell r="Y174">
            <v>198000</v>
          </cell>
          <cell r="Z174">
            <v>198000</v>
          </cell>
          <cell r="AA174">
            <v>18600</v>
          </cell>
          <cell r="AB174">
            <v>18753</v>
          </cell>
        </row>
        <row r="175">
          <cell r="G175" t="str">
            <v>ITX6401</v>
          </cell>
          <cell r="H175">
            <v>43077</v>
          </cell>
          <cell r="I175">
            <v>219000</v>
          </cell>
          <cell r="T175" t="str">
            <v>ITY7202</v>
          </cell>
          <cell r="U175">
            <v>2</v>
          </cell>
          <cell r="V175">
            <v>2300</v>
          </cell>
          <cell r="W175">
            <v>1460</v>
          </cell>
          <cell r="X175">
            <v>0.63478260869565217</v>
          </cell>
          <cell r="Y175">
            <v>198000</v>
          </cell>
          <cell r="Z175">
            <v>198000</v>
          </cell>
          <cell r="AA175">
            <v>17800</v>
          </cell>
          <cell r="AB175">
            <v>19370</v>
          </cell>
        </row>
        <row r="176">
          <cell r="G176" t="str">
            <v>ITX6402</v>
          </cell>
          <cell r="H176">
            <v>43077</v>
          </cell>
          <cell r="I176">
            <v>499000</v>
          </cell>
          <cell r="T176" t="str">
            <v>ITY7203</v>
          </cell>
          <cell r="U176">
            <v>1</v>
          </cell>
          <cell r="V176">
            <v>1900</v>
          </cell>
          <cell r="W176">
            <v>1804</v>
          </cell>
          <cell r="X176">
            <v>0.94947368421052636</v>
          </cell>
          <cell r="Y176">
            <v>198000</v>
          </cell>
          <cell r="Z176">
            <v>198000</v>
          </cell>
          <cell r="AA176">
            <v>17900</v>
          </cell>
          <cell r="AB176">
            <v>18394</v>
          </cell>
        </row>
        <row r="177">
          <cell r="G177" t="str">
            <v>ITX6403</v>
          </cell>
          <cell r="H177">
            <v>43077</v>
          </cell>
          <cell r="I177">
            <v>499000</v>
          </cell>
          <cell r="T177" t="str">
            <v>ITY7204</v>
          </cell>
          <cell r="U177">
            <v>1</v>
          </cell>
          <cell r="V177">
            <v>1000</v>
          </cell>
          <cell r="W177">
            <v>1031</v>
          </cell>
          <cell r="X177">
            <v>1.0309999999999999</v>
          </cell>
          <cell r="Y177">
            <v>178000</v>
          </cell>
          <cell r="Z177">
            <v>178000</v>
          </cell>
          <cell r="AA177">
            <v>19600</v>
          </cell>
          <cell r="AB177">
            <v>19479</v>
          </cell>
        </row>
        <row r="178">
          <cell r="G178" t="str">
            <v>ITX7401</v>
          </cell>
          <cell r="H178">
            <v>43077</v>
          </cell>
          <cell r="I178">
            <v>79000</v>
          </cell>
          <cell r="T178" t="str">
            <v>ITY7205</v>
          </cell>
          <cell r="U178">
            <v>1</v>
          </cell>
          <cell r="V178">
            <v>1500</v>
          </cell>
          <cell r="W178">
            <v>1497</v>
          </cell>
          <cell r="X178">
            <v>0.998</v>
          </cell>
          <cell r="Y178">
            <v>198000</v>
          </cell>
          <cell r="Z178">
            <v>198000</v>
          </cell>
          <cell r="AA178">
            <v>23000</v>
          </cell>
          <cell r="AB178">
            <v>26032</v>
          </cell>
        </row>
        <row r="179">
          <cell r="G179" t="str">
            <v>ITX9402</v>
          </cell>
          <cell r="H179">
            <v>43077</v>
          </cell>
          <cell r="I179">
            <v>199000</v>
          </cell>
          <cell r="T179" t="str">
            <v>ITY7206</v>
          </cell>
          <cell r="U179">
            <v>2</v>
          </cell>
          <cell r="V179">
            <v>2400</v>
          </cell>
          <cell r="W179">
            <v>2373</v>
          </cell>
          <cell r="X179">
            <v>0.98875000000000002</v>
          </cell>
          <cell r="Y179">
            <v>118000</v>
          </cell>
          <cell r="Z179">
            <v>138000</v>
          </cell>
          <cell r="AA179">
            <v>14400</v>
          </cell>
          <cell r="AB179">
            <v>13643</v>
          </cell>
        </row>
        <row r="180">
          <cell r="G180" t="str">
            <v>ITX9404</v>
          </cell>
          <cell r="H180">
            <v>43077</v>
          </cell>
          <cell r="I180">
            <v>229000</v>
          </cell>
          <cell r="U180">
            <v>32</v>
          </cell>
          <cell r="V180">
            <v>39500</v>
          </cell>
          <cell r="W180">
            <v>38689</v>
          </cell>
          <cell r="X180">
            <v>0.97946835443037972</v>
          </cell>
        </row>
        <row r="181">
          <cell r="G181" t="str">
            <v>ITXC401</v>
          </cell>
          <cell r="H181">
            <v>43077</v>
          </cell>
          <cell r="I181">
            <v>229000</v>
          </cell>
          <cell r="T181" t="str">
            <v>남성여름계</v>
          </cell>
          <cell r="U181">
            <v>137</v>
          </cell>
          <cell r="V181">
            <v>129300</v>
          </cell>
          <cell r="W181">
            <v>113638</v>
          </cell>
          <cell r="X181">
            <v>0.87887084300077345</v>
          </cell>
        </row>
        <row r="182">
          <cell r="G182" t="str">
            <v>ITXT401</v>
          </cell>
          <cell r="H182">
            <v>43077</v>
          </cell>
          <cell r="I182">
            <v>229000</v>
          </cell>
          <cell r="T182" t="str">
            <v>P0Y1201</v>
          </cell>
          <cell r="U182">
            <v>6</v>
          </cell>
          <cell r="V182">
            <v>5700</v>
          </cell>
          <cell r="W182">
            <v>4275</v>
          </cell>
          <cell r="X182">
            <v>0.75</v>
          </cell>
          <cell r="Y182">
            <v>78000</v>
          </cell>
          <cell r="Z182">
            <v>78000</v>
          </cell>
          <cell r="AA182">
            <v>9700</v>
          </cell>
          <cell r="AB182">
            <v>8211</v>
          </cell>
        </row>
        <row r="183">
          <cell r="G183" t="str">
            <v>P0X1404</v>
          </cell>
          <cell r="H183">
            <v>43077</v>
          </cell>
          <cell r="I183">
            <v>59000</v>
          </cell>
          <cell r="T183" t="str">
            <v>P0Y1202</v>
          </cell>
          <cell r="U183">
            <v>4</v>
          </cell>
          <cell r="V183">
            <v>6000</v>
          </cell>
          <cell r="W183">
            <v>1965</v>
          </cell>
          <cell r="X183">
            <v>0.32750000000000001</v>
          </cell>
          <cell r="Y183">
            <v>98000</v>
          </cell>
          <cell r="Z183">
            <v>98000</v>
          </cell>
          <cell r="AA183">
            <v>12100</v>
          </cell>
          <cell r="AB183">
            <v>10806</v>
          </cell>
        </row>
        <row r="184">
          <cell r="G184" t="str">
            <v>P0X6403</v>
          </cell>
          <cell r="H184">
            <v>43077</v>
          </cell>
          <cell r="I184">
            <v>179000</v>
          </cell>
          <cell r="T184" t="str">
            <v>P0Y1203</v>
          </cell>
          <cell r="U184">
            <v>2</v>
          </cell>
          <cell r="V184">
            <v>1500</v>
          </cell>
          <cell r="W184">
            <v>1626</v>
          </cell>
          <cell r="X184">
            <v>1.0840000000000001</v>
          </cell>
          <cell r="Y184">
            <v>118000</v>
          </cell>
          <cell r="Z184">
            <v>118000</v>
          </cell>
          <cell r="AA184">
            <v>12900</v>
          </cell>
          <cell r="AB184">
            <v>12917</v>
          </cell>
        </row>
        <row r="185">
          <cell r="G185" t="str">
            <v>P0X7406</v>
          </cell>
          <cell r="H185">
            <v>43077</v>
          </cell>
          <cell r="I185">
            <v>79000</v>
          </cell>
          <cell r="T185" t="str">
            <v>P0Y1204</v>
          </cell>
          <cell r="U185">
            <v>2</v>
          </cell>
          <cell r="V185">
            <v>1600</v>
          </cell>
          <cell r="W185">
            <v>1602</v>
          </cell>
          <cell r="X185">
            <v>1.00125</v>
          </cell>
          <cell r="Y185">
            <v>138000</v>
          </cell>
          <cell r="Z185">
            <v>118000</v>
          </cell>
          <cell r="AA185">
            <v>12200</v>
          </cell>
          <cell r="AB185">
            <v>12177</v>
          </cell>
        </row>
        <row r="186">
          <cell r="G186" t="str">
            <v>P0XT403</v>
          </cell>
          <cell r="H186">
            <v>43077</v>
          </cell>
          <cell r="I186">
            <v>199000</v>
          </cell>
          <cell r="T186" t="str">
            <v>P0Y1205</v>
          </cell>
          <cell r="U186">
            <v>2</v>
          </cell>
          <cell r="V186">
            <v>2000</v>
          </cell>
          <cell r="W186">
            <v>597</v>
          </cell>
          <cell r="X186">
            <v>0.29849999999999999</v>
          </cell>
          <cell r="Y186">
            <v>158000</v>
          </cell>
          <cell r="Z186">
            <v>138000</v>
          </cell>
          <cell r="AA186">
            <v>17100</v>
          </cell>
          <cell r="AB186">
            <v>13579</v>
          </cell>
        </row>
        <row r="187">
          <cell r="G187" t="str">
            <v>P0XV403</v>
          </cell>
          <cell r="H187">
            <v>43077</v>
          </cell>
          <cell r="I187">
            <v>12900</v>
          </cell>
          <cell r="T187" t="str">
            <v>P0Y1206</v>
          </cell>
          <cell r="U187">
            <v>2</v>
          </cell>
          <cell r="V187">
            <v>2400</v>
          </cell>
          <cell r="W187">
            <v>2360</v>
          </cell>
          <cell r="X187">
            <v>0.98333333333333328</v>
          </cell>
          <cell r="Y187">
            <v>158000</v>
          </cell>
          <cell r="Z187">
            <v>158000</v>
          </cell>
          <cell r="AA187">
            <v>16700</v>
          </cell>
          <cell r="AB187">
            <v>15207</v>
          </cell>
        </row>
        <row r="188">
          <cell r="G188" t="str">
            <v>PNXQ401</v>
          </cell>
          <cell r="H188">
            <v>43077</v>
          </cell>
          <cell r="I188">
            <v>69000</v>
          </cell>
          <cell r="T188" t="str">
            <v>P0Y1207</v>
          </cell>
          <cell r="U188">
            <v>2</v>
          </cell>
          <cell r="V188">
            <v>2500</v>
          </cell>
          <cell r="W188">
            <v>0</v>
          </cell>
          <cell r="X188">
            <v>0</v>
          </cell>
          <cell r="Y188">
            <v>158000</v>
          </cell>
          <cell r="Z188">
            <v>158000</v>
          </cell>
          <cell r="AA188">
            <v>17700</v>
          </cell>
          <cell r="AB188">
            <v>16258</v>
          </cell>
        </row>
        <row r="189">
          <cell r="G189" t="str">
            <v>PNXV401</v>
          </cell>
          <cell r="H189">
            <v>43077</v>
          </cell>
          <cell r="I189">
            <v>99000</v>
          </cell>
          <cell r="T189" t="str">
            <v>P0Y1209</v>
          </cell>
          <cell r="U189">
            <v>2</v>
          </cell>
          <cell r="V189">
            <v>2900</v>
          </cell>
          <cell r="W189">
            <v>0</v>
          </cell>
          <cell r="X189">
            <v>0</v>
          </cell>
          <cell r="Y189">
            <v>158000</v>
          </cell>
          <cell r="AA189">
            <v>15800</v>
          </cell>
        </row>
        <row r="190">
          <cell r="G190" t="str">
            <v>PTX7403</v>
          </cell>
          <cell r="H190">
            <v>43077</v>
          </cell>
          <cell r="I190">
            <v>49000</v>
          </cell>
          <cell r="T190" t="str">
            <v>P0Y1210</v>
          </cell>
          <cell r="U190">
            <v>2</v>
          </cell>
          <cell r="V190">
            <v>2800</v>
          </cell>
          <cell r="W190">
            <v>2785</v>
          </cell>
          <cell r="X190">
            <v>0.99464285714285716</v>
          </cell>
          <cell r="Y190">
            <v>158000</v>
          </cell>
          <cell r="Z190">
            <v>138000</v>
          </cell>
          <cell r="AA190">
            <v>15100</v>
          </cell>
          <cell r="AB190">
            <v>15755</v>
          </cell>
        </row>
        <row r="191">
          <cell r="G191" t="str">
            <v>PTXT401</v>
          </cell>
          <cell r="H191">
            <v>43077</v>
          </cell>
          <cell r="I191">
            <v>179000</v>
          </cell>
          <cell r="T191" t="str">
            <v>P0Y1211</v>
          </cell>
          <cell r="U191">
            <v>2</v>
          </cell>
          <cell r="V191">
            <v>1200</v>
          </cell>
          <cell r="W191">
            <v>956</v>
          </cell>
          <cell r="X191">
            <v>0.79666666666666663</v>
          </cell>
          <cell r="Y191">
            <v>158000</v>
          </cell>
          <cell r="Z191">
            <v>138000</v>
          </cell>
          <cell r="AA191">
            <v>15200</v>
          </cell>
          <cell r="AB191">
            <v>14305</v>
          </cell>
        </row>
        <row r="192">
          <cell r="G192" t="str">
            <v>PTXT403</v>
          </cell>
          <cell r="H192">
            <v>43077</v>
          </cell>
          <cell r="I192">
            <v>499000</v>
          </cell>
          <cell r="T192" t="str">
            <v>P0Y1212</v>
          </cell>
          <cell r="U192">
            <v>2</v>
          </cell>
          <cell r="V192">
            <v>2100</v>
          </cell>
          <cell r="W192">
            <v>2143</v>
          </cell>
          <cell r="X192">
            <v>1.0204761904761905</v>
          </cell>
          <cell r="Y192">
            <v>138000</v>
          </cell>
          <cell r="Z192">
            <v>138000</v>
          </cell>
          <cell r="AA192">
            <v>11600</v>
          </cell>
          <cell r="AB192">
            <v>12027</v>
          </cell>
        </row>
        <row r="193">
          <cell r="G193" t="str">
            <v>INY6102</v>
          </cell>
          <cell r="H193">
            <v>43207</v>
          </cell>
          <cell r="I193">
            <v>119000</v>
          </cell>
          <cell r="T193" t="str">
            <v>P0Y1213</v>
          </cell>
          <cell r="U193">
            <v>1</v>
          </cell>
          <cell r="V193">
            <v>600</v>
          </cell>
          <cell r="W193">
            <v>632</v>
          </cell>
          <cell r="X193">
            <v>1.0533333333333332</v>
          </cell>
          <cell r="Y193">
            <v>158000</v>
          </cell>
          <cell r="Z193">
            <v>138000</v>
          </cell>
          <cell r="AA193">
            <v>16200</v>
          </cell>
          <cell r="AB193">
            <v>15296</v>
          </cell>
        </row>
        <row r="194">
          <cell r="G194" t="str">
            <v>INY6103</v>
          </cell>
          <cell r="H194">
            <v>43207</v>
          </cell>
          <cell r="I194">
            <v>129000</v>
          </cell>
          <cell r="T194" t="str">
            <v>P0Y1214</v>
          </cell>
          <cell r="U194">
            <v>2</v>
          </cell>
          <cell r="V194">
            <v>2000</v>
          </cell>
          <cell r="W194">
            <v>1150</v>
          </cell>
          <cell r="X194">
            <v>0.57499999999999996</v>
          </cell>
          <cell r="Y194">
            <v>138000</v>
          </cell>
          <cell r="Z194">
            <v>158000</v>
          </cell>
          <cell r="AA194">
            <v>15300</v>
          </cell>
          <cell r="AB194">
            <v>16294</v>
          </cell>
        </row>
        <row r="195">
          <cell r="G195" t="str">
            <v>INY7101</v>
          </cell>
          <cell r="H195">
            <v>43207</v>
          </cell>
          <cell r="I195">
            <v>79000</v>
          </cell>
          <cell r="T195" t="str">
            <v>P0Y1215</v>
          </cell>
          <cell r="U195">
            <v>2</v>
          </cell>
          <cell r="V195">
            <v>1400</v>
          </cell>
          <cell r="W195">
            <v>1144</v>
          </cell>
          <cell r="X195">
            <v>0.81714285714285717</v>
          </cell>
          <cell r="Y195">
            <v>158000</v>
          </cell>
          <cell r="Z195">
            <v>158000</v>
          </cell>
          <cell r="AA195">
            <v>14900</v>
          </cell>
          <cell r="AB195">
            <v>16606</v>
          </cell>
        </row>
        <row r="196">
          <cell r="G196" t="str">
            <v>INY7102</v>
          </cell>
          <cell r="H196">
            <v>43207</v>
          </cell>
          <cell r="I196">
            <v>89000</v>
          </cell>
          <cell r="T196" t="str">
            <v>P0Y1216</v>
          </cell>
          <cell r="U196">
            <v>2</v>
          </cell>
          <cell r="V196">
            <v>1200</v>
          </cell>
          <cell r="W196">
            <v>600</v>
          </cell>
          <cell r="X196">
            <v>0.5</v>
          </cell>
          <cell r="Y196">
            <v>158000</v>
          </cell>
          <cell r="Z196">
            <v>158000</v>
          </cell>
          <cell r="AA196">
            <v>15400</v>
          </cell>
          <cell r="AB196">
            <v>14190</v>
          </cell>
        </row>
        <row r="197">
          <cell r="G197" t="str">
            <v>ITY7101</v>
          </cell>
          <cell r="H197">
            <v>43207</v>
          </cell>
          <cell r="I197">
            <v>79000</v>
          </cell>
          <cell r="T197" t="str">
            <v>P0Y1217</v>
          </cell>
          <cell r="U197">
            <v>2</v>
          </cell>
          <cell r="V197">
            <v>2500</v>
          </cell>
          <cell r="W197">
            <v>2474</v>
          </cell>
          <cell r="X197">
            <v>0.98960000000000004</v>
          </cell>
          <cell r="Y197">
            <v>138000</v>
          </cell>
          <cell r="Z197">
            <v>138000</v>
          </cell>
          <cell r="AA197">
            <v>14300</v>
          </cell>
          <cell r="AB197">
            <v>15200</v>
          </cell>
        </row>
        <row r="198">
          <cell r="G198" t="str">
            <v>ITY7102</v>
          </cell>
          <cell r="H198">
            <v>43207</v>
          </cell>
          <cell r="I198">
            <v>69000</v>
          </cell>
          <cell r="T198" t="str">
            <v>P0Y1218</v>
          </cell>
          <cell r="U198">
            <v>2</v>
          </cell>
          <cell r="V198">
            <v>2000</v>
          </cell>
          <cell r="W198">
            <v>2098</v>
          </cell>
          <cell r="X198">
            <v>1.0489999999999999</v>
          </cell>
          <cell r="Y198">
            <v>78000</v>
          </cell>
          <cell r="Z198">
            <v>78000</v>
          </cell>
          <cell r="AA198">
            <v>8500</v>
          </cell>
          <cell r="AB198">
            <v>7633</v>
          </cell>
        </row>
        <row r="199">
          <cell r="G199" t="str">
            <v>ITY8102</v>
          </cell>
          <cell r="H199">
            <v>43207</v>
          </cell>
          <cell r="I199">
            <v>59000</v>
          </cell>
          <cell r="T199" t="str">
            <v>P0Y1219</v>
          </cell>
          <cell r="U199">
            <v>1</v>
          </cell>
          <cell r="V199">
            <v>800</v>
          </cell>
          <cell r="W199">
            <v>754</v>
          </cell>
          <cell r="X199">
            <v>0.9425</v>
          </cell>
          <cell r="Y199">
            <v>78000</v>
          </cell>
          <cell r="Z199">
            <v>78000</v>
          </cell>
          <cell r="AA199">
            <v>8000</v>
          </cell>
          <cell r="AB199">
            <v>7649</v>
          </cell>
        </row>
        <row r="200">
          <cell r="G200" t="str">
            <v>ITY8103</v>
          </cell>
          <cell r="H200">
            <v>43207</v>
          </cell>
          <cell r="I200">
            <v>59000</v>
          </cell>
          <cell r="T200" t="str">
            <v>P0Y1222</v>
          </cell>
          <cell r="U200">
            <v>2</v>
          </cell>
          <cell r="V200">
            <v>1400</v>
          </cell>
          <cell r="W200">
            <v>1421</v>
          </cell>
          <cell r="X200">
            <v>1.0149999999999999</v>
          </cell>
          <cell r="Y200">
            <v>138000</v>
          </cell>
          <cell r="Z200">
            <v>118000</v>
          </cell>
          <cell r="AA200">
            <v>14000</v>
          </cell>
          <cell r="AB200">
            <v>15947</v>
          </cell>
        </row>
        <row r="201">
          <cell r="G201" t="str">
            <v>ITY8104</v>
          </cell>
          <cell r="H201">
            <v>43207</v>
          </cell>
          <cell r="I201">
            <v>69000</v>
          </cell>
          <cell r="T201" t="str">
            <v>P0Y1223</v>
          </cell>
          <cell r="U201">
            <v>2</v>
          </cell>
          <cell r="V201">
            <v>900</v>
          </cell>
          <cell r="W201">
            <v>893</v>
          </cell>
          <cell r="X201">
            <v>0.99222222222222223</v>
          </cell>
          <cell r="Y201">
            <v>118000</v>
          </cell>
          <cell r="Z201">
            <v>118000</v>
          </cell>
          <cell r="AA201">
            <v>12700</v>
          </cell>
          <cell r="AB201">
            <v>13782</v>
          </cell>
        </row>
        <row r="202">
          <cell r="G202" t="str">
            <v>ITY9101</v>
          </cell>
          <cell r="H202">
            <v>43207</v>
          </cell>
          <cell r="I202">
            <v>139000</v>
          </cell>
          <cell r="T202" t="str">
            <v>P0Y1224</v>
          </cell>
          <cell r="U202">
            <v>2</v>
          </cell>
          <cell r="V202">
            <v>1000</v>
          </cell>
          <cell r="W202">
            <v>1022</v>
          </cell>
          <cell r="X202">
            <v>1.022</v>
          </cell>
          <cell r="Y202">
            <v>178000</v>
          </cell>
          <cell r="Z202">
            <v>178000</v>
          </cell>
          <cell r="AA202">
            <v>19500</v>
          </cell>
          <cell r="AB202">
            <v>19191</v>
          </cell>
        </row>
        <row r="203">
          <cell r="G203" t="str">
            <v>P0Y1105</v>
          </cell>
          <cell r="H203">
            <v>43207</v>
          </cell>
          <cell r="I203">
            <v>59000</v>
          </cell>
          <cell r="T203" t="str">
            <v>PTY1201</v>
          </cell>
          <cell r="U203">
            <v>2</v>
          </cell>
          <cell r="V203">
            <v>1400</v>
          </cell>
          <cell r="W203">
            <v>0</v>
          </cell>
          <cell r="X203">
            <v>0</v>
          </cell>
          <cell r="Y203">
            <v>158000</v>
          </cell>
          <cell r="AA203">
            <v>15300</v>
          </cell>
        </row>
        <row r="204">
          <cell r="G204" t="str">
            <v>P0Y5101</v>
          </cell>
          <cell r="H204">
            <v>43207</v>
          </cell>
          <cell r="I204">
            <v>129000</v>
          </cell>
          <cell r="T204" t="str">
            <v>PTY1202</v>
          </cell>
          <cell r="U204">
            <v>2</v>
          </cell>
          <cell r="V204">
            <v>3200</v>
          </cell>
          <cell r="W204">
            <v>1010</v>
          </cell>
          <cell r="X204">
            <v>0.31562499999999999</v>
          </cell>
          <cell r="Y204">
            <v>78000</v>
          </cell>
          <cell r="Z204">
            <v>98000</v>
          </cell>
          <cell r="AA204">
            <v>9800</v>
          </cell>
          <cell r="AB204">
            <v>10222</v>
          </cell>
        </row>
        <row r="205">
          <cell r="G205" t="str">
            <v>P0Y6102</v>
          </cell>
          <cell r="H205">
            <v>43207</v>
          </cell>
          <cell r="I205">
            <v>129000</v>
          </cell>
          <cell r="T205" t="str">
            <v>PTY1203</v>
          </cell>
          <cell r="U205">
            <v>2</v>
          </cell>
          <cell r="V205">
            <v>2900</v>
          </cell>
          <cell r="W205">
            <v>2894</v>
          </cell>
          <cell r="X205">
            <v>0.99793103448275866</v>
          </cell>
          <cell r="Y205">
            <v>98000</v>
          </cell>
          <cell r="Z205">
            <v>78000</v>
          </cell>
          <cell r="AA205">
            <v>10100</v>
          </cell>
          <cell r="AB205">
            <v>9545</v>
          </cell>
        </row>
        <row r="206">
          <cell r="G206" t="str">
            <v>P0Y7103</v>
          </cell>
          <cell r="H206">
            <v>43207</v>
          </cell>
          <cell r="I206">
            <v>69000</v>
          </cell>
          <cell r="T206" t="str">
            <v>PTY1205</v>
          </cell>
          <cell r="U206">
            <v>2</v>
          </cell>
          <cell r="V206">
            <v>2000</v>
          </cell>
          <cell r="W206">
            <v>773</v>
          </cell>
          <cell r="X206">
            <v>0.38650000000000001</v>
          </cell>
          <cell r="Y206">
            <v>58000</v>
          </cell>
          <cell r="Z206">
            <v>78000</v>
          </cell>
          <cell r="AA206">
            <v>10500</v>
          </cell>
          <cell r="AB206">
            <v>10107</v>
          </cell>
        </row>
        <row r="207">
          <cell r="G207" t="str">
            <v>PNY1102</v>
          </cell>
          <cell r="H207">
            <v>43207</v>
          </cell>
          <cell r="I207">
            <v>49000</v>
          </cell>
          <cell r="T207" t="str">
            <v>PNY1201</v>
          </cell>
          <cell r="U207">
            <v>3</v>
          </cell>
          <cell r="V207">
            <v>1300</v>
          </cell>
          <cell r="W207">
            <v>1191</v>
          </cell>
          <cell r="X207">
            <v>0.91615384615384621</v>
          </cell>
          <cell r="Y207">
            <v>138000</v>
          </cell>
          <cell r="Z207">
            <v>118000</v>
          </cell>
          <cell r="AA207">
            <v>13400</v>
          </cell>
          <cell r="AB207">
            <v>12507</v>
          </cell>
        </row>
        <row r="208">
          <cell r="G208" t="str">
            <v>PNY1103</v>
          </cell>
          <cell r="H208">
            <v>43207</v>
          </cell>
          <cell r="I208">
            <v>49000</v>
          </cell>
          <cell r="T208" t="str">
            <v>PNY1202</v>
          </cell>
          <cell r="U208">
            <v>2</v>
          </cell>
          <cell r="V208">
            <v>1000</v>
          </cell>
          <cell r="W208">
            <v>952</v>
          </cell>
          <cell r="X208">
            <v>0.95199999999999996</v>
          </cell>
          <cell r="Y208">
            <v>158000</v>
          </cell>
          <cell r="Z208">
            <v>138000</v>
          </cell>
          <cell r="AA208">
            <v>13400</v>
          </cell>
          <cell r="AB208">
            <v>13271</v>
          </cell>
        </row>
        <row r="209">
          <cell r="G209" t="str">
            <v>PNY6102</v>
          </cell>
          <cell r="H209">
            <v>43207</v>
          </cell>
          <cell r="I209">
            <v>139000</v>
          </cell>
          <cell r="T209" t="str">
            <v>PNY1203</v>
          </cell>
          <cell r="U209">
            <v>2</v>
          </cell>
          <cell r="V209">
            <v>900</v>
          </cell>
          <cell r="W209">
            <v>850</v>
          </cell>
          <cell r="X209">
            <v>0.94444444444444442</v>
          </cell>
          <cell r="Y209">
            <v>138000</v>
          </cell>
          <cell r="Z209">
            <v>118000</v>
          </cell>
          <cell r="AA209">
            <v>13300</v>
          </cell>
          <cell r="AB209">
            <v>12607</v>
          </cell>
        </row>
        <row r="210">
          <cell r="G210" t="str">
            <v>PTY7101</v>
          </cell>
          <cell r="H210">
            <v>43207</v>
          </cell>
          <cell r="I210">
            <v>39000</v>
          </cell>
          <cell r="T210" t="str">
            <v>PNY1204</v>
          </cell>
          <cell r="U210">
            <v>1</v>
          </cell>
          <cell r="V210">
            <v>400</v>
          </cell>
          <cell r="W210">
            <v>413</v>
          </cell>
          <cell r="X210">
            <v>1.0325</v>
          </cell>
          <cell r="Y210">
            <v>138000</v>
          </cell>
          <cell r="Z210">
            <v>138000</v>
          </cell>
          <cell r="AA210">
            <v>16400</v>
          </cell>
          <cell r="AB210">
            <v>16776</v>
          </cell>
        </row>
        <row r="211">
          <cell r="G211" t="str">
            <v>PTY8101</v>
          </cell>
          <cell r="H211">
            <v>43207</v>
          </cell>
          <cell r="I211">
            <v>89000</v>
          </cell>
          <cell r="T211" t="str">
            <v>PNY1205</v>
          </cell>
          <cell r="U211">
            <v>1</v>
          </cell>
          <cell r="V211">
            <v>600</v>
          </cell>
          <cell r="W211">
            <v>615</v>
          </cell>
          <cell r="X211">
            <v>1.0249999999999999</v>
          </cell>
          <cell r="Y211">
            <v>138000</v>
          </cell>
          <cell r="Z211">
            <v>138000</v>
          </cell>
          <cell r="AA211">
            <v>16400</v>
          </cell>
          <cell r="AB211">
            <v>17009</v>
          </cell>
        </row>
        <row r="212">
          <cell r="G212" t="str">
            <v>I0Y1204</v>
          </cell>
          <cell r="H212">
            <v>43256</v>
          </cell>
          <cell r="I212">
            <v>49000</v>
          </cell>
          <cell r="U212">
            <v>63</v>
          </cell>
          <cell r="V212">
            <v>58200</v>
          </cell>
          <cell r="W212">
            <v>39195</v>
          </cell>
          <cell r="X212">
            <v>0.67345360824742273</v>
          </cell>
        </row>
        <row r="213">
          <cell r="G213" t="str">
            <v>I0Y1205</v>
          </cell>
          <cell r="H213">
            <v>43256</v>
          </cell>
          <cell r="I213">
            <v>59000</v>
          </cell>
          <cell r="T213" t="str">
            <v>PTY8201</v>
          </cell>
          <cell r="U213">
            <v>2</v>
          </cell>
          <cell r="V213">
            <v>1600</v>
          </cell>
          <cell r="W213">
            <v>1199</v>
          </cell>
          <cell r="X213">
            <v>0.74937500000000001</v>
          </cell>
          <cell r="Y213">
            <v>178000</v>
          </cell>
          <cell r="Z213">
            <v>198000</v>
          </cell>
          <cell r="AA213">
            <v>21300</v>
          </cell>
          <cell r="AB213">
            <v>23287</v>
          </cell>
        </row>
        <row r="214">
          <cell r="G214" t="str">
            <v>I0Y1207</v>
          </cell>
          <cell r="H214">
            <v>43256</v>
          </cell>
          <cell r="I214">
            <v>59000</v>
          </cell>
          <cell r="T214" t="str">
            <v>PTY8202</v>
          </cell>
          <cell r="U214">
            <v>2</v>
          </cell>
          <cell r="V214">
            <v>1400</v>
          </cell>
          <cell r="W214">
            <v>1194</v>
          </cell>
          <cell r="X214">
            <v>0.85285714285714287</v>
          </cell>
          <cell r="Y214">
            <v>198000</v>
          </cell>
          <cell r="Z214">
            <v>178000</v>
          </cell>
          <cell r="AA214">
            <v>25300</v>
          </cell>
          <cell r="AB214">
            <v>15250</v>
          </cell>
        </row>
        <row r="215">
          <cell r="G215" t="str">
            <v>I0Y1212</v>
          </cell>
          <cell r="H215">
            <v>43256</v>
          </cell>
          <cell r="I215">
            <v>59000</v>
          </cell>
          <cell r="T215" t="str">
            <v>PTY8203</v>
          </cell>
          <cell r="U215">
            <v>2</v>
          </cell>
          <cell r="V215">
            <v>2200</v>
          </cell>
          <cell r="W215">
            <v>1323</v>
          </cell>
          <cell r="X215">
            <v>0.60136363636363632</v>
          </cell>
          <cell r="Y215">
            <v>178000</v>
          </cell>
          <cell r="Z215">
            <v>178000</v>
          </cell>
          <cell r="AA215">
            <v>22100</v>
          </cell>
          <cell r="AB215">
            <v>19287</v>
          </cell>
        </row>
        <row r="216">
          <cell r="G216" t="str">
            <v>I0Y1213</v>
          </cell>
          <cell r="H216">
            <v>43256</v>
          </cell>
          <cell r="I216">
            <v>59000</v>
          </cell>
          <cell r="T216" t="str">
            <v>PTY8204</v>
          </cell>
          <cell r="U216">
            <v>1</v>
          </cell>
          <cell r="V216">
            <v>600</v>
          </cell>
          <cell r="W216">
            <v>444</v>
          </cell>
          <cell r="X216">
            <v>0.74</v>
          </cell>
          <cell r="Y216">
            <v>198000</v>
          </cell>
          <cell r="Z216">
            <v>198000</v>
          </cell>
          <cell r="AA216">
            <v>27300</v>
          </cell>
          <cell r="AB216">
            <v>24387</v>
          </cell>
        </row>
        <row r="217">
          <cell r="G217" t="str">
            <v>I0Y7201</v>
          </cell>
          <cell r="H217">
            <v>43256</v>
          </cell>
          <cell r="I217">
            <v>59000</v>
          </cell>
          <cell r="T217" t="str">
            <v>PTY8205</v>
          </cell>
          <cell r="U217">
            <v>2</v>
          </cell>
          <cell r="V217">
            <v>1300</v>
          </cell>
          <cell r="W217">
            <v>1269</v>
          </cell>
          <cell r="X217">
            <v>0.97615384615384615</v>
          </cell>
          <cell r="Y217">
            <v>178000</v>
          </cell>
          <cell r="Z217">
            <v>178000</v>
          </cell>
          <cell r="AA217">
            <v>23300</v>
          </cell>
          <cell r="AB217">
            <v>20487</v>
          </cell>
        </row>
        <row r="218">
          <cell r="G218" t="str">
            <v>I0Y7203</v>
          </cell>
          <cell r="H218">
            <v>43256</v>
          </cell>
          <cell r="I218">
            <v>79000</v>
          </cell>
          <cell r="T218" t="str">
            <v>PTY8206</v>
          </cell>
          <cell r="U218">
            <v>1</v>
          </cell>
          <cell r="V218">
            <v>600</v>
          </cell>
          <cell r="W218">
            <v>599</v>
          </cell>
          <cell r="X218">
            <v>0.99833333333333329</v>
          </cell>
          <cell r="Y218">
            <v>178000</v>
          </cell>
          <cell r="Z218">
            <v>178000</v>
          </cell>
          <cell r="AA218">
            <v>22100</v>
          </cell>
          <cell r="AB218">
            <v>22387</v>
          </cell>
        </row>
        <row r="219">
          <cell r="G219" t="str">
            <v>I0Y7204</v>
          </cell>
          <cell r="H219">
            <v>43256</v>
          </cell>
          <cell r="I219">
            <v>69000</v>
          </cell>
          <cell r="U219">
            <v>10</v>
          </cell>
          <cell r="V219">
            <v>7700</v>
          </cell>
          <cell r="W219">
            <v>6028</v>
          </cell>
          <cell r="X219">
            <v>0.78285714285714281</v>
          </cell>
        </row>
        <row r="220">
          <cell r="G220" t="str">
            <v>INY1202</v>
          </cell>
          <cell r="H220">
            <v>43256</v>
          </cell>
          <cell r="I220">
            <v>49000</v>
          </cell>
          <cell r="T220" t="str">
            <v>P0Y6201</v>
          </cell>
          <cell r="U220">
            <v>3</v>
          </cell>
          <cell r="V220">
            <v>3700</v>
          </cell>
          <cell r="W220">
            <v>3784</v>
          </cell>
          <cell r="X220">
            <v>1.0227027027027027</v>
          </cell>
          <cell r="Y220">
            <v>258000</v>
          </cell>
          <cell r="Z220">
            <v>258000</v>
          </cell>
          <cell r="AA220">
            <v>34400</v>
          </cell>
          <cell r="AB220">
            <v>31843</v>
          </cell>
        </row>
        <row r="221">
          <cell r="G221" t="str">
            <v>INY1203</v>
          </cell>
          <cell r="H221">
            <v>43256</v>
          </cell>
          <cell r="I221">
            <v>49000</v>
          </cell>
          <cell r="T221" t="str">
            <v>P0Y6202</v>
          </cell>
          <cell r="U221">
            <v>2</v>
          </cell>
          <cell r="V221">
            <v>1600</v>
          </cell>
          <cell r="W221">
            <v>1624</v>
          </cell>
          <cell r="X221">
            <v>1.0149999999999999</v>
          </cell>
          <cell r="Y221">
            <v>298000</v>
          </cell>
          <cell r="Z221">
            <v>298000</v>
          </cell>
          <cell r="AA221">
            <v>32400</v>
          </cell>
          <cell r="AB221">
            <v>32304</v>
          </cell>
        </row>
        <row r="222">
          <cell r="G222" t="str">
            <v>INY1204</v>
          </cell>
          <cell r="H222">
            <v>43256</v>
          </cell>
          <cell r="I222">
            <v>19000</v>
          </cell>
          <cell r="T222" t="str">
            <v>P0Y6203</v>
          </cell>
          <cell r="U222">
            <v>2</v>
          </cell>
          <cell r="V222">
            <v>1400</v>
          </cell>
          <cell r="W222">
            <v>1280</v>
          </cell>
          <cell r="X222">
            <v>0.91428571428571426</v>
          </cell>
          <cell r="Y222">
            <v>258000</v>
          </cell>
          <cell r="Z222">
            <v>258000</v>
          </cell>
          <cell r="AA222">
            <v>32600</v>
          </cell>
          <cell r="AB222">
            <v>28313</v>
          </cell>
        </row>
        <row r="223">
          <cell r="G223" t="str">
            <v>INY1205</v>
          </cell>
          <cell r="H223">
            <v>43256</v>
          </cell>
          <cell r="I223">
            <v>59000</v>
          </cell>
          <cell r="T223" t="str">
            <v>P0Y6204</v>
          </cell>
          <cell r="U223">
            <v>2</v>
          </cell>
          <cell r="V223">
            <v>800</v>
          </cell>
          <cell r="W223">
            <v>774</v>
          </cell>
          <cell r="X223">
            <v>0.96750000000000003</v>
          </cell>
          <cell r="Y223">
            <v>298000</v>
          </cell>
          <cell r="Z223">
            <v>298000</v>
          </cell>
          <cell r="AA223">
            <v>34700</v>
          </cell>
          <cell r="AB223">
            <v>37169</v>
          </cell>
        </row>
        <row r="224">
          <cell r="G224" t="str">
            <v>ITY1203</v>
          </cell>
          <cell r="H224">
            <v>43256</v>
          </cell>
          <cell r="I224">
            <v>49000</v>
          </cell>
          <cell r="T224" t="str">
            <v>PTY6201</v>
          </cell>
          <cell r="U224">
            <v>3</v>
          </cell>
          <cell r="V224">
            <v>1900</v>
          </cell>
          <cell r="W224">
            <v>1841</v>
          </cell>
          <cell r="X224">
            <v>0.96894736842105267</v>
          </cell>
          <cell r="Y224">
            <v>258000</v>
          </cell>
          <cell r="Z224">
            <v>238000</v>
          </cell>
          <cell r="AA224">
            <v>29100</v>
          </cell>
          <cell r="AB224">
            <v>27835</v>
          </cell>
        </row>
        <row r="225">
          <cell r="G225" t="str">
            <v>ITY7201</v>
          </cell>
          <cell r="H225">
            <v>43256</v>
          </cell>
          <cell r="I225">
            <v>79000</v>
          </cell>
          <cell r="T225" t="str">
            <v>PNY6201</v>
          </cell>
          <cell r="U225">
            <v>2</v>
          </cell>
          <cell r="V225">
            <v>1000</v>
          </cell>
          <cell r="W225">
            <v>750</v>
          </cell>
          <cell r="X225">
            <v>0.75</v>
          </cell>
          <cell r="Y225">
            <v>238000</v>
          </cell>
          <cell r="Z225">
            <v>238000</v>
          </cell>
          <cell r="AA225">
            <v>28000</v>
          </cell>
          <cell r="AB225">
            <v>28139</v>
          </cell>
        </row>
        <row r="226">
          <cell r="G226" t="str">
            <v>ITY7203</v>
          </cell>
          <cell r="H226">
            <v>43256</v>
          </cell>
          <cell r="I226">
            <v>79000</v>
          </cell>
          <cell r="U226">
            <v>14</v>
          </cell>
          <cell r="V226">
            <v>10400</v>
          </cell>
          <cell r="W226">
            <v>10053</v>
          </cell>
          <cell r="X226">
            <v>0.96663461538461537</v>
          </cell>
        </row>
        <row r="227">
          <cell r="G227" t="str">
            <v>ITY8202</v>
          </cell>
          <cell r="H227">
            <v>43256</v>
          </cell>
          <cell r="I227">
            <v>69000</v>
          </cell>
          <cell r="T227" t="str">
            <v>P0YV201</v>
          </cell>
          <cell r="U227">
            <v>2</v>
          </cell>
          <cell r="V227">
            <v>1300</v>
          </cell>
          <cell r="W227">
            <v>1296</v>
          </cell>
          <cell r="X227">
            <v>0.99692307692307691</v>
          </cell>
          <cell r="Y227">
            <v>258000</v>
          </cell>
          <cell r="Z227">
            <v>238000</v>
          </cell>
          <cell r="AA227">
            <v>30300</v>
          </cell>
          <cell r="AB227">
            <v>26730</v>
          </cell>
        </row>
        <row r="228">
          <cell r="G228" t="str">
            <v>P0Y1203</v>
          </cell>
          <cell r="H228">
            <v>43256</v>
          </cell>
          <cell r="I228">
            <v>49000</v>
          </cell>
          <cell r="T228" t="str">
            <v>P0YV202</v>
          </cell>
          <cell r="U228">
            <v>2</v>
          </cell>
          <cell r="V228">
            <v>900</v>
          </cell>
          <cell r="W228">
            <v>881</v>
          </cell>
          <cell r="X228">
            <v>0.97888888888888892</v>
          </cell>
          <cell r="Y228">
            <v>238000</v>
          </cell>
          <cell r="Z228">
            <v>238000</v>
          </cell>
          <cell r="AA228">
            <v>25000</v>
          </cell>
          <cell r="AB228">
            <v>25048</v>
          </cell>
        </row>
        <row r="229">
          <cell r="G229" t="str">
            <v>P0Y1204</v>
          </cell>
          <cell r="H229">
            <v>43256</v>
          </cell>
          <cell r="I229">
            <v>49000</v>
          </cell>
          <cell r="T229" t="str">
            <v>P0YV203</v>
          </cell>
          <cell r="U229">
            <v>2</v>
          </cell>
          <cell r="V229">
            <v>1200</v>
          </cell>
          <cell r="W229">
            <v>834</v>
          </cell>
          <cell r="X229">
            <v>0.69499999999999995</v>
          </cell>
          <cell r="Y229">
            <v>238000</v>
          </cell>
          <cell r="Z229">
            <v>238000</v>
          </cell>
          <cell r="AA229">
            <v>22400</v>
          </cell>
          <cell r="AB229">
            <v>24149</v>
          </cell>
        </row>
        <row r="230">
          <cell r="G230" t="str">
            <v>P0Y1206</v>
          </cell>
          <cell r="H230">
            <v>43256</v>
          </cell>
          <cell r="I230">
            <v>59000</v>
          </cell>
          <cell r="U230">
            <v>6</v>
          </cell>
          <cell r="V230">
            <v>3400</v>
          </cell>
          <cell r="W230">
            <v>3011</v>
          </cell>
          <cell r="X230">
            <v>0.88558823529411768</v>
          </cell>
        </row>
        <row r="231">
          <cell r="G231" t="str">
            <v>P0Y1210</v>
          </cell>
          <cell r="H231">
            <v>43256</v>
          </cell>
          <cell r="I231">
            <v>59000</v>
          </cell>
          <cell r="T231" t="str">
            <v>PTY9201</v>
          </cell>
          <cell r="U231">
            <v>2</v>
          </cell>
          <cell r="V231">
            <v>1000</v>
          </cell>
          <cell r="W231">
            <v>1078</v>
          </cell>
          <cell r="X231">
            <v>1.0780000000000001</v>
          </cell>
          <cell r="Y231">
            <v>358000</v>
          </cell>
          <cell r="Z231">
            <v>358000</v>
          </cell>
          <cell r="AA231">
            <v>42000</v>
          </cell>
          <cell r="AB231">
            <v>38427</v>
          </cell>
        </row>
        <row r="232">
          <cell r="G232" t="str">
            <v>P0Y1212</v>
          </cell>
          <cell r="H232">
            <v>43256</v>
          </cell>
          <cell r="I232">
            <v>59000</v>
          </cell>
          <cell r="U232">
            <v>2</v>
          </cell>
          <cell r="V232">
            <v>1000</v>
          </cell>
          <cell r="W232">
            <v>1078</v>
          </cell>
          <cell r="X232">
            <v>1.0780000000000001</v>
          </cell>
        </row>
        <row r="233">
          <cell r="G233" t="str">
            <v>P0Y1216</v>
          </cell>
          <cell r="H233">
            <v>43256</v>
          </cell>
          <cell r="I233">
            <v>59000</v>
          </cell>
          <cell r="T233" t="str">
            <v>P0Y7201</v>
          </cell>
          <cell r="U233">
            <v>3</v>
          </cell>
          <cell r="V233">
            <v>3100</v>
          </cell>
          <cell r="W233">
            <v>2996</v>
          </cell>
          <cell r="X233">
            <v>0.96645161290322579</v>
          </cell>
          <cell r="Y233">
            <v>138000</v>
          </cell>
          <cell r="Z233">
            <v>158000</v>
          </cell>
          <cell r="AA233">
            <v>17500</v>
          </cell>
          <cell r="AB233">
            <v>16960</v>
          </cell>
        </row>
        <row r="234">
          <cell r="T234" t="str">
            <v>P0Y7202</v>
          </cell>
          <cell r="U234">
            <v>2</v>
          </cell>
          <cell r="V234">
            <v>1400</v>
          </cell>
          <cell r="W234">
            <v>1270</v>
          </cell>
          <cell r="X234">
            <v>0.90714285714285714</v>
          </cell>
          <cell r="Y234">
            <v>178000</v>
          </cell>
          <cell r="Z234">
            <v>178000</v>
          </cell>
          <cell r="AA234">
            <v>19400</v>
          </cell>
          <cell r="AB234">
            <v>18036</v>
          </cell>
        </row>
        <row r="235">
          <cell r="T235" t="str">
            <v>P0Y7203</v>
          </cell>
          <cell r="U235">
            <v>2</v>
          </cell>
          <cell r="V235">
            <v>2000</v>
          </cell>
          <cell r="W235">
            <v>1855</v>
          </cell>
          <cell r="X235">
            <v>0.92749999999999999</v>
          </cell>
          <cell r="Y235">
            <v>178000</v>
          </cell>
          <cell r="Z235">
            <v>178000</v>
          </cell>
          <cell r="AA235">
            <v>16900</v>
          </cell>
          <cell r="AB235">
            <v>16536</v>
          </cell>
        </row>
        <row r="236">
          <cell r="T236" t="str">
            <v>P0Y7204</v>
          </cell>
          <cell r="U236">
            <v>2</v>
          </cell>
          <cell r="V236">
            <v>1050</v>
          </cell>
          <cell r="W236">
            <v>1117</v>
          </cell>
          <cell r="X236">
            <v>1.0638095238095238</v>
          </cell>
          <cell r="Y236">
            <v>178000</v>
          </cell>
          <cell r="Z236">
            <v>178000</v>
          </cell>
          <cell r="AA236">
            <v>20100</v>
          </cell>
          <cell r="AB236">
            <v>17741</v>
          </cell>
        </row>
        <row r="237">
          <cell r="T237" t="str">
            <v>P0Y7205</v>
          </cell>
          <cell r="U237">
            <v>2</v>
          </cell>
          <cell r="V237">
            <v>2200</v>
          </cell>
          <cell r="W237">
            <v>2195</v>
          </cell>
          <cell r="X237">
            <v>0.99772727272727268</v>
          </cell>
          <cell r="Y237">
            <v>198000</v>
          </cell>
          <cell r="Z237">
            <v>178000</v>
          </cell>
          <cell r="AA237">
            <v>16000</v>
          </cell>
          <cell r="AB237">
            <v>14159</v>
          </cell>
        </row>
        <row r="238">
          <cell r="T238" t="str">
            <v>P0Y7206</v>
          </cell>
          <cell r="U238">
            <v>2</v>
          </cell>
          <cell r="V238">
            <v>1700</v>
          </cell>
          <cell r="W238">
            <v>1569</v>
          </cell>
          <cell r="X238">
            <v>0.92294117647058826</v>
          </cell>
          <cell r="Y238">
            <v>138000</v>
          </cell>
          <cell r="Z238">
            <v>138000</v>
          </cell>
          <cell r="AA238">
            <v>17000</v>
          </cell>
          <cell r="AB238">
            <v>16552</v>
          </cell>
        </row>
        <row r="239">
          <cell r="T239" t="str">
            <v>P0Y7207</v>
          </cell>
          <cell r="U239">
            <v>2</v>
          </cell>
          <cell r="V239">
            <v>1200</v>
          </cell>
          <cell r="W239">
            <v>1304</v>
          </cell>
          <cell r="X239">
            <v>1.0866666666666667</v>
          </cell>
          <cell r="Y239">
            <v>158000</v>
          </cell>
          <cell r="Z239">
            <v>158000</v>
          </cell>
          <cell r="AA239">
            <v>19200</v>
          </cell>
          <cell r="AB239">
            <v>19459</v>
          </cell>
        </row>
        <row r="240">
          <cell r="T240" t="str">
            <v>P0Y7208</v>
          </cell>
          <cell r="U240">
            <v>2</v>
          </cell>
          <cell r="V240">
            <v>1300</v>
          </cell>
          <cell r="W240">
            <v>1213</v>
          </cell>
          <cell r="X240">
            <v>0.93307692307692303</v>
          </cell>
          <cell r="Y240">
            <v>138000</v>
          </cell>
          <cell r="Z240">
            <v>138000</v>
          </cell>
          <cell r="AA240">
            <v>16200</v>
          </cell>
          <cell r="AB240">
            <v>14884</v>
          </cell>
        </row>
        <row r="241">
          <cell r="T241" t="str">
            <v>PTY7201</v>
          </cell>
          <cell r="U241">
            <v>2</v>
          </cell>
          <cell r="V241">
            <v>1200</v>
          </cell>
          <cell r="W241">
            <v>1137</v>
          </cell>
          <cell r="X241">
            <v>0.94750000000000001</v>
          </cell>
          <cell r="Y241">
            <v>118000</v>
          </cell>
          <cell r="Z241">
            <v>118000</v>
          </cell>
          <cell r="AA241">
            <v>12200</v>
          </cell>
          <cell r="AB241">
            <v>10742</v>
          </cell>
        </row>
        <row r="242">
          <cell r="T242" t="str">
            <v>PTY7202</v>
          </cell>
          <cell r="U242">
            <v>3</v>
          </cell>
          <cell r="V242">
            <v>3600</v>
          </cell>
          <cell r="W242">
            <v>3588</v>
          </cell>
          <cell r="X242">
            <v>0.9966666666666667</v>
          </cell>
          <cell r="Y242">
            <v>118000</v>
          </cell>
          <cell r="Z242">
            <v>138000</v>
          </cell>
          <cell r="AA242">
            <v>14700</v>
          </cell>
          <cell r="AB242">
            <v>16323</v>
          </cell>
        </row>
        <row r="243">
          <cell r="T243" t="str">
            <v>PTY7203</v>
          </cell>
          <cell r="U243">
            <v>2</v>
          </cell>
          <cell r="V243">
            <v>1400</v>
          </cell>
          <cell r="W243">
            <v>1379</v>
          </cell>
          <cell r="X243">
            <v>0.98499999999999999</v>
          </cell>
          <cell r="Y243">
            <v>118000</v>
          </cell>
          <cell r="Z243">
            <v>118000</v>
          </cell>
          <cell r="AA243">
            <v>13700</v>
          </cell>
          <cell r="AB243">
            <v>14323</v>
          </cell>
        </row>
        <row r="244">
          <cell r="T244" t="str">
            <v>PTY7204</v>
          </cell>
          <cell r="U244">
            <v>1</v>
          </cell>
          <cell r="V244">
            <v>1000</v>
          </cell>
          <cell r="W244">
            <v>980</v>
          </cell>
          <cell r="X244">
            <v>0.98</v>
          </cell>
          <cell r="Y244">
            <v>198000</v>
          </cell>
          <cell r="Z244">
            <v>198000</v>
          </cell>
          <cell r="AA244">
            <v>23000</v>
          </cell>
          <cell r="AB244">
            <v>22223</v>
          </cell>
        </row>
        <row r="245">
          <cell r="T245" t="str">
            <v>PTY7205</v>
          </cell>
          <cell r="U245">
            <v>1</v>
          </cell>
          <cell r="V245">
            <v>1200</v>
          </cell>
          <cell r="W245">
            <v>1177</v>
          </cell>
          <cell r="X245">
            <v>0.98083333333333333</v>
          </cell>
          <cell r="Y245">
            <v>138000</v>
          </cell>
          <cell r="Z245">
            <v>138000</v>
          </cell>
          <cell r="AA245">
            <v>19200</v>
          </cell>
          <cell r="AB245">
            <v>19129</v>
          </cell>
        </row>
        <row r="246">
          <cell r="T246" t="str">
            <v>PNY7201</v>
          </cell>
          <cell r="U246">
            <v>2</v>
          </cell>
          <cell r="V246">
            <v>1300</v>
          </cell>
          <cell r="W246">
            <v>1341</v>
          </cell>
          <cell r="X246">
            <v>1.0315384615384615</v>
          </cell>
          <cell r="Y246">
            <v>178000</v>
          </cell>
          <cell r="Z246">
            <v>178000</v>
          </cell>
          <cell r="AA246">
            <v>19300</v>
          </cell>
          <cell r="AB246">
            <v>18633</v>
          </cell>
        </row>
        <row r="247">
          <cell r="T247" t="str">
            <v>PNY7202</v>
          </cell>
          <cell r="U247">
            <v>2</v>
          </cell>
          <cell r="V247">
            <v>1400</v>
          </cell>
          <cell r="W247">
            <v>1281</v>
          </cell>
          <cell r="X247">
            <v>0.91500000000000004</v>
          </cell>
          <cell r="Y247">
            <v>238000</v>
          </cell>
          <cell r="Z247">
            <v>218000</v>
          </cell>
          <cell r="AA247">
            <v>26800</v>
          </cell>
          <cell r="AB247">
            <v>24893</v>
          </cell>
        </row>
        <row r="248">
          <cell r="T248" t="str">
            <v>PNY7203</v>
          </cell>
          <cell r="U248">
            <v>2</v>
          </cell>
          <cell r="V248">
            <v>1000</v>
          </cell>
          <cell r="W248">
            <v>1026</v>
          </cell>
          <cell r="X248">
            <v>1.026</v>
          </cell>
          <cell r="Y248">
            <v>158000</v>
          </cell>
          <cell r="Z248">
            <v>138000</v>
          </cell>
          <cell r="AA248">
            <v>17000</v>
          </cell>
          <cell r="AB248">
            <v>16531</v>
          </cell>
        </row>
        <row r="249">
          <cell r="T249" t="str">
            <v>PNY7204</v>
          </cell>
          <cell r="U249">
            <v>2</v>
          </cell>
          <cell r="V249">
            <v>700</v>
          </cell>
          <cell r="W249">
            <v>661</v>
          </cell>
          <cell r="X249">
            <v>0.94428571428571428</v>
          </cell>
          <cell r="Y249">
            <v>138000</v>
          </cell>
          <cell r="Z249">
            <v>138000</v>
          </cell>
          <cell r="AA249">
            <v>15000</v>
          </cell>
          <cell r="AB249">
            <v>14827</v>
          </cell>
        </row>
        <row r="250">
          <cell r="U250">
            <v>34</v>
          </cell>
          <cell r="V250">
            <v>26750</v>
          </cell>
          <cell r="W250">
            <v>26089</v>
          </cell>
          <cell r="X250">
            <v>0.97528971962616817</v>
          </cell>
        </row>
        <row r="251">
          <cell r="T251" t="str">
            <v>P0YQ201</v>
          </cell>
          <cell r="U251">
            <v>2</v>
          </cell>
          <cell r="V251">
            <v>1050</v>
          </cell>
          <cell r="W251">
            <v>1045</v>
          </cell>
          <cell r="X251">
            <v>0.99523809523809526</v>
          </cell>
          <cell r="Y251">
            <v>198000</v>
          </cell>
          <cell r="Z251">
            <v>198000</v>
          </cell>
          <cell r="AA251">
            <v>23200</v>
          </cell>
          <cell r="AB251">
            <v>21459</v>
          </cell>
        </row>
        <row r="252">
          <cell r="T252" t="str">
            <v>P0YQ202</v>
          </cell>
          <cell r="U252">
            <v>3</v>
          </cell>
          <cell r="V252">
            <v>1200</v>
          </cell>
          <cell r="W252">
            <v>1064</v>
          </cell>
          <cell r="X252">
            <v>0.88666666666666671</v>
          </cell>
          <cell r="Y252">
            <v>198000</v>
          </cell>
          <cell r="Z252">
            <v>198000</v>
          </cell>
          <cell r="AA252">
            <v>20200</v>
          </cell>
          <cell r="AB252">
            <v>19754</v>
          </cell>
        </row>
        <row r="253">
          <cell r="T253" t="str">
            <v>PNYQ201</v>
          </cell>
          <cell r="U253">
            <v>2</v>
          </cell>
          <cell r="V253">
            <v>800</v>
          </cell>
          <cell r="W253">
            <v>732</v>
          </cell>
          <cell r="X253">
            <v>0.91500000000000004</v>
          </cell>
          <cell r="Y253">
            <v>198000</v>
          </cell>
          <cell r="Z253">
            <v>198000</v>
          </cell>
          <cell r="AA253">
            <v>20700</v>
          </cell>
          <cell r="AB253">
            <v>20420</v>
          </cell>
        </row>
        <row r="254">
          <cell r="T254" t="str">
            <v>PNYQ202</v>
          </cell>
          <cell r="U254">
            <v>1</v>
          </cell>
          <cell r="V254">
            <v>500</v>
          </cell>
          <cell r="W254">
            <v>477</v>
          </cell>
          <cell r="X254">
            <v>0.95399999999999996</v>
          </cell>
          <cell r="Y254">
            <v>198000</v>
          </cell>
          <cell r="Z254">
            <v>198000</v>
          </cell>
          <cell r="AA254">
            <v>18500</v>
          </cell>
          <cell r="AB254">
            <v>17938</v>
          </cell>
        </row>
        <row r="255">
          <cell r="U255">
            <v>8</v>
          </cell>
          <cell r="V255">
            <v>3550</v>
          </cell>
          <cell r="W255">
            <v>3318</v>
          </cell>
          <cell r="X255">
            <v>0.93464788732394366</v>
          </cell>
        </row>
        <row r="256">
          <cell r="T256" t="str">
            <v>여성여름계</v>
          </cell>
          <cell r="U256">
            <v>137</v>
          </cell>
          <cell r="V256">
            <v>111000</v>
          </cell>
          <cell r="W256">
            <v>88772</v>
          </cell>
          <cell r="X256">
            <v>0.79974774774774771</v>
          </cell>
        </row>
        <row r="257">
          <cell r="T257" t="str">
            <v>여름 합계</v>
          </cell>
          <cell r="U257">
            <v>274</v>
          </cell>
          <cell r="V257">
            <v>240300</v>
          </cell>
          <cell r="W257">
            <v>202410</v>
          </cell>
          <cell r="X257">
            <v>0.84232209737827712</v>
          </cell>
        </row>
        <row r="258">
          <cell r="T258" t="str">
            <v>의류 S/S 합계</v>
          </cell>
          <cell r="U258">
            <v>428</v>
          </cell>
          <cell r="V258">
            <v>334850</v>
          </cell>
          <cell r="W258">
            <v>290898</v>
          </cell>
          <cell r="X258">
            <v>0.86874122741526061</v>
          </cell>
        </row>
        <row r="259">
          <cell r="T259" t="str">
            <v>IAYW101</v>
          </cell>
          <cell r="U259">
            <v>1</v>
          </cell>
          <cell r="V259">
            <v>200</v>
          </cell>
          <cell r="W259">
            <v>199</v>
          </cell>
          <cell r="X259">
            <v>0.995</v>
          </cell>
          <cell r="Y259">
            <v>58000</v>
          </cell>
          <cell r="Z259">
            <v>58000</v>
          </cell>
          <cell r="AA259">
            <v>13500</v>
          </cell>
          <cell r="AB259">
            <v>11139</v>
          </cell>
        </row>
        <row r="260">
          <cell r="T260" t="str">
            <v>IAYW102</v>
          </cell>
          <cell r="U260">
            <v>1</v>
          </cell>
          <cell r="V260">
            <v>250</v>
          </cell>
          <cell r="W260">
            <v>250</v>
          </cell>
          <cell r="X260">
            <v>1</v>
          </cell>
          <cell r="Y260">
            <v>58000</v>
          </cell>
          <cell r="Z260">
            <v>58000</v>
          </cell>
          <cell r="AA260">
            <v>12000</v>
          </cell>
          <cell r="AB260">
            <v>10939</v>
          </cell>
        </row>
        <row r="261">
          <cell r="T261" t="str">
            <v>IAYW103</v>
          </cell>
          <cell r="U261">
            <v>3</v>
          </cell>
          <cell r="V261">
            <v>450</v>
          </cell>
          <cell r="W261">
            <v>447</v>
          </cell>
          <cell r="X261">
            <v>0.99333333333333329</v>
          </cell>
          <cell r="Y261">
            <v>58000</v>
          </cell>
          <cell r="Z261">
            <v>58000</v>
          </cell>
          <cell r="AA261">
            <v>11000</v>
          </cell>
          <cell r="AB261">
            <v>11639</v>
          </cell>
        </row>
        <row r="262">
          <cell r="T262" t="str">
            <v>IAYW104</v>
          </cell>
          <cell r="U262">
            <v>2</v>
          </cell>
          <cell r="V262">
            <v>400</v>
          </cell>
          <cell r="W262">
            <v>398</v>
          </cell>
          <cell r="X262">
            <v>0.995</v>
          </cell>
          <cell r="Y262">
            <v>58000</v>
          </cell>
          <cell r="Z262">
            <v>58000</v>
          </cell>
          <cell r="AA262">
            <v>12500</v>
          </cell>
          <cell r="AB262">
            <v>10639</v>
          </cell>
        </row>
        <row r="263">
          <cell r="T263" t="str">
            <v>IAYW105</v>
          </cell>
          <cell r="U263">
            <v>2</v>
          </cell>
          <cell r="V263">
            <v>400</v>
          </cell>
          <cell r="W263">
            <v>400</v>
          </cell>
          <cell r="X263">
            <v>1</v>
          </cell>
          <cell r="Y263">
            <v>54000</v>
          </cell>
          <cell r="Z263">
            <v>58000</v>
          </cell>
          <cell r="AA263">
            <v>12500</v>
          </cell>
          <cell r="AB263">
            <v>11139</v>
          </cell>
        </row>
        <row r="264">
          <cell r="T264" t="str">
            <v>IAYW106</v>
          </cell>
          <cell r="U264">
            <v>1</v>
          </cell>
          <cell r="V264">
            <v>200</v>
          </cell>
          <cell r="W264">
            <v>200</v>
          </cell>
          <cell r="X264">
            <v>1</v>
          </cell>
          <cell r="Y264">
            <v>58000</v>
          </cell>
          <cell r="Z264">
            <v>58000</v>
          </cell>
          <cell r="AA264">
            <v>12500</v>
          </cell>
          <cell r="AB264">
            <v>10939</v>
          </cell>
        </row>
        <row r="265">
          <cell r="U265">
            <v>10</v>
          </cell>
          <cell r="V265">
            <v>1900</v>
          </cell>
          <cell r="W265">
            <v>1894</v>
          </cell>
          <cell r="X265">
            <v>0.99684210526315786</v>
          </cell>
        </row>
        <row r="266">
          <cell r="T266" t="str">
            <v>IAYG101</v>
          </cell>
          <cell r="U266">
            <v>1</v>
          </cell>
          <cell r="V266">
            <v>400</v>
          </cell>
          <cell r="W266">
            <v>398</v>
          </cell>
          <cell r="X266">
            <v>0.995</v>
          </cell>
          <cell r="Y266">
            <v>58000</v>
          </cell>
          <cell r="Z266">
            <v>48000</v>
          </cell>
          <cell r="AA266">
            <v>16000</v>
          </cell>
          <cell r="AB266">
            <v>9582</v>
          </cell>
        </row>
        <row r="267">
          <cell r="U267">
            <v>1</v>
          </cell>
          <cell r="V267">
            <v>400</v>
          </cell>
          <cell r="W267">
            <v>398</v>
          </cell>
          <cell r="X267">
            <v>0.995</v>
          </cell>
        </row>
        <row r="268">
          <cell r="T268" t="str">
            <v>IAYT101</v>
          </cell>
          <cell r="U268">
            <v>1</v>
          </cell>
          <cell r="V268">
            <v>800</v>
          </cell>
          <cell r="W268">
            <v>823</v>
          </cell>
          <cell r="X268">
            <v>1.0287500000000001</v>
          </cell>
          <cell r="Y268">
            <v>24000</v>
          </cell>
          <cell r="Z268">
            <v>26900</v>
          </cell>
          <cell r="AA268">
            <v>6500</v>
          </cell>
          <cell r="AB268">
            <v>7300</v>
          </cell>
        </row>
        <row r="269">
          <cell r="T269" t="str">
            <v>IAYT102</v>
          </cell>
          <cell r="U269">
            <v>2</v>
          </cell>
          <cell r="V269">
            <v>1500</v>
          </cell>
          <cell r="W269">
            <v>1538</v>
          </cell>
          <cell r="X269">
            <v>1.0253333333333334</v>
          </cell>
          <cell r="Y269">
            <v>24000</v>
          </cell>
          <cell r="Z269">
            <v>26900</v>
          </cell>
          <cell r="AA269">
            <v>6500</v>
          </cell>
          <cell r="AB269">
            <v>7300</v>
          </cell>
        </row>
        <row r="270">
          <cell r="U270">
            <v>3</v>
          </cell>
          <cell r="V270">
            <v>2300</v>
          </cell>
          <cell r="W270">
            <v>2361</v>
          </cell>
          <cell r="X270">
            <v>1.0265217391304349</v>
          </cell>
        </row>
        <row r="271">
          <cell r="T271" t="str">
            <v>ACC 남성봄계</v>
          </cell>
          <cell r="U271">
            <v>14</v>
          </cell>
          <cell r="V271">
            <v>4600</v>
          </cell>
          <cell r="W271">
            <v>4653</v>
          </cell>
          <cell r="X271">
            <v>1.0115217391304347</v>
          </cell>
        </row>
        <row r="272">
          <cell r="T272" t="str">
            <v>PAYW101</v>
          </cell>
          <cell r="U272">
            <v>1</v>
          </cell>
          <cell r="V272">
            <v>200</v>
          </cell>
          <cell r="W272">
            <v>198</v>
          </cell>
          <cell r="X272">
            <v>0.99</v>
          </cell>
          <cell r="Y272">
            <v>58000</v>
          </cell>
          <cell r="Z272">
            <v>58000</v>
          </cell>
          <cell r="AA272">
            <v>12000</v>
          </cell>
          <cell r="AB272">
            <v>10139</v>
          </cell>
        </row>
        <row r="273">
          <cell r="T273" t="str">
            <v>PAYW102</v>
          </cell>
          <cell r="U273">
            <v>2</v>
          </cell>
          <cell r="V273">
            <v>350</v>
          </cell>
          <cell r="W273">
            <v>350</v>
          </cell>
          <cell r="X273">
            <v>1</v>
          </cell>
          <cell r="Y273">
            <v>58000</v>
          </cell>
          <cell r="Z273">
            <v>58000</v>
          </cell>
          <cell r="AA273">
            <v>12000</v>
          </cell>
          <cell r="AB273">
            <v>10139</v>
          </cell>
        </row>
        <row r="274">
          <cell r="T274" t="str">
            <v>PAYW103</v>
          </cell>
          <cell r="U274">
            <v>2</v>
          </cell>
          <cell r="V274">
            <v>700</v>
          </cell>
          <cell r="W274">
            <v>498</v>
          </cell>
          <cell r="X274">
            <v>0.71142857142857141</v>
          </cell>
          <cell r="Y274">
            <v>68000</v>
          </cell>
          <cell r="Z274">
            <v>68000</v>
          </cell>
          <cell r="AA274">
            <v>14000</v>
          </cell>
          <cell r="AB274">
            <v>15139</v>
          </cell>
        </row>
        <row r="275">
          <cell r="T275" t="str">
            <v>PAYW104</v>
          </cell>
          <cell r="U275">
            <v>2</v>
          </cell>
          <cell r="V275">
            <v>450</v>
          </cell>
          <cell r="W275">
            <v>446</v>
          </cell>
          <cell r="X275">
            <v>0.99111111111111116</v>
          </cell>
          <cell r="Y275">
            <v>68000</v>
          </cell>
          <cell r="Z275">
            <v>68000</v>
          </cell>
          <cell r="AA275">
            <v>14000</v>
          </cell>
          <cell r="AB275">
            <v>13139</v>
          </cell>
        </row>
        <row r="276">
          <cell r="T276" t="str">
            <v>PAYW105</v>
          </cell>
          <cell r="U276">
            <v>2</v>
          </cell>
          <cell r="V276">
            <v>450</v>
          </cell>
          <cell r="W276">
            <v>448</v>
          </cell>
          <cell r="X276">
            <v>0.99555555555555553</v>
          </cell>
          <cell r="Y276">
            <v>68000</v>
          </cell>
          <cell r="Z276">
            <v>68000</v>
          </cell>
          <cell r="AA276">
            <v>14000</v>
          </cell>
          <cell r="AB276">
            <v>15639</v>
          </cell>
        </row>
        <row r="277">
          <cell r="T277" t="str">
            <v>PAYW106</v>
          </cell>
          <cell r="U277">
            <v>2</v>
          </cell>
          <cell r="V277">
            <v>350</v>
          </cell>
          <cell r="W277">
            <v>341</v>
          </cell>
          <cell r="X277">
            <v>0.97428571428571431</v>
          </cell>
          <cell r="Y277">
            <v>58000</v>
          </cell>
          <cell r="Z277">
            <v>48000</v>
          </cell>
          <cell r="AA277">
            <v>11000</v>
          </cell>
          <cell r="AB277">
            <v>10639</v>
          </cell>
        </row>
        <row r="278">
          <cell r="U278">
            <v>11</v>
          </cell>
          <cell r="V278">
            <v>2500</v>
          </cell>
          <cell r="W278">
            <v>2281</v>
          </cell>
          <cell r="X278">
            <v>0.91239999999999999</v>
          </cell>
        </row>
        <row r="279">
          <cell r="T279" t="str">
            <v>PAYG101</v>
          </cell>
          <cell r="U279">
            <v>1</v>
          </cell>
          <cell r="V279">
            <v>400</v>
          </cell>
          <cell r="W279">
            <v>404</v>
          </cell>
          <cell r="X279">
            <v>1.01</v>
          </cell>
          <cell r="Y279">
            <v>68000</v>
          </cell>
          <cell r="Z279">
            <v>68000</v>
          </cell>
          <cell r="AA279">
            <v>17000</v>
          </cell>
          <cell r="AB279">
            <v>15582</v>
          </cell>
        </row>
        <row r="280">
          <cell r="T280" t="str">
            <v>PAYG102</v>
          </cell>
          <cell r="U280">
            <v>1</v>
          </cell>
          <cell r="V280">
            <v>400</v>
          </cell>
          <cell r="W280">
            <v>396</v>
          </cell>
          <cell r="X280">
            <v>0.99</v>
          </cell>
          <cell r="Y280">
            <v>58000</v>
          </cell>
          <cell r="Z280">
            <v>68000</v>
          </cell>
          <cell r="AA280">
            <v>16000</v>
          </cell>
          <cell r="AB280">
            <v>17082</v>
          </cell>
        </row>
        <row r="281">
          <cell r="U281">
            <v>2</v>
          </cell>
          <cell r="V281">
            <v>800</v>
          </cell>
          <cell r="W281">
            <v>800</v>
          </cell>
          <cell r="X281">
            <v>1</v>
          </cell>
        </row>
        <row r="282">
          <cell r="T282" t="str">
            <v>PAYX101</v>
          </cell>
          <cell r="U282">
            <v>1</v>
          </cell>
          <cell r="V282">
            <v>300</v>
          </cell>
          <cell r="W282">
            <v>300</v>
          </cell>
          <cell r="X282">
            <v>1</v>
          </cell>
          <cell r="Y282">
            <v>98000</v>
          </cell>
          <cell r="Z282">
            <v>118000</v>
          </cell>
          <cell r="AA282">
            <v>24000</v>
          </cell>
          <cell r="AB282">
            <v>28139</v>
          </cell>
        </row>
        <row r="283">
          <cell r="U283">
            <v>1</v>
          </cell>
          <cell r="V283">
            <v>300</v>
          </cell>
          <cell r="W283">
            <v>300</v>
          </cell>
          <cell r="X283">
            <v>1</v>
          </cell>
        </row>
        <row r="284">
          <cell r="T284" t="str">
            <v>PAYY101</v>
          </cell>
          <cell r="U284">
            <v>1</v>
          </cell>
          <cell r="V284">
            <v>200</v>
          </cell>
          <cell r="W284">
            <v>210</v>
          </cell>
          <cell r="X284">
            <v>1.05</v>
          </cell>
          <cell r="Y284">
            <v>12000</v>
          </cell>
          <cell r="Z284">
            <v>12000</v>
          </cell>
          <cell r="AA284">
            <v>2500</v>
          </cell>
          <cell r="AB284">
            <v>2500</v>
          </cell>
        </row>
        <row r="285">
          <cell r="U285">
            <v>1</v>
          </cell>
          <cell r="V285">
            <v>200</v>
          </cell>
          <cell r="W285">
            <v>210</v>
          </cell>
          <cell r="X285">
            <v>1.05</v>
          </cell>
        </row>
        <row r="286">
          <cell r="T286" t="str">
            <v>PAYT101</v>
          </cell>
          <cell r="U286">
            <v>1</v>
          </cell>
          <cell r="V286">
            <v>800</v>
          </cell>
          <cell r="W286">
            <v>832</v>
          </cell>
          <cell r="X286">
            <v>1.04</v>
          </cell>
          <cell r="Y286">
            <v>24000</v>
          </cell>
          <cell r="Z286">
            <v>26900</v>
          </cell>
          <cell r="AA286">
            <v>6500</v>
          </cell>
          <cell r="AB286">
            <v>7300</v>
          </cell>
        </row>
        <row r="287">
          <cell r="T287" t="str">
            <v>PAYT102</v>
          </cell>
          <cell r="U287">
            <v>2</v>
          </cell>
          <cell r="V287">
            <v>900</v>
          </cell>
          <cell r="W287">
            <v>926</v>
          </cell>
          <cell r="X287">
            <v>1.028888888888889</v>
          </cell>
          <cell r="Y287">
            <v>24000</v>
          </cell>
          <cell r="Z287">
            <v>26900</v>
          </cell>
          <cell r="AA287">
            <v>6500</v>
          </cell>
          <cell r="AB287">
            <v>7300</v>
          </cell>
        </row>
        <row r="288">
          <cell r="U288">
            <v>3</v>
          </cell>
          <cell r="V288">
            <v>1700</v>
          </cell>
          <cell r="W288">
            <v>1758</v>
          </cell>
          <cell r="X288">
            <v>1.0341176470588236</v>
          </cell>
        </row>
        <row r="289">
          <cell r="T289" t="str">
            <v>ACC 여성봄계</v>
          </cell>
          <cell r="U289">
            <v>18</v>
          </cell>
          <cell r="V289">
            <v>5500</v>
          </cell>
          <cell r="W289">
            <v>5349</v>
          </cell>
          <cell r="X289">
            <v>0.97254545454545449</v>
          </cell>
        </row>
        <row r="290">
          <cell r="T290" t="str">
            <v>ACC 봄합계</v>
          </cell>
          <cell r="U290">
            <v>32</v>
          </cell>
          <cell r="V290">
            <v>10100</v>
          </cell>
          <cell r="W290">
            <v>10002</v>
          </cell>
          <cell r="X290">
            <v>0.99029702970297029</v>
          </cell>
        </row>
        <row r="291">
          <cell r="T291" t="str">
            <v>IAYW201</v>
          </cell>
          <cell r="U291">
            <v>2</v>
          </cell>
          <cell r="V291">
            <v>500</v>
          </cell>
          <cell r="W291">
            <v>497</v>
          </cell>
          <cell r="X291">
            <v>0.99399999999999999</v>
          </cell>
          <cell r="Y291">
            <v>58000</v>
          </cell>
          <cell r="Z291">
            <v>58000</v>
          </cell>
          <cell r="AA291">
            <v>11500</v>
          </cell>
          <cell r="AB291">
            <v>11933</v>
          </cell>
        </row>
        <row r="292">
          <cell r="T292" t="str">
            <v>IAYW202</v>
          </cell>
          <cell r="U292">
            <v>2</v>
          </cell>
          <cell r="V292">
            <v>450</v>
          </cell>
          <cell r="W292">
            <v>448</v>
          </cell>
          <cell r="X292">
            <v>0.99555555555555553</v>
          </cell>
          <cell r="Y292">
            <v>58000</v>
          </cell>
          <cell r="Z292">
            <v>58000</v>
          </cell>
          <cell r="AA292">
            <v>11500</v>
          </cell>
          <cell r="AB292">
            <v>11133</v>
          </cell>
        </row>
        <row r="293">
          <cell r="T293" t="str">
            <v>IAYW203</v>
          </cell>
          <cell r="U293">
            <v>2</v>
          </cell>
          <cell r="V293">
            <v>450</v>
          </cell>
          <cell r="W293">
            <v>448</v>
          </cell>
          <cell r="X293">
            <v>0.99555555555555553</v>
          </cell>
          <cell r="Y293">
            <v>58000</v>
          </cell>
          <cell r="Z293">
            <v>58000</v>
          </cell>
          <cell r="AA293">
            <v>11500</v>
          </cell>
          <cell r="AB293">
            <v>11133</v>
          </cell>
        </row>
        <row r="294">
          <cell r="T294" t="str">
            <v>IAYW204</v>
          </cell>
          <cell r="U294">
            <v>1</v>
          </cell>
          <cell r="V294">
            <v>300</v>
          </cell>
          <cell r="W294">
            <v>189</v>
          </cell>
          <cell r="X294">
            <v>0.63</v>
          </cell>
          <cell r="Y294">
            <v>58000</v>
          </cell>
          <cell r="Z294">
            <v>58000</v>
          </cell>
          <cell r="AA294">
            <v>11000</v>
          </cell>
          <cell r="AB294">
            <v>10633</v>
          </cell>
        </row>
        <row r="295">
          <cell r="T295" t="str">
            <v>IAYW205</v>
          </cell>
          <cell r="U295">
            <v>1</v>
          </cell>
          <cell r="V295">
            <v>300</v>
          </cell>
          <cell r="W295">
            <v>299</v>
          </cell>
          <cell r="X295">
            <v>0.9966666666666667</v>
          </cell>
          <cell r="Y295">
            <v>58000</v>
          </cell>
          <cell r="Z295">
            <v>58000</v>
          </cell>
          <cell r="AA295">
            <v>12000</v>
          </cell>
          <cell r="AB295">
            <v>10133</v>
          </cell>
        </row>
        <row r="296">
          <cell r="T296" t="str">
            <v>IAYW206</v>
          </cell>
          <cell r="U296">
            <v>2</v>
          </cell>
          <cell r="V296">
            <v>450</v>
          </cell>
          <cell r="W296">
            <v>448</v>
          </cell>
          <cell r="X296">
            <v>0.99555555555555553</v>
          </cell>
          <cell r="Y296">
            <v>58000</v>
          </cell>
          <cell r="Z296">
            <v>58000</v>
          </cell>
          <cell r="AA296">
            <v>12000</v>
          </cell>
          <cell r="AB296">
            <v>10133</v>
          </cell>
        </row>
        <row r="297">
          <cell r="T297" t="str">
            <v>IAYW207</v>
          </cell>
          <cell r="U297">
            <v>1</v>
          </cell>
          <cell r="V297">
            <v>250</v>
          </cell>
          <cell r="W297">
            <v>249</v>
          </cell>
          <cell r="X297">
            <v>0.996</v>
          </cell>
          <cell r="Y297">
            <v>68000</v>
          </cell>
          <cell r="Z297">
            <v>68000</v>
          </cell>
          <cell r="AA297">
            <v>16000</v>
          </cell>
          <cell r="AB297">
            <v>15633</v>
          </cell>
        </row>
        <row r="298">
          <cell r="T298" t="str">
            <v>IAYW208</v>
          </cell>
          <cell r="U298">
            <v>1</v>
          </cell>
          <cell r="V298">
            <v>250</v>
          </cell>
          <cell r="W298">
            <v>247</v>
          </cell>
          <cell r="X298">
            <v>0.98799999999999999</v>
          </cell>
          <cell r="Y298">
            <v>58000</v>
          </cell>
          <cell r="Z298">
            <v>58000</v>
          </cell>
          <cell r="AA298">
            <v>11500</v>
          </cell>
          <cell r="AB298">
            <v>10633</v>
          </cell>
        </row>
        <row r="299">
          <cell r="T299" t="str">
            <v>IAYW209</v>
          </cell>
          <cell r="U299">
            <v>1</v>
          </cell>
          <cell r="V299">
            <v>300</v>
          </cell>
          <cell r="W299">
            <v>298</v>
          </cell>
          <cell r="X299">
            <v>0.99333333333333329</v>
          </cell>
          <cell r="Y299">
            <v>58000</v>
          </cell>
          <cell r="Z299">
            <v>58000</v>
          </cell>
          <cell r="AA299">
            <v>11000</v>
          </cell>
          <cell r="AB299">
            <v>11133</v>
          </cell>
        </row>
        <row r="300">
          <cell r="T300" t="str">
            <v>IAYW210</v>
          </cell>
          <cell r="U300">
            <v>1</v>
          </cell>
          <cell r="V300">
            <v>300</v>
          </cell>
          <cell r="W300">
            <v>299</v>
          </cell>
          <cell r="X300">
            <v>0.9966666666666667</v>
          </cell>
          <cell r="Y300">
            <v>52000</v>
          </cell>
          <cell r="Z300">
            <v>58000</v>
          </cell>
          <cell r="AA300">
            <v>10500</v>
          </cell>
          <cell r="AB300">
            <v>10133</v>
          </cell>
        </row>
        <row r="301">
          <cell r="T301" t="str">
            <v>IAYW211</v>
          </cell>
          <cell r="U301">
            <v>2</v>
          </cell>
          <cell r="V301">
            <v>350</v>
          </cell>
          <cell r="W301">
            <v>348</v>
          </cell>
          <cell r="X301">
            <v>0.99428571428571433</v>
          </cell>
          <cell r="Y301">
            <v>58000</v>
          </cell>
          <cell r="Z301">
            <v>58000</v>
          </cell>
          <cell r="AA301">
            <v>11500</v>
          </cell>
          <cell r="AB301">
            <v>10633</v>
          </cell>
        </row>
        <row r="302">
          <cell r="T302" t="str">
            <v>IAYW212</v>
          </cell>
          <cell r="U302">
            <v>1</v>
          </cell>
          <cell r="V302">
            <v>200</v>
          </cell>
          <cell r="W302">
            <v>199</v>
          </cell>
          <cell r="X302">
            <v>0.995</v>
          </cell>
          <cell r="Y302">
            <v>62000</v>
          </cell>
          <cell r="Z302">
            <v>68000</v>
          </cell>
          <cell r="AA302">
            <v>14500</v>
          </cell>
          <cell r="AB302">
            <v>12633</v>
          </cell>
        </row>
        <row r="303">
          <cell r="T303" t="str">
            <v>IAYW213</v>
          </cell>
          <cell r="U303">
            <v>2</v>
          </cell>
          <cell r="V303">
            <v>550</v>
          </cell>
          <cell r="W303">
            <v>547</v>
          </cell>
          <cell r="X303">
            <v>0.99454545454545451</v>
          </cell>
          <cell r="Y303">
            <v>68000</v>
          </cell>
          <cell r="Z303">
            <v>68000</v>
          </cell>
          <cell r="AA303">
            <v>16000</v>
          </cell>
          <cell r="AB303">
            <v>14133</v>
          </cell>
        </row>
        <row r="304">
          <cell r="U304">
            <v>19</v>
          </cell>
          <cell r="V304">
            <v>4650</v>
          </cell>
          <cell r="W304">
            <v>4516</v>
          </cell>
          <cell r="X304">
            <v>0.97118279569892474</v>
          </cell>
        </row>
        <row r="305">
          <cell r="T305" t="str">
            <v>IAYT201</v>
          </cell>
          <cell r="U305">
            <v>1</v>
          </cell>
          <cell r="V305">
            <v>1000</v>
          </cell>
          <cell r="W305">
            <v>0</v>
          </cell>
          <cell r="X305">
            <v>0</v>
          </cell>
          <cell r="Y305">
            <v>19000</v>
          </cell>
          <cell r="AA305">
            <v>5000</v>
          </cell>
        </row>
        <row r="306">
          <cell r="U306">
            <v>1</v>
          </cell>
          <cell r="V306">
            <v>1000</v>
          </cell>
          <cell r="W306">
            <v>0</v>
          </cell>
          <cell r="X306">
            <v>0</v>
          </cell>
        </row>
        <row r="307">
          <cell r="T307" t="str">
            <v>IAYV201</v>
          </cell>
          <cell r="U307">
            <v>1</v>
          </cell>
          <cell r="V307">
            <v>200</v>
          </cell>
          <cell r="W307">
            <v>202</v>
          </cell>
          <cell r="X307">
            <v>1.01</v>
          </cell>
          <cell r="Y307">
            <v>78000</v>
          </cell>
          <cell r="Z307">
            <v>78000</v>
          </cell>
          <cell r="AA307">
            <v>20800</v>
          </cell>
          <cell r="AB307">
            <v>20101</v>
          </cell>
        </row>
        <row r="308">
          <cell r="U308">
            <v>1</v>
          </cell>
          <cell r="V308">
            <v>200</v>
          </cell>
          <cell r="W308">
            <v>202</v>
          </cell>
          <cell r="X308">
            <v>1.01</v>
          </cell>
        </row>
        <row r="309">
          <cell r="T309" t="str">
            <v>ACC 남성여름계</v>
          </cell>
          <cell r="U309">
            <v>21</v>
          </cell>
          <cell r="V309">
            <v>5850</v>
          </cell>
          <cell r="W309">
            <v>4718</v>
          </cell>
          <cell r="X309">
            <v>0.80649572649572654</v>
          </cell>
        </row>
        <row r="310">
          <cell r="T310" t="str">
            <v>PAYW201</v>
          </cell>
          <cell r="U310">
            <v>2</v>
          </cell>
          <cell r="V310">
            <v>400</v>
          </cell>
          <cell r="W310">
            <v>396</v>
          </cell>
          <cell r="X310">
            <v>0.99</v>
          </cell>
          <cell r="Y310">
            <v>62000</v>
          </cell>
          <cell r="Z310">
            <v>68000</v>
          </cell>
          <cell r="AA310">
            <v>14000</v>
          </cell>
          <cell r="AB310">
            <v>11439</v>
          </cell>
        </row>
        <row r="311">
          <cell r="T311" t="str">
            <v>PAYW202</v>
          </cell>
          <cell r="U311">
            <v>2</v>
          </cell>
          <cell r="V311">
            <v>350</v>
          </cell>
          <cell r="W311">
            <v>348</v>
          </cell>
          <cell r="X311">
            <v>0.99428571428571433</v>
          </cell>
          <cell r="Y311">
            <v>58000</v>
          </cell>
          <cell r="Z311">
            <v>58000</v>
          </cell>
          <cell r="AA311">
            <v>12000</v>
          </cell>
          <cell r="AB311">
            <v>10633</v>
          </cell>
        </row>
        <row r="312">
          <cell r="T312" t="str">
            <v>PAYW203</v>
          </cell>
          <cell r="U312">
            <v>2</v>
          </cell>
          <cell r="V312">
            <v>500</v>
          </cell>
          <cell r="W312">
            <v>498</v>
          </cell>
          <cell r="X312">
            <v>0.996</v>
          </cell>
          <cell r="Y312">
            <v>58000</v>
          </cell>
          <cell r="Z312">
            <v>58000</v>
          </cell>
          <cell r="AA312">
            <v>12000</v>
          </cell>
          <cell r="AB312">
            <v>10133</v>
          </cell>
        </row>
        <row r="313">
          <cell r="T313" t="str">
            <v>PAYW204</v>
          </cell>
          <cell r="U313">
            <v>2</v>
          </cell>
          <cell r="V313">
            <v>450</v>
          </cell>
          <cell r="W313">
            <v>447</v>
          </cell>
          <cell r="X313">
            <v>0.99333333333333329</v>
          </cell>
          <cell r="Y313">
            <v>58000</v>
          </cell>
          <cell r="Z313">
            <v>58000</v>
          </cell>
          <cell r="AA313">
            <v>12000</v>
          </cell>
          <cell r="AB313">
            <v>11139</v>
          </cell>
        </row>
        <row r="314">
          <cell r="T314" t="str">
            <v>PAYW206</v>
          </cell>
          <cell r="U314">
            <v>2</v>
          </cell>
          <cell r="V314">
            <v>500</v>
          </cell>
          <cell r="W314">
            <v>497</v>
          </cell>
          <cell r="X314">
            <v>0.99399999999999999</v>
          </cell>
          <cell r="Y314">
            <v>68000</v>
          </cell>
          <cell r="Z314">
            <v>68000</v>
          </cell>
          <cell r="AA314">
            <v>13500</v>
          </cell>
          <cell r="AB314">
            <v>14133</v>
          </cell>
        </row>
        <row r="315">
          <cell r="T315" t="str">
            <v>PAYW207</v>
          </cell>
          <cell r="U315">
            <v>2</v>
          </cell>
          <cell r="V315">
            <v>500</v>
          </cell>
          <cell r="W315">
            <v>492</v>
          </cell>
          <cell r="X315">
            <v>0.98399999999999999</v>
          </cell>
          <cell r="Y315">
            <v>62000</v>
          </cell>
          <cell r="Z315">
            <v>68000</v>
          </cell>
          <cell r="AA315">
            <v>12000</v>
          </cell>
          <cell r="AB315">
            <v>11133</v>
          </cell>
        </row>
        <row r="316">
          <cell r="T316" t="str">
            <v>PAYW208</v>
          </cell>
          <cell r="U316">
            <v>2</v>
          </cell>
          <cell r="V316">
            <v>500</v>
          </cell>
          <cell r="W316">
            <v>498</v>
          </cell>
          <cell r="X316">
            <v>0.996</v>
          </cell>
          <cell r="Y316">
            <v>68000</v>
          </cell>
          <cell r="Z316">
            <v>68000</v>
          </cell>
          <cell r="AA316">
            <v>16500</v>
          </cell>
          <cell r="AB316">
            <v>16133</v>
          </cell>
        </row>
        <row r="317">
          <cell r="T317" t="str">
            <v>PAYW209</v>
          </cell>
          <cell r="U317">
            <v>2</v>
          </cell>
          <cell r="V317">
            <v>600</v>
          </cell>
          <cell r="W317">
            <v>600</v>
          </cell>
          <cell r="X317">
            <v>1</v>
          </cell>
          <cell r="Y317">
            <v>68000</v>
          </cell>
          <cell r="Z317">
            <v>68000</v>
          </cell>
          <cell r="AA317">
            <v>13500</v>
          </cell>
          <cell r="AB317">
            <v>13539</v>
          </cell>
        </row>
        <row r="318">
          <cell r="T318" t="str">
            <v>PAYW210</v>
          </cell>
          <cell r="U318">
            <v>2</v>
          </cell>
          <cell r="V318">
            <v>500</v>
          </cell>
          <cell r="W318">
            <v>498</v>
          </cell>
          <cell r="X318">
            <v>0.996</v>
          </cell>
          <cell r="Y318">
            <v>68000</v>
          </cell>
          <cell r="Z318">
            <v>68000</v>
          </cell>
          <cell r="AA318">
            <v>13500</v>
          </cell>
          <cell r="AB318">
            <v>14139</v>
          </cell>
        </row>
        <row r="319">
          <cell r="T319" t="str">
            <v>PAYW211</v>
          </cell>
          <cell r="U319">
            <v>2</v>
          </cell>
          <cell r="V319">
            <v>1000</v>
          </cell>
          <cell r="W319">
            <v>918</v>
          </cell>
          <cell r="X319">
            <v>0.91800000000000004</v>
          </cell>
          <cell r="Y319">
            <v>58000</v>
          </cell>
          <cell r="Z319">
            <v>58000</v>
          </cell>
          <cell r="AA319">
            <v>10000</v>
          </cell>
          <cell r="AB319">
            <v>10633</v>
          </cell>
        </row>
        <row r="320">
          <cell r="T320" t="str">
            <v>PAYW212</v>
          </cell>
          <cell r="U320">
            <v>2</v>
          </cell>
          <cell r="V320">
            <v>1000</v>
          </cell>
          <cell r="W320">
            <v>998</v>
          </cell>
          <cell r="X320">
            <v>0.998</v>
          </cell>
          <cell r="Y320">
            <v>68000</v>
          </cell>
          <cell r="Z320">
            <v>68000</v>
          </cell>
          <cell r="AA320">
            <v>12500</v>
          </cell>
          <cell r="AB320">
            <v>11133</v>
          </cell>
        </row>
        <row r="321">
          <cell r="T321" t="str">
            <v>PAYW213</v>
          </cell>
          <cell r="U321">
            <v>1</v>
          </cell>
          <cell r="V321">
            <v>150</v>
          </cell>
          <cell r="W321">
            <v>150</v>
          </cell>
          <cell r="X321">
            <v>1</v>
          </cell>
          <cell r="Y321">
            <v>58000</v>
          </cell>
          <cell r="Z321">
            <v>58000</v>
          </cell>
          <cell r="AA321">
            <v>11000</v>
          </cell>
          <cell r="AB321">
            <v>10639</v>
          </cell>
        </row>
        <row r="322">
          <cell r="T322" t="str">
            <v>PAYW214</v>
          </cell>
          <cell r="U322">
            <v>2</v>
          </cell>
          <cell r="V322">
            <v>1000</v>
          </cell>
          <cell r="W322">
            <v>998</v>
          </cell>
          <cell r="X322">
            <v>0.998</v>
          </cell>
          <cell r="Y322">
            <v>58000</v>
          </cell>
          <cell r="Z322">
            <v>58000</v>
          </cell>
          <cell r="AA322">
            <v>11500</v>
          </cell>
          <cell r="AB322">
            <v>9139</v>
          </cell>
        </row>
        <row r="323">
          <cell r="T323" t="str">
            <v>PAYW215</v>
          </cell>
          <cell r="U323">
            <v>2</v>
          </cell>
          <cell r="V323">
            <v>400</v>
          </cell>
          <cell r="W323">
            <v>401</v>
          </cell>
          <cell r="X323">
            <v>1.0024999999999999</v>
          </cell>
          <cell r="Y323">
            <v>58000</v>
          </cell>
          <cell r="Z323">
            <v>58000</v>
          </cell>
          <cell r="AA323">
            <v>11000</v>
          </cell>
          <cell r="AB323">
            <v>11139</v>
          </cell>
        </row>
        <row r="324">
          <cell r="U324">
            <v>27</v>
          </cell>
          <cell r="V324">
            <v>7850</v>
          </cell>
          <cell r="W324">
            <v>7739</v>
          </cell>
          <cell r="X324">
            <v>0.98585987261146502</v>
          </cell>
        </row>
        <row r="325">
          <cell r="T325" t="str">
            <v>PAYX201</v>
          </cell>
          <cell r="U325">
            <v>1</v>
          </cell>
          <cell r="V325">
            <v>150</v>
          </cell>
          <cell r="W325">
            <v>0</v>
          </cell>
          <cell r="X325">
            <v>0</v>
          </cell>
          <cell r="Y325">
            <v>578000</v>
          </cell>
          <cell r="Z325">
            <v>578000</v>
          </cell>
          <cell r="AA325">
            <v>194000</v>
          </cell>
          <cell r="AB325">
            <v>194000</v>
          </cell>
        </row>
        <row r="326">
          <cell r="T326" t="str">
            <v>PAYX202</v>
          </cell>
          <cell r="U326">
            <v>1</v>
          </cell>
          <cell r="V326">
            <v>150</v>
          </cell>
          <cell r="W326">
            <v>0</v>
          </cell>
          <cell r="X326">
            <v>0</v>
          </cell>
          <cell r="Y326">
            <v>318000</v>
          </cell>
          <cell r="Z326">
            <v>318000</v>
          </cell>
          <cell r="AA326">
            <v>90000</v>
          </cell>
          <cell r="AB326">
            <v>90000</v>
          </cell>
        </row>
        <row r="327">
          <cell r="T327" t="str">
            <v>PAYX203</v>
          </cell>
          <cell r="U327">
            <v>1</v>
          </cell>
          <cell r="V327">
            <v>200</v>
          </cell>
          <cell r="W327">
            <v>0</v>
          </cell>
          <cell r="X327">
            <v>0</v>
          </cell>
          <cell r="Y327">
            <v>128000</v>
          </cell>
          <cell r="AA327">
            <v>28700</v>
          </cell>
        </row>
        <row r="328">
          <cell r="U328">
            <v>3</v>
          </cell>
          <cell r="V328">
            <v>500</v>
          </cell>
          <cell r="W328">
            <v>0</v>
          </cell>
          <cell r="X328">
            <v>0</v>
          </cell>
        </row>
        <row r="329">
          <cell r="T329" t="str">
            <v>PAYV201</v>
          </cell>
          <cell r="U329">
            <v>2</v>
          </cell>
          <cell r="V329">
            <v>350</v>
          </cell>
          <cell r="W329">
            <v>353</v>
          </cell>
          <cell r="X329">
            <v>1.0085714285714287</v>
          </cell>
          <cell r="Y329">
            <v>68000</v>
          </cell>
          <cell r="Z329">
            <v>68000</v>
          </cell>
          <cell r="AA329">
            <v>15200</v>
          </cell>
          <cell r="AB329">
            <v>15101</v>
          </cell>
        </row>
        <row r="330">
          <cell r="U330">
            <v>2</v>
          </cell>
          <cell r="V330">
            <v>350</v>
          </cell>
          <cell r="W330">
            <v>353</v>
          </cell>
          <cell r="X330">
            <v>1.0085714285714287</v>
          </cell>
        </row>
        <row r="331">
          <cell r="T331" t="str">
            <v>ACC 여성여름계</v>
          </cell>
          <cell r="U331">
            <v>32</v>
          </cell>
          <cell r="V331">
            <v>8700</v>
          </cell>
          <cell r="W331">
            <v>8092</v>
          </cell>
          <cell r="X331">
            <v>0.93011494252873561</v>
          </cell>
        </row>
        <row r="332">
          <cell r="T332" t="str">
            <v>ACC 여름합계</v>
          </cell>
          <cell r="U332">
            <v>53</v>
          </cell>
          <cell r="V332">
            <v>14550</v>
          </cell>
          <cell r="W332">
            <v>12810</v>
          </cell>
          <cell r="X332">
            <v>0.8804123711340206</v>
          </cell>
        </row>
        <row r="333">
          <cell r="T333" t="str">
            <v>ACC S/S 합계</v>
          </cell>
          <cell r="U333">
            <v>85</v>
          </cell>
          <cell r="V333">
            <v>24650</v>
          </cell>
          <cell r="W333">
            <v>22812</v>
          </cell>
          <cell r="X333">
            <v>0.92543610547667343</v>
          </cell>
        </row>
        <row r="334">
          <cell r="T334" t="str">
            <v>S/S 총합계</v>
          </cell>
          <cell r="U334">
            <v>513</v>
          </cell>
          <cell r="V334">
            <v>359500</v>
          </cell>
          <cell r="W334">
            <v>313710</v>
          </cell>
          <cell r="X334">
            <v>0.87262865090403341</v>
          </cell>
        </row>
        <row r="335">
          <cell r="T335">
            <v>0</v>
          </cell>
        </row>
        <row r="336">
          <cell r="T336" t="str">
            <v>IEY7201</v>
          </cell>
          <cell r="U336">
            <v>1</v>
          </cell>
          <cell r="V336">
            <v>6000</v>
          </cell>
          <cell r="W336">
            <v>4800</v>
          </cell>
          <cell r="X336">
            <v>0.8</v>
          </cell>
          <cell r="Y336">
            <v>78000</v>
          </cell>
          <cell r="Z336">
            <v>79000</v>
          </cell>
          <cell r="AA336">
            <v>8400</v>
          </cell>
          <cell r="AB336">
            <v>8151</v>
          </cell>
        </row>
        <row r="337">
          <cell r="T337" t="str">
            <v>IEY7202</v>
          </cell>
          <cell r="U337">
            <v>1</v>
          </cell>
          <cell r="V337">
            <v>6000</v>
          </cell>
          <cell r="W337">
            <v>4800</v>
          </cell>
          <cell r="X337">
            <v>0.8</v>
          </cell>
          <cell r="Y337">
            <v>78000</v>
          </cell>
          <cell r="Z337">
            <v>79000</v>
          </cell>
          <cell r="AA337">
            <v>8400</v>
          </cell>
          <cell r="AB337">
            <v>8151</v>
          </cell>
        </row>
        <row r="338">
          <cell r="T338" t="str">
            <v>IEY7203</v>
          </cell>
          <cell r="U338">
            <v>1</v>
          </cell>
          <cell r="V338">
            <v>6000</v>
          </cell>
          <cell r="W338">
            <v>4800</v>
          </cell>
          <cell r="X338">
            <v>0.8</v>
          </cell>
          <cell r="Y338">
            <v>78000</v>
          </cell>
          <cell r="Z338">
            <v>79000</v>
          </cell>
          <cell r="AA338">
            <v>8400</v>
          </cell>
          <cell r="AB338">
            <v>8151</v>
          </cell>
        </row>
        <row r="339">
          <cell r="U339">
            <v>3</v>
          </cell>
          <cell r="V339">
            <v>18000</v>
          </cell>
          <cell r="W339">
            <v>14400</v>
          </cell>
          <cell r="X339">
            <v>0.8</v>
          </cell>
        </row>
        <row r="340">
          <cell r="T340" t="str">
            <v>티커머스 계</v>
          </cell>
          <cell r="U340">
            <v>3</v>
          </cell>
          <cell r="V340">
            <v>18000</v>
          </cell>
          <cell r="W340">
            <v>14400</v>
          </cell>
          <cell r="X340">
            <v>0.8</v>
          </cell>
        </row>
        <row r="342">
          <cell r="V342">
            <v>160000000</v>
          </cell>
        </row>
        <row r="343">
          <cell r="V343">
            <v>8888.8888888888887</v>
          </cell>
        </row>
      </sheetData>
      <sheetData sheetId="9">
        <row r="1">
          <cell r="A1" t="str">
            <v>I0W1206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rl"/>
      <sheetName val="매입채무"/>
      <sheetName val="부외부채"/>
      <sheetName val="기타의부채"/>
      <sheetName val="퇴충"/>
      <sheetName val="우발채무"/>
      <sheetName val="시산표"/>
      <sheetName val="DB-2"/>
      <sheetName val="DB-1"/>
      <sheetName val="데이타"/>
      <sheetName val="Setup"/>
      <sheetName val="수익성분석"/>
      <sheetName val="손익계산서"/>
      <sheetName val="이익잉여금처분계산서"/>
      <sheetName val="제조원가명세서"/>
      <sheetName val="현금흐름표"/>
      <sheetName val="예상판매율 10"/>
      <sheetName val="DB 2018 SS 1"/>
      <sheetName val="DB 2017 SS 2"/>
      <sheetName val="2018 금주 판매"/>
      <sheetName val="2017 주간 4"/>
      <sheetName val="2018 전주 판매"/>
      <sheetName val="입고일자 9"/>
      <sheetName val="참조"/>
    </sheetNames>
    <sheetDataSet>
      <sheetData sheetId="0" refreshError="1">
        <row r="4">
          <cell r="C4" t="str">
            <v>12/31/99</v>
          </cell>
        </row>
        <row r="5">
          <cell r="C5" t="str">
            <v>6/30/2000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생산진행 (입고기준)34만"/>
      <sheetName val="차순별입고"/>
      <sheetName val="오더분석1"/>
      <sheetName val="참조"/>
      <sheetName val="Sheet1"/>
      <sheetName val="회사정보"/>
      <sheetName val="Ctrl"/>
    </sheetNames>
    <sheetDataSet>
      <sheetData sheetId="0" refreshError="1">
        <row r="4">
          <cell r="A4" t="str">
            <v>의류</v>
          </cell>
          <cell r="H4">
            <v>6</v>
          </cell>
          <cell r="S4">
            <v>34220000</v>
          </cell>
          <cell r="T4">
            <v>230100000</v>
          </cell>
          <cell r="AA4">
            <v>110448000</v>
          </cell>
          <cell r="AB4">
            <v>83056896</v>
          </cell>
          <cell r="AC4">
            <v>7550626.9090909092</v>
          </cell>
          <cell r="AD4">
            <v>21242593.943646844</v>
          </cell>
          <cell r="AI4">
            <v>0</v>
          </cell>
          <cell r="AJ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H5">
            <v>2</v>
          </cell>
          <cell r="S5">
            <v>13840000</v>
          </cell>
          <cell r="T5">
            <v>126400000</v>
          </cell>
          <cell r="AA5">
            <v>60672000</v>
          </cell>
          <cell r="AB5">
            <v>45625344</v>
          </cell>
          <cell r="AC5">
            <v>4147758.5454545454</v>
          </cell>
          <cell r="AD5">
            <v>8591393.92694542</v>
          </cell>
          <cell r="AI5">
            <v>0</v>
          </cell>
          <cell r="AJ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H6">
            <v>2</v>
          </cell>
          <cell r="S6">
            <v>18480000</v>
          </cell>
          <cell r="T6">
            <v>129800000</v>
          </cell>
          <cell r="AA6">
            <v>62304000</v>
          </cell>
          <cell r="AB6">
            <v>46852608</v>
          </cell>
          <cell r="AC6">
            <v>4259328</v>
          </cell>
          <cell r="AD6">
            <v>11471745.648117874</v>
          </cell>
          <cell r="AI6">
            <v>0</v>
          </cell>
          <cell r="AJ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H7">
            <v>2</v>
          </cell>
          <cell r="S7">
            <v>19100000</v>
          </cell>
          <cell r="T7">
            <v>178000000</v>
          </cell>
          <cell r="AA7">
            <v>85440000</v>
          </cell>
          <cell r="AB7">
            <v>64250880</v>
          </cell>
          <cell r="AC7">
            <v>5840989.0909090908</v>
          </cell>
          <cell r="AD7">
            <v>11856620.231550399</v>
          </cell>
          <cell r="AI7">
            <v>0</v>
          </cell>
          <cell r="AJ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H8">
            <v>2</v>
          </cell>
          <cell r="S8">
            <v>18300000</v>
          </cell>
          <cell r="T8">
            <v>178000000</v>
          </cell>
          <cell r="AA8">
            <v>85440000</v>
          </cell>
          <cell r="AB8">
            <v>64250880</v>
          </cell>
          <cell r="AC8">
            <v>5840989.0909090908</v>
          </cell>
          <cell r="AD8">
            <v>11360007.865831012</v>
          </cell>
          <cell r="AI8">
            <v>0</v>
          </cell>
          <cell r="AJ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H9">
            <v>2</v>
          </cell>
          <cell r="S9">
            <v>19700000</v>
          </cell>
          <cell r="T9">
            <v>158000000</v>
          </cell>
          <cell r="AA9">
            <v>75840000</v>
          </cell>
          <cell r="AB9">
            <v>57031680</v>
          </cell>
          <cell r="AC9">
            <v>5184698.1818181816</v>
          </cell>
          <cell r="AD9">
            <v>12229079.50583994</v>
          </cell>
          <cell r="AI9">
            <v>0</v>
          </cell>
          <cell r="AJ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H10">
            <v>1</v>
          </cell>
          <cell r="S10">
            <v>8200000</v>
          </cell>
          <cell r="T10">
            <v>71200000</v>
          </cell>
          <cell r="AA10">
            <v>34176000</v>
          </cell>
          <cell r="AB10">
            <v>25700352</v>
          </cell>
          <cell r="AC10">
            <v>2336395.6363636362</v>
          </cell>
          <cell r="AD10">
            <v>5090276.7486237315</v>
          </cell>
          <cell r="AI10">
            <v>8135856</v>
          </cell>
          <cell r="AJ10">
            <v>68256000</v>
          </cell>
          <cell r="AQ10">
            <v>32762880</v>
          </cell>
          <cell r="AR10">
            <v>24637685.760000002</v>
          </cell>
          <cell r="AS10">
            <v>2239789.6145454547</v>
          </cell>
          <cell r="AT10">
            <v>4718796.4799999995</v>
          </cell>
        </row>
        <row r="11">
          <cell r="H11">
            <v>2</v>
          </cell>
          <cell r="S11">
            <v>7950000</v>
          </cell>
          <cell r="T11">
            <v>69000000</v>
          </cell>
          <cell r="AA11">
            <v>33120000</v>
          </cell>
          <cell r="AB11">
            <v>24906240</v>
          </cell>
          <cell r="AC11">
            <v>2264203.6363636362</v>
          </cell>
          <cell r="AD11">
            <v>4935085.3843364231</v>
          </cell>
          <cell r="AI11">
            <v>7207704</v>
          </cell>
          <cell r="AJ11">
            <v>62652000</v>
          </cell>
          <cell r="AQ11">
            <v>30072960</v>
          </cell>
          <cell r="AR11">
            <v>22614865.920000002</v>
          </cell>
          <cell r="AS11">
            <v>2055896.9018181821</v>
          </cell>
          <cell r="AT11">
            <v>4180468.32</v>
          </cell>
        </row>
        <row r="12">
          <cell r="H12">
            <v>2</v>
          </cell>
          <cell r="S12">
            <v>10020000</v>
          </cell>
          <cell r="T12">
            <v>94800000</v>
          </cell>
          <cell r="AA12">
            <v>45504000</v>
          </cell>
          <cell r="AB12">
            <v>34219008</v>
          </cell>
          <cell r="AC12">
            <v>3110818.9090909092</v>
          </cell>
          <cell r="AD12">
            <v>6220069.8806353416</v>
          </cell>
          <cell r="AI12">
            <v>0</v>
          </cell>
          <cell r="AJ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H13">
            <v>2</v>
          </cell>
          <cell r="S13">
            <v>17100000</v>
          </cell>
          <cell r="T13">
            <v>198000000</v>
          </cell>
          <cell r="AA13">
            <v>95040000</v>
          </cell>
          <cell r="AB13">
            <v>71470080</v>
          </cell>
          <cell r="AC13">
            <v>6497280</v>
          </cell>
          <cell r="AD13">
            <v>10615089.31725193</v>
          </cell>
          <cell r="AI13">
            <v>0</v>
          </cell>
          <cell r="AJ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H14">
            <v>3</v>
          </cell>
          <cell r="S14">
            <v>19050000</v>
          </cell>
          <cell r="T14">
            <v>177000000</v>
          </cell>
          <cell r="AA14">
            <v>84960000</v>
          </cell>
          <cell r="AB14">
            <v>63889920</v>
          </cell>
          <cell r="AC14">
            <v>5808174.5454545459</v>
          </cell>
          <cell r="AD14">
            <v>11825581.95869294</v>
          </cell>
          <cell r="AI14">
            <v>0</v>
          </cell>
          <cell r="AJ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H15">
            <v>2</v>
          </cell>
          <cell r="S15">
            <v>14025000</v>
          </cell>
          <cell r="T15">
            <v>134300000</v>
          </cell>
          <cell r="AA15">
            <v>64464000</v>
          </cell>
          <cell r="AB15">
            <v>48476928</v>
          </cell>
          <cell r="AC15">
            <v>4406993.4545454541</v>
          </cell>
          <cell r="AD15">
            <v>8706235.5365180299</v>
          </cell>
          <cell r="AI15">
            <v>14334842</v>
          </cell>
          <cell r="AJ15">
            <v>123556000</v>
          </cell>
          <cell r="AQ15">
            <v>59306880</v>
          </cell>
          <cell r="AR15">
            <v>44598773.759999998</v>
          </cell>
          <cell r="AS15">
            <v>4054433.978181818</v>
          </cell>
          <cell r="AT15">
            <v>8314208.3599999994</v>
          </cell>
        </row>
        <row r="16">
          <cell r="H16">
            <v>3</v>
          </cell>
          <cell r="S16">
            <v>27680000</v>
          </cell>
          <cell r="T16">
            <v>252800000</v>
          </cell>
          <cell r="AA16">
            <v>121344000</v>
          </cell>
          <cell r="AB16">
            <v>91250688</v>
          </cell>
          <cell r="AC16">
            <v>8295517.0909090908</v>
          </cell>
          <cell r="AD16">
            <v>17182787.85389084</v>
          </cell>
          <cell r="AI16">
            <v>0</v>
          </cell>
          <cell r="AJ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H17">
            <v>2</v>
          </cell>
          <cell r="S17">
            <v>16000000</v>
          </cell>
          <cell r="T17">
            <v>178000000</v>
          </cell>
          <cell r="AA17">
            <v>85440000</v>
          </cell>
          <cell r="AB17">
            <v>64250880</v>
          </cell>
          <cell r="AC17">
            <v>5840989.0909090908</v>
          </cell>
          <cell r="AD17">
            <v>9932247.3143877704</v>
          </cell>
          <cell r="AI17">
            <v>0</v>
          </cell>
          <cell r="AJ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H18">
            <v>2</v>
          </cell>
          <cell r="S18">
            <v>18900000</v>
          </cell>
          <cell r="T18">
            <v>178000000</v>
          </cell>
          <cell r="AA18">
            <v>85440000</v>
          </cell>
          <cell r="AB18">
            <v>64250880</v>
          </cell>
          <cell r="AC18">
            <v>5840989.0909090908</v>
          </cell>
          <cell r="AD18">
            <v>11732467.140120555</v>
          </cell>
          <cell r="AI18">
            <v>0</v>
          </cell>
          <cell r="AJ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H19">
            <v>2</v>
          </cell>
          <cell r="S19">
            <v>12640000</v>
          </cell>
          <cell r="T19">
            <v>110400000</v>
          </cell>
          <cell r="AA19">
            <v>52992000</v>
          </cell>
          <cell r="AB19">
            <v>39849984</v>
          </cell>
          <cell r="AC19">
            <v>3622725.8181818184</v>
          </cell>
          <cell r="AD19">
            <v>7846475.378366339</v>
          </cell>
          <cell r="AI19">
            <v>13464000</v>
          </cell>
          <cell r="AJ19">
            <v>113850000</v>
          </cell>
          <cell r="AQ19">
            <v>54648000</v>
          </cell>
          <cell r="AR19">
            <v>41095296</v>
          </cell>
          <cell r="AS19">
            <v>3735936</v>
          </cell>
          <cell r="AT19">
            <v>7809119.9999999991</v>
          </cell>
        </row>
        <row r="20">
          <cell r="H20">
            <v>1</v>
          </cell>
          <cell r="S20">
            <v>8400000</v>
          </cell>
          <cell r="T20">
            <v>79000000</v>
          </cell>
          <cell r="AA20">
            <v>37920000</v>
          </cell>
          <cell r="AB20">
            <v>28515840</v>
          </cell>
          <cell r="AC20">
            <v>2592349.0909090908</v>
          </cell>
          <cell r="AD20">
            <v>5214429.8400535798</v>
          </cell>
          <cell r="AI20">
            <v>8143545</v>
          </cell>
          <cell r="AJ20">
            <v>73470000</v>
          </cell>
          <cell r="AQ20">
            <v>35265600</v>
          </cell>
          <cell r="AR20">
            <v>26519731.199999999</v>
          </cell>
          <cell r="AS20">
            <v>2410884.6545454543</v>
          </cell>
          <cell r="AT20">
            <v>4723256.0999999996</v>
          </cell>
        </row>
        <row r="21">
          <cell r="H21">
            <v>2</v>
          </cell>
          <cell r="S21">
            <v>22680000</v>
          </cell>
          <cell r="T21">
            <v>213600000</v>
          </cell>
          <cell r="AA21">
            <v>102528000</v>
          </cell>
          <cell r="AB21">
            <v>77101056</v>
          </cell>
          <cell r="AC21">
            <v>7009186.9090909092</v>
          </cell>
          <cell r="AD21">
            <v>14078960.568144664</v>
          </cell>
          <cell r="AI21">
            <v>0</v>
          </cell>
          <cell r="AJ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H22">
            <v>2</v>
          </cell>
          <cell r="S22">
            <v>24100000</v>
          </cell>
          <cell r="T22">
            <v>178000000</v>
          </cell>
          <cell r="AA22">
            <v>85440000</v>
          </cell>
          <cell r="AB22">
            <v>64250880</v>
          </cell>
          <cell r="AC22">
            <v>5840989.0909090908</v>
          </cell>
          <cell r="AD22">
            <v>14960447.517296579</v>
          </cell>
          <cell r="AI22">
            <v>0</v>
          </cell>
          <cell r="AJ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H23">
            <v>2</v>
          </cell>
          <cell r="S23">
            <v>18900000</v>
          </cell>
          <cell r="T23">
            <v>166800000</v>
          </cell>
          <cell r="AA23">
            <v>80064000</v>
          </cell>
          <cell r="AB23">
            <v>60208128</v>
          </cell>
          <cell r="AC23">
            <v>5473466.1818181816</v>
          </cell>
          <cell r="AD23">
            <v>11732467.140120555</v>
          </cell>
          <cell r="AI23">
            <v>0</v>
          </cell>
          <cell r="AJ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H24">
            <v>2</v>
          </cell>
          <cell r="S24">
            <v>28840000</v>
          </cell>
          <cell r="T24">
            <v>208600000</v>
          </cell>
          <cell r="AA24">
            <v>100128000</v>
          </cell>
          <cell r="AB24">
            <v>75296256</v>
          </cell>
          <cell r="AC24">
            <v>6845114.1818181816</v>
          </cell>
          <cell r="AD24">
            <v>17902875.784183957</v>
          </cell>
          <cell r="AI24">
            <v>0</v>
          </cell>
          <cell r="AJ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H25">
            <v>2</v>
          </cell>
          <cell r="S25">
            <v>28920000</v>
          </cell>
          <cell r="T25">
            <v>190800000</v>
          </cell>
          <cell r="AA25">
            <v>91584000</v>
          </cell>
          <cell r="AB25">
            <v>68871168</v>
          </cell>
          <cell r="AC25">
            <v>6261015.2727272725</v>
          </cell>
          <cell r="AD25">
            <v>17952537.020755894</v>
          </cell>
          <cell r="AI25">
            <v>0</v>
          </cell>
          <cell r="AJ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H26">
            <v>1</v>
          </cell>
          <cell r="S26">
            <v>10050000</v>
          </cell>
          <cell r="T26">
            <v>83400000</v>
          </cell>
          <cell r="AA26">
            <v>40032000</v>
          </cell>
          <cell r="AB26">
            <v>30104064</v>
          </cell>
          <cell r="AC26">
            <v>2736733.0909090908</v>
          </cell>
          <cell r="AD26">
            <v>6238692.8443498183</v>
          </cell>
          <cell r="AI26">
            <v>0</v>
          </cell>
          <cell r="AJ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H27">
            <v>1</v>
          </cell>
          <cell r="S27">
            <v>18680000</v>
          </cell>
          <cell r="T27">
            <v>135200000</v>
          </cell>
          <cell r="AA27">
            <v>64896000</v>
          </cell>
          <cell r="AB27">
            <v>48801792</v>
          </cell>
          <cell r="AC27">
            <v>4436526.5454545459</v>
          </cell>
          <cell r="AD27">
            <v>11595898.739547722</v>
          </cell>
          <cell r="AI27">
            <v>0</v>
          </cell>
          <cell r="AJ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H28">
            <v>1</v>
          </cell>
          <cell r="S28">
            <v>6930000</v>
          </cell>
          <cell r="T28">
            <v>55300000</v>
          </cell>
          <cell r="AA28">
            <v>26544000</v>
          </cell>
          <cell r="AB28">
            <v>19961088</v>
          </cell>
          <cell r="AC28">
            <v>1814644.3636363635</v>
          </cell>
          <cell r="AD28">
            <v>4301904.6180442022</v>
          </cell>
          <cell r="AI28">
            <v>0</v>
          </cell>
          <cell r="AJ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H29">
            <v>1</v>
          </cell>
          <cell r="S29">
            <v>8460000</v>
          </cell>
          <cell r="T29">
            <v>71100000</v>
          </cell>
          <cell r="AA29">
            <v>34128000</v>
          </cell>
          <cell r="AB29">
            <v>25664256</v>
          </cell>
          <cell r="AC29">
            <v>2333114.1818181816</v>
          </cell>
          <cell r="AD29">
            <v>5251675.7674825331</v>
          </cell>
          <cell r="AI29">
            <v>0</v>
          </cell>
          <cell r="AJ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H30">
            <v>1</v>
          </cell>
          <cell r="S30">
            <v>9250000</v>
          </cell>
          <cell r="T30">
            <v>89000000</v>
          </cell>
          <cell r="AA30">
            <v>42720000</v>
          </cell>
          <cell r="AB30">
            <v>32125440</v>
          </cell>
          <cell r="AC30">
            <v>2920494.5454545454</v>
          </cell>
          <cell r="AD30">
            <v>5742080.4786304291</v>
          </cell>
          <cell r="AI30">
            <v>0</v>
          </cell>
          <cell r="AJ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H31">
            <v>1</v>
          </cell>
          <cell r="S31">
            <v>9720000</v>
          </cell>
          <cell r="T31">
            <v>80100000</v>
          </cell>
          <cell r="AA31">
            <v>38448000</v>
          </cell>
          <cell r="AB31">
            <v>28912896</v>
          </cell>
          <cell r="AC31">
            <v>2628445.0909090908</v>
          </cell>
          <cell r="AD31">
            <v>6033840.2434905702</v>
          </cell>
          <cell r="AI31">
            <v>0</v>
          </cell>
          <cell r="AJ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H32">
            <v>1</v>
          </cell>
          <cell r="S32">
            <v>5670000</v>
          </cell>
          <cell r="T32">
            <v>62300000</v>
          </cell>
          <cell r="AA32">
            <v>29904000</v>
          </cell>
          <cell r="AB32">
            <v>22487808</v>
          </cell>
          <cell r="AC32">
            <v>2044346.1818181819</v>
          </cell>
          <cell r="AD32">
            <v>3519740.142036166</v>
          </cell>
          <cell r="AI32">
            <v>0</v>
          </cell>
          <cell r="AJ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H33">
            <v>2</v>
          </cell>
          <cell r="S33">
            <v>26325000</v>
          </cell>
          <cell r="T33">
            <v>232700000</v>
          </cell>
          <cell r="AA33">
            <v>111696000</v>
          </cell>
          <cell r="AB33">
            <v>83995392</v>
          </cell>
          <cell r="AC33">
            <v>7635944.7272727275</v>
          </cell>
          <cell r="AD33">
            <v>16341650.659453627</v>
          </cell>
          <cell r="AI33">
            <v>0</v>
          </cell>
          <cell r="AJ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H34">
            <v>1</v>
          </cell>
          <cell r="S34">
            <v>23975000</v>
          </cell>
          <cell r="T34">
            <v>167300000</v>
          </cell>
          <cell r="AA34">
            <v>80304000</v>
          </cell>
          <cell r="AB34">
            <v>60388608</v>
          </cell>
          <cell r="AC34">
            <v>5489873.4545454541</v>
          </cell>
          <cell r="AD34">
            <v>14882851.835152924</v>
          </cell>
          <cell r="AI34">
            <v>0</v>
          </cell>
          <cell r="AJ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H35">
            <v>1</v>
          </cell>
          <cell r="S35">
            <v>16530000</v>
          </cell>
          <cell r="T35">
            <v>131400000</v>
          </cell>
          <cell r="AA35">
            <v>63072000</v>
          </cell>
          <cell r="AB35">
            <v>47430144</v>
          </cell>
          <cell r="AC35">
            <v>4311831.2727272725</v>
          </cell>
          <cell r="AD35">
            <v>10261253.006676864</v>
          </cell>
          <cell r="AI35">
            <v>0</v>
          </cell>
          <cell r="AJ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H36">
            <v>1</v>
          </cell>
          <cell r="S36">
            <v>19775000</v>
          </cell>
          <cell r="T36">
            <v>153300000</v>
          </cell>
          <cell r="AA36">
            <v>73584000</v>
          </cell>
          <cell r="AB36">
            <v>55335168</v>
          </cell>
          <cell r="AC36">
            <v>5030469.8181818184</v>
          </cell>
          <cell r="AD36">
            <v>12275636.915126134</v>
          </cell>
          <cell r="AI36">
            <v>0</v>
          </cell>
          <cell r="AJ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H37">
            <v>3</v>
          </cell>
          <cell r="S37">
            <v>44960000</v>
          </cell>
          <cell r="T37">
            <v>316800000</v>
          </cell>
          <cell r="AA37">
            <v>152064000</v>
          </cell>
          <cell r="AB37">
            <v>114352128</v>
          </cell>
          <cell r="AC37">
            <v>10395648</v>
          </cell>
          <cell r="AD37">
            <v>27909614.953429632</v>
          </cell>
          <cell r="AI37">
            <v>0</v>
          </cell>
          <cell r="AJ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H38">
            <v>2</v>
          </cell>
          <cell r="S38">
            <v>31140000</v>
          </cell>
          <cell r="T38">
            <v>268200000</v>
          </cell>
          <cell r="AA38">
            <v>128736000</v>
          </cell>
          <cell r="AB38">
            <v>96809472</v>
          </cell>
          <cell r="AC38">
            <v>8800861.0909090918</v>
          </cell>
          <cell r="AD38">
            <v>19330636.335627198</v>
          </cell>
          <cell r="AI38">
            <v>29482005</v>
          </cell>
          <cell r="AJ38">
            <v>281430000</v>
          </cell>
          <cell r="AQ38">
            <v>135086400</v>
          </cell>
          <cell r="AR38">
            <v>101584972.8</v>
          </cell>
          <cell r="AS38">
            <v>9234997.5272727273</v>
          </cell>
          <cell r="AT38">
            <v>17099562.899999999</v>
          </cell>
        </row>
        <row r="39">
          <cell r="H39">
            <v>2</v>
          </cell>
          <cell r="S39">
            <v>42480000</v>
          </cell>
          <cell r="T39">
            <v>318400000</v>
          </cell>
          <cell r="AA39">
            <v>152832000</v>
          </cell>
          <cell r="AB39">
            <v>114929664</v>
          </cell>
          <cell r="AC39">
            <v>10448151.272727273</v>
          </cell>
          <cell r="AD39">
            <v>26370116.61969953</v>
          </cell>
          <cell r="AI39">
            <v>0</v>
          </cell>
          <cell r="AJ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H40">
            <v>2</v>
          </cell>
          <cell r="S40">
            <v>31570000</v>
          </cell>
          <cell r="T40">
            <v>264600000</v>
          </cell>
          <cell r="AA40">
            <v>127008000</v>
          </cell>
          <cell r="AB40">
            <v>95510016</v>
          </cell>
          <cell r="AC40">
            <v>8682728.7272727266</v>
          </cell>
          <cell r="AD40">
            <v>19597565.482201368</v>
          </cell>
          <cell r="AI40">
            <v>0</v>
          </cell>
          <cell r="AJ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H41">
            <v>2</v>
          </cell>
          <cell r="S41">
            <v>73760000</v>
          </cell>
          <cell r="T41">
            <v>636800000</v>
          </cell>
          <cell r="AA41">
            <v>305664000</v>
          </cell>
          <cell r="AB41">
            <v>229859328</v>
          </cell>
          <cell r="AC41">
            <v>20896302.545454547</v>
          </cell>
          <cell r="AD41">
            <v>45787660.11932762</v>
          </cell>
          <cell r="AI41">
            <v>0</v>
          </cell>
          <cell r="AJ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H42">
            <v>2</v>
          </cell>
          <cell r="S42">
            <v>29880000</v>
          </cell>
          <cell r="T42">
            <v>268200000</v>
          </cell>
          <cell r="AA42">
            <v>128736000</v>
          </cell>
          <cell r="AB42">
            <v>96809472</v>
          </cell>
          <cell r="AC42">
            <v>8800861.0909090918</v>
          </cell>
          <cell r="AD42">
            <v>18548471.859619159</v>
          </cell>
          <cell r="AI42">
            <v>27634818</v>
          </cell>
          <cell r="AJ42">
            <v>244956000</v>
          </cell>
          <cell r="AQ42">
            <v>117578880</v>
          </cell>
          <cell r="AR42">
            <v>88419317.760000005</v>
          </cell>
          <cell r="AS42">
            <v>8038119.7963636369</v>
          </cell>
          <cell r="AT42">
            <v>16028194.439999999</v>
          </cell>
        </row>
        <row r="43">
          <cell r="H43">
            <v>1</v>
          </cell>
          <cell r="S43">
            <v>23950000</v>
          </cell>
          <cell r="T43">
            <v>189000000</v>
          </cell>
          <cell r="AA43">
            <v>90720000</v>
          </cell>
          <cell r="AB43">
            <v>68221440</v>
          </cell>
          <cell r="AC43">
            <v>6201949.0909090908</v>
          </cell>
          <cell r="AD43">
            <v>14867332.698724192</v>
          </cell>
          <cell r="AI43">
            <v>0</v>
          </cell>
          <cell r="AJ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H44">
            <v>2</v>
          </cell>
          <cell r="S44">
            <v>33810000</v>
          </cell>
          <cell r="T44">
            <v>264600000</v>
          </cell>
          <cell r="AA44">
            <v>127008000</v>
          </cell>
          <cell r="AB44">
            <v>95510016</v>
          </cell>
          <cell r="AC44">
            <v>8682728.7272727266</v>
          </cell>
          <cell r="AD44">
            <v>20988080.106215656</v>
          </cell>
          <cell r="AI44">
            <v>0</v>
          </cell>
          <cell r="AJ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H45">
            <v>2</v>
          </cell>
          <cell r="S45">
            <v>38480000</v>
          </cell>
          <cell r="T45">
            <v>286400000</v>
          </cell>
          <cell r="AA45">
            <v>137472000</v>
          </cell>
          <cell r="AB45">
            <v>103378944</v>
          </cell>
          <cell r="AC45">
            <v>9398085.8181818184</v>
          </cell>
          <cell r="AD45">
            <v>23887054.791102588</v>
          </cell>
          <cell r="AI45">
            <v>0</v>
          </cell>
          <cell r="AJ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H46">
            <v>2</v>
          </cell>
          <cell r="S46">
            <v>29022500</v>
          </cell>
          <cell r="T46">
            <v>205400000</v>
          </cell>
          <cell r="AA46">
            <v>98592000</v>
          </cell>
          <cell r="AB46">
            <v>74141184</v>
          </cell>
          <cell r="AC46">
            <v>6740107.6363636367</v>
          </cell>
          <cell r="AD46">
            <v>18016165.480113689</v>
          </cell>
          <cell r="AI46">
            <v>0</v>
          </cell>
          <cell r="AJ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H47">
            <v>2</v>
          </cell>
          <cell r="S47">
            <v>57205000</v>
          </cell>
          <cell r="T47">
            <v>457300000</v>
          </cell>
          <cell r="AA47">
            <v>219504000</v>
          </cell>
          <cell r="AB47">
            <v>165067008</v>
          </cell>
          <cell r="AC47">
            <v>15006091.636363637</v>
          </cell>
          <cell r="AD47">
            <v>35510887.976222023</v>
          </cell>
          <cell r="AI47">
            <v>0</v>
          </cell>
          <cell r="AJ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H48">
            <v>3</v>
          </cell>
          <cell r="S48">
            <v>45980000</v>
          </cell>
          <cell r="T48">
            <v>391600000</v>
          </cell>
          <cell r="AA48">
            <v>187968000</v>
          </cell>
          <cell r="AB48">
            <v>141351936</v>
          </cell>
          <cell r="AC48">
            <v>12850176</v>
          </cell>
          <cell r="AD48">
            <v>28542795.719721854</v>
          </cell>
          <cell r="AI48">
            <v>41692785</v>
          </cell>
          <cell r="AJ48">
            <v>383590000</v>
          </cell>
          <cell r="AQ48">
            <v>184123200</v>
          </cell>
          <cell r="AR48">
            <v>138460646.40000001</v>
          </cell>
          <cell r="AS48">
            <v>12587331.490909092</v>
          </cell>
          <cell r="AT48">
            <v>24181815.299999997</v>
          </cell>
        </row>
        <row r="49">
          <cell r="H49">
            <v>2</v>
          </cell>
          <cell r="S49">
            <v>28840000</v>
          </cell>
          <cell r="T49">
            <v>277200000</v>
          </cell>
          <cell r="AA49">
            <v>133056000</v>
          </cell>
          <cell r="AB49">
            <v>100058112</v>
          </cell>
          <cell r="AC49">
            <v>9096192</v>
          </cell>
          <cell r="AD49">
            <v>17902875.784183957</v>
          </cell>
          <cell r="AI49">
            <v>28070856</v>
          </cell>
          <cell r="AJ49">
            <v>291852000</v>
          </cell>
          <cell r="AQ49">
            <v>140088960</v>
          </cell>
          <cell r="AR49">
            <v>105346897.92</v>
          </cell>
          <cell r="AS49">
            <v>9576990.7200000007</v>
          </cell>
          <cell r="AT49">
            <v>16281096.479999999</v>
          </cell>
        </row>
        <row r="50">
          <cell r="H50">
            <v>2</v>
          </cell>
          <cell r="S50">
            <v>35700000</v>
          </cell>
          <cell r="T50">
            <v>297000000</v>
          </cell>
          <cell r="AA50">
            <v>142560000</v>
          </cell>
          <cell r="AB50">
            <v>107205120</v>
          </cell>
          <cell r="AC50">
            <v>9745920</v>
          </cell>
          <cell r="AD50">
            <v>22161326.820227712</v>
          </cell>
          <cell r="AI50">
            <v>0</v>
          </cell>
          <cell r="AJ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H51">
            <v>2</v>
          </cell>
          <cell r="S51">
            <v>40480000</v>
          </cell>
          <cell r="T51">
            <v>348800000</v>
          </cell>
          <cell r="AA51">
            <v>167424000</v>
          </cell>
          <cell r="AB51">
            <v>125902848</v>
          </cell>
          <cell r="AC51">
            <v>11445713.454545455</v>
          </cell>
          <cell r="AD51">
            <v>25128585.705401056</v>
          </cell>
          <cell r="AI51">
            <v>0</v>
          </cell>
          <cell r="AJ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H52">
            <v>2</v>
          </cell>
          <cell r="S52">
            <v>33660000</v>
          </cell>
          <cell r="T52">
            <v>302600000</v>
          </cell>
          <cell r="AA52">
            <v>145248000</v>
          </cell>
          <cell r="AB52">
            <v>109226496</v>
          </cell>
          <cell r="AC52">
            <v>9929681.4545454551</v>
          </cell>
          <cell r="AD52">
            <v>20894965.287643272</v>
          </cell>
          <cell r="AI52">
            <v>35205667</v>
          </cell>
          <cell r="AJ52">
            <v>328766000</v>
          </cell>
          <cell r="AQ52">
            <v>157807680</v>
          </cell>
          <cell r="AR52">
            <v>118671375.36</v>
          </cell>
          <cell r="AS52">
            <v>10788306.850909092</v>
          </cell>
          <cell r="AT52">
            <v>20419286.859999999</v>
          </cell>
        </row>
        <row r="53">
          <cell r="H53">
            <v>2</v>
          </cell>
          <cell r="S53">
            <v>20300000</v>
          </cell>
          <cell r="T53">
            <v>221200000</v>
          </cell>
          <cell r="AA53">
            <v>106176000</v>
          </cell>
          <cell r="AB53">
            <v>79844352</v>
          </cell>
          <cell r="AC53">
            <v>7258577.4545454541</v>
          </cell>
          <cell r="AD53">
            <v>12601538.780129485</v>
          </cell>
          <cell r="AI53">
            <v>0</v>
          </cell>
          <cell r="AJ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H54">
            <v>2</v>
          </cell>
          <cell r="S54">
            <v>27300000</v>
          </cell>
          <cell r="T54">
            <v>257400000</v>
          </cell>
          <cell r="AA54">
            <v>123552000</v>
          </cell>
          <cell r="AB54">
            <v>92911104</v>
          </cell>
          <cell r="AC54">
            <v>8446464</v>
          </cell>
          <cell r="AD54">
            <v>16946896.980174132</v>
          </cell>
          <cell r="AI54">
            <v>26208900</v>
          </cell>
          <cell r="AJ54">
            <v>252450000</v>
          </cell>
          <cell r="AQ54">
            <v>121176000</v>
          </cell>
          <cell r="AR54">
            <v>91124352</v>
          </cell>
          <cell r="AS54">
            <v>8284032</v>
          </cell>
          <cell r="AT54">
            <v>15201161.999999998</v>
          </cell>
        </row>
        <row r="55">
          <cell r="H55">
            <v>2</v>
          </cell>
          <cell r="S55">
            <v>34060000</v>
          </cell>
          <cell r="T55">
            <v>257400000</v>
          </cell>
          <cell r="AA55">
            <v>123552000</v>
          </cell>
          <cell r="AB55">
            <v>92911104</v>
          </cell>
          <cell r="AC55">
            <v>8446464</v>
          </cell>
          <cell r="AD55">
            <v>21143271.470502965</v>
          </cell>
          <cell r="AI55">
            <v>0</v>
          </cell>
          <cell r="AJ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H56">
            <v>5</v>
          </cell>
          <cell r="S56">
            <v>22000000</v>
          </cell>
          <cell r="T56">
            <v>171600000</v>
          </cell>
          <cell r="AA56">
            <v>82368000</v>
          </cell>
          <cell r="AB56">
            <v>61940736</v>
          </cell>
          <cell r="AC56">
            <v>5630976</v>
          </cell>
          <cell r="AD56">
            <v>13656840.057283184</v>
          </cell>
          <cell r="AI56">
            <v>0</v>
          </cell>
          <cell r="AJ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H57">
            <v>2</v>
          </cell>
          <cell r="S57">
            <v>12800000</v>
          </cell>
          <cell r="T57">
            <v>118000000</v>
          </cell>
          <cell r="AA57">
            <v>56640000</v>
          </cell>
          <cell r="AB57">
            <v>42593280</v>
          </cell>
          <cell r="AC57">
            <v>3872116.3636363638</v>
          </cell>
          <cell r="AD57">
            <v>7945797.8515102165</v>
          </cell>
          <cell r="AI57">
            <v>0</v>
          </cell>
          <cell r="AJ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H58">
            <v>2</v>
          </cell>
          <cell r="S58">
            <v>12600000</v>
          </cell>
          <cell r="T58">
            <v>126400000</v>
          </cell>
          <cell r="AA58">
            <v>60672000</v>
          </cell>
          <cell r="AB58">
            <v>45625344</v>
          </cell>
          <cell r="AC58">
            <v>4147758.5454545454</v>
          </cell>
          <cell r="AD58">
            <v>7821644.7600803683</v>
          </cell>
          <cell r="AI58">
            <v>0</v>
          </cell>
          <cell r="AJ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H59">
            <v>2</v>
          </cell>
          <cell r="S59">
            <v>16200000</v>
          </cell>
          <cell r="T59">
            <v>142200000</v>
          </cell>
          <cell r="AA59">
            <v>68256000</v>
          </cell>
          <cell r="AB59">
            <v>51328512</v>
          </cell>
          <cell r="AC59">
            <v>4666228.3636363633</v>
          </cell>
          <cell r="AD59">
            <v>10056400.405817617</v>
          </cell>
          <cell r="AI59">
            <v>0</v>
          </cell>
          <cell r="AJ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H60">
            <v>1</v>
          </cell>
          <cell r="S60">
            <v>13090000</v>
          </cell>
          <cell r="T60">
            <v>110600000</v>
          </cell>
          <cell r="AA60">
            <v>53088000</v>
          </cell>
          <cell r="AB60">
            <v>39922176</v>
          </cell>
          <cell r="AC60">
            <v>3629288.7272727271</v>
          </cell>
          <cell r="AD60">
            <v>8125819.8340834947</v>
          </cell>
          <cell r="AI60">
            <v>0</v>
          </cell>
          <cell r="AJ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H61">
            <v>2</v>
          </cell>
          <cell r="S61">
            <v>15800000</v>
          </cell>
          <cell r="T61">
            <v>158000000</v>
          </cell>
          <cell r="AA61">
            <v>75840000</v>
          </cell>
          <cell r="AB61">
            <v>57031680</v>
          </cell>
          <cell r="AC61">
            <v>5184698.1818181816</v>
          </cell>
          <cell r="AD61">
            <v>9808094.2229579221</v>
          </cell>
          <cell r="AI61">
            <v>0</v>
          </cell>
          <cell r="AJ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H62">
            <v>2</v>
          </cell>
          <cell r="S62">
            <v>15900000</v>
          </cell>
          <cell r="T62">
            <v>138000000</v>
          </cell>
          <cell r="AA62">
            <v>66240000</v>
          </cell>
          <cell r="AB62">
            <v>49812480</v>
          </cell>
          <cell r="AC62">
            <v>4528407.2727272725</v>
          </cell>
          <cell r="AD62">
            <v>9870170.7686728463</v>
          </cell>
          <cell r="AI62">
            <v>0</v>
          </cell>
          <cell r="AJ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H63">
            <v>2</v>
          </cell>
          <cell r="S63">
            <v>19000000</v>
          </cell>
          <cell r="T63">
            <v>158000000</v>
          </cell>
          <cell r="AA63">
            <v>75840000</v>
          </cell>
          <cell r="AB63">
            <v>57031680</v>
          </cell>
          <cell r="AC63">
            <v>5184698.1818181816</v>
          </cell>
          <cell r="AD63">
            <v>11794543.685835477</v>
          </cell>
          <cell r="AI63">
            <v>0</v>
          </cell>
          <cell r="AJ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H64">
            <v>2</v>
          </cell>
          <cell r="S64">
            <v>18370000</v>
          </cell>
          <cell r="T64">
            <v>173800000</v>
          </cell>
          <cell r="AA64">
            <v>83424000</v>
          </cell>
          <cell r="AB64">
            <v>62734848</v>
          </cell>
          <cell r="AC64">
            <v>5703168</v>
          </cell>
          <cell r="AD64">
            <v>11403461.447831457</v>
          </cell>
          <cell r="AI64">
            <v>0</v>
          </cell>
          <cell r="AJ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H65">
            <v>1</v>
          </cell>
          <cell r="S65">
            <v>9450000</v>
          </cell>
          <cell r="T65">
            <v>79000000</v>
          </cell>
          <cell r="AA65">
            <v>37920000</v>
          </cell>
          <cell r="AB65">
            <v>28515840</v>
          </cell>
          <cell r="AC65">
            <v>2592349.0909090908</v>
          </cell>
          <cell r="AD65">
            <v>5866233.5700602774</v>
          </cell>
          <cell r="AI65">
            <v>7727244</v>
          </cell>
          <cell r="AJ65">
            <v>74102000</v>
          </cell>
          <cell r="AQ65">
            <v>35568960</v>
          </cell>
          <cell r="AR65">
            <v>26747857.920000002</v>
          </cell>
          <cell r="AS65">
            <v>2431623.4472727273</v>
          </cell>
          <cell r="AT65">
            <v>4481801.5199999996</v>
          </cell>
        </row>
        <row r="66">
          <cell r="H66">
            <v>2</v>
          </cell>
          <cell r="S66">
            <v>15280000</v>
          </cell>
          <cell r="T66">
            <v>126400000</v>
          </cell>
          <cell r="AA66">
            <v>60672000</v>
          </cell>
          <cell r="AB66">
            <v>45625344</v>
          </cell>
          <cell r="AC66">
            <v>4147758.5454545454</v>
          </cell>
          <cell r="AD66">
            <v>9485296.185240319</v>
          </cell>
          <cell r="AI66">
            <v>0</v>
          </cell>
          <cell r="AJ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H67">
            <v>1</v>
          </cell>
          <cell r="S67">
            <v>4480000</v>
          </cell>
          <cell r="T67">
            <v>39200000</v>
          </cell>
          <cell r="AA67">
            <v>18816000</v>
          </cell>
          <cell r="AB67">
            <v>14149632</v>
          </cell>
          <cell r="AC67">
            <v>1286330.1818181819</v>
          </cell>
          <cell r="AD67">
            <v>2781029.2480285754</v>
          </cell>
          <cell r="AI67">
            <v>0</v>
          </cell>
          <cell r="AJ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H68">
            <v>2</v>
          </cell>
          <cell r="S68">
            <v>6700000</v>
          </cell>
          <cell r="T68">
            <v>59000000</v>
          </cell>
          <cell r="AA68">
            <v>28320000</v>
          </cell>
          <cell r="AB68">
            <v>21296640</v>
          </cell>
          <cell r="AC68">
            <v>1936058.1818181819</v>
          </cell>
          <cell r="AD68">
            <v>4159128.5628998787</v>
          </cell>
          <cell r="AI68">
            <v>0</v>
          </cell>
          <cell r="AJ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H69">
            <v>2</v>
          </cell>
          <cell r="S69">
            <v>10200000</v>
          </cell>
          <cell r="T69">
            <v>94800000</v>
          </cell>
          <cell r="AA69">
            <v>45504000</v>
          </cell>
          <cell r="AB69">
            <v>34219008</v>
          </cell>
          <cell r="AC69">
            <v>3110818.9090909092</v>
          </cell>
          <cell r="AD69">
            <v>6331807.6629222035</v>
          </cell>
          <cell r="AI69">
            <v>6931204</v>
          </cell>
          <cell r="AJ69">
            <v>80738000</v>
          </cell>
          <cell r="AQ69">
            <v>38754240</v>
          </cell>
          <cell r="AR69">
            <v>29143188.48</v>
          </cell>
          <cell r="AS69">
            <v>2649380.770909091</v>
          </cell>
          <cell r="AT69">
            <v>4020098.32</v>
          </cell>
        </row>
        <row r="70">
          <cell r="H70">
            <v>5</v>
          </cell>
          <cell r="S70">
            <v>34440000</v>
          </cell>
          <cell r="T70">
            <v>218400000</v>
          </cell>
          <cell r="AA70">
            <v>104832000</v>
          </cell>
          <cell r="AB70">
            <v>78833664</v>
          </cell>
          <cell r="AC70">
            <v>7166696.7272727275</v>
          </cell>
          <cell r="AD70">
            <v>21379162.344219673</v>
          </cell>
          <cell r="AI70">
            <v>24393120</v>
          </cell>
          <cell r="AJ70">
            <v>208260000</v>
          </cell>
          <cell r="AQ70">
            <v>99964800</v>
          </cell>
          <cell r="AR70">
            <v>75173529.599999994</v>
          </cell>
          <cell r="AS70">
            <v>6833957.2363636354</v>
          </cell>
          <cell r="AT70">
            <v>14148009.6</v>
          </cell>
        </row>
        <row r="71">
          <cell r="H71">
            <v>1</v>
          </cell>
          <cell r="S71">
            <v>9000000</v>
          </cell>
          <cell r="T71">
            <v>71200000</v>
          </cell>
          <cell r="AA71">
            <v>34176000</v>
          </cell>
          <cell r="AB71">
            <v>25700352</v>
          </cell>
          <cell r="AC71">
            <v>2336395.6363636362</v>
          </cell>
          <cell r="AD71">
            <v>5586889.1143431207</v>
          </cell>
          <cell r="AI71">
            <v>0</v>
          </cell>
          <cell r="AJ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H72">
            <v>1</v>
          </cell>
          <cell r="S72">
            <v>8160000</v>
          </cell>
          <cell r="T72">
            <v>63200000</v>
          </cell>
          <cell r="AA72">
            <v>30336000</v>
          </cell>
          <cell r="AB72">
            <v>22812672</v>
          </cell>
          <cell r="AC72">
            <v>2073879.2727272727</v>
          </cell>
          <cell r="AD72">
            <v>5065446.1303377626</v>
          </cell>
          <cell r="AI72">
            <v>6634332</v>
          </cell>
          <cell r="AJ72">
            <v>58374000</v>
          </cell>
          <cell r="AQ72">
            <v>28019520</v>
          </cell>
          <cell r="AR72">
            <v>21070679.039999999</v>
          </cell>
          <cell r="AS72">
            <v>1915516.2763636364</v>
          </cell>
          <cell r="AT72">
            <v>3847912.5599999996</v>
          </cell>
        </row>
        <row r="73">
          <cell r="H73">
            <v>1</v>
          </cell>
          <cell r="S73">
            <v>11200000</v>
          </cell>
          <cell r="T73">
            <v>99000000</v>
          </cell>
          <cell r="AA73">
            <v>47520000</v>
          </cell>
          <cell r="AB73">
            <v>35735040</v>
          </cell>
          <cell r="AC73">
            <v>3248640</v>
          </cell>
          <cell r="AD73">
            <v>6952573.1200714391</v>
          </cell>
          <cell r="AI73">
            <v>0</v>
          </cell>
          <cell r="AJ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H74">
            <v>2</v>
          </cell>
          <cell r="S74">
            <v>8400000</v>
          </cell>
          <cell r="T74">
            <v>78400000</v>
          </cell>
          <cell r="AA74">
            <v>37632000</v>
          </cell>
          <cell r="AB74">
            <v>28299264</v>
          </cell>
          <cell r="AC74">
            <v>2572660.3636363638</v>
          </cell>
          <cell r="AD74">
            <v>5214429.8400535798</v>
          </cell>
          <cell r="AI74">
            <v>8223568</v>
          </cell>
          <cell r="AJ74">
            <v>77224000</v>
          </cell>
          <cell r="AQ74">
            <v>37067520</v>
          </cell>
          <cell r="AR74">
            <v>27874775.039999999</v>
          </cell>
          <cell r="AS74">
            <v>2534070.458181818</v>
          </cell>
          <cell r="AT74">
            <v>4769669.4399999995</v>
          </cell>
        </row>
        <row r="75">
          <cell r="H75">
            <v>2</v>
          </cell>
          <cell r="S75">
            <v>27510000</v>
          </cell>
          <cell r="T75">
            <v>194600000</v>
          </cell>
          <cell r="AA75">
            <v>93408000</v>
          </cell>
          <cell r="AB75">
            <v>70242816</v>
          </cell>
          <cell r="AC75">
            <v>6385710.5454545459</v>
          </cell>
          <cell r="AD75">
            <v>17077257.726175472</v>
          </cell>
          <cell r="AI75">
            <v>25919586</v>
          </cell>
          <cell r="AJ75">
            <v>192654000</v>
          </cell>
          <cell r="AQ75">
            <v>92473920</v>
          </cell>
          <cell r="AR75">
            <v>69540387.840000004</v>
          </cell>
          <cell r="AS75">
            <v>6321853.4400000004</v>
          </cell>
          <cell r="AT75">
            <v>15033359.879999999</v>
          </cell>
        </row>
        <row r="76">
          <cell r="H76">
            <v>2</v>
          </cell>
          <cell r="S76">
            <v>18870000</v>
          </cell>
          <cell r="T76">
            <v>185300000</v>
          </cell>
          <cell r="AA76">
            <v>88944000</v>
          </cell>
          <cell r="AB76">
            <v>66885888</v>
          </cell>
          <cell r="AC76">
            <v>6080535.2727272725</v>
          </cell>
          <cell r="AD76">
            <v>11713844.176406076</v>
          </cell>
          <cell r="AI76">
            <v>17237815</v>
          </cell>
          <cell r="AJ76">
            <v>171130000</v>
          </cell>
          <cell r="AQ76">
            <v>82142400</v>
          </cell>
          <cell r="AR76">
            <v>61771084.799999997</v>
          </cell>
          <cell r="AS76">
            <v>5615553.1636363631</v>
          </cell>
          <cell r="AT76">
            <v>9997932.6999999993</v>
          </cell>
        </row>
        <row r="77">
          <cell r="H77">
            <v>2</v>
          </cell>
          <cell r="S77">
            <v>34830000</v>
          </cell>
          <cell r="T77">
            <v>250200000</v>
          </cell>
          <cell r="AA77">
            <v>120096000</v>
          </cell>
          <cell r="AB77">
            <v>90312192</v>
          </cell>
          <cell r="AC77">
            <v>8210199.2727272725</v>
          </cell>
          <cell r="AD77">
            <v>21621260.872507874</v>
          </cell>
          <cell r="AI77">
            <v>0</v>
          </cell>
          <cell r="AJ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H78">
            <v>1</v>
          </cell>
          <cell r="S78">
            <v>14700000</v>
          </cell>
          <cell r="T78">
            <v>107400000</v>
          </cell>
          <cell r="AA78">
            <v>51552000</v>
          </cell>
          <cell r="AB78">
            <v>38767104</v>
          </cell>
          <cell r="AC78">
            <v>3524282.1818181816</v>
          </cell>
          <cell r="AD78">
            <v>9125252.2200937625</v>
          </cell>
          <cell r="AI78">
            <v>0</v>
          </cell>
          <cell r="AJ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H79">
            <v>1</v>
          </cell>
          <cell r="S79">
            <v>11730000</v>
          </cell>
          <cell r="T79">
            <v>89400000</v>
          </cell>
          <cell r="AA79">
            <v>42912000</v>
          </cell>
          <cell r="AB79">
            <v>32269824</v>
          </cell>
          <cell r="AC79">
            <v>2933620.3636363638</v>
          </cell>
          <cell r="AD79">
            <v>7281578.8123605335</v>
          </cell>
          <cell r="AI79">
            <v>0</v>
          </cell>
          <cell r="AJ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H80">
            <v>2</v>
          </cell>
          <cell r="S80">
            <v>21800000</v>
          </cell>
          <cell r="T80">
            <v>178000000</v>
          </cell>
          <cell r="AA80">
            <v>85440000</v>
          </cell>
          <cell r="AB80">
            <v>64250880</v>
          </cell>
          <cell r="AC80">
            <v>5840989.0909090908</v>
          </cell>
          <cell r="AD80">
            <v>13532686.965853337</v>
          </cell>
          <cell r="AI80">
            <v>20205852</v>
          </cell>
          <cell r="AJ80">
            <v>177288000</v>
          </cell>
          <cell r="AQ80">
            <v>85098240</v>
          </cell>
          <cell r="AR80">
            <v>63993876.479999997</v>
          </cell>
          <cell r="AS80">
            <v>5817625.1345454538</v>
          </cell>
          <cell r="AT80">
            <v>11719394.159999998</v>
          </cell>
        </row>
        <row r="81">
          <cell r="H81">
            <v>1</v>
          </cell>
          <cell r="S81">
            <v>9720000</v>
          </cell>
          <cell r="T81">
            <v>79200000</v>
          </cell>
          <cell r="AA81">
            <v>38016000</v>
          </cell>
          <cell r="AB81">
            <v>28588032</v>
          </cell>
          <cell r="AC81">
            <v>2598912</v>
          </cell>
          <cell r="AD81">
            <v>6033840.2434905702</v>
          </cell>
          <cell r="AI81">
            <v>8530956</v>
          </cell>
          <cell r="AJ81">
            <v>76824000</v>
          </cell>
          <cell r="AQ81">
            <v>36875520</v>
          </cell>
          <cell r="AR81">
            <v>27730391.039999999</v>
          </cell>
          <cell r="AS81">
            <v>2520944.6400000001</v>
          </cell>
          <cell r="AT81">
            <v>4947954.4799999995</v>
          </cell>
        </row>
        <row r="82">
          <cell r="H82">
            <v>1</v>
          </cell>
          <cell r="S82">
            <v>12120000</v>
          </cell>
          <cell r="T82">
            <v>87200000</v>
          </cell>
          <cell r="AA82">
            <v>41856000</v>
          </cell>
          <cell r="AB82">
            <v>31475712</v>
          </cell>
          <cell r="AC82">
            <v>2861428.3636363638</v>
          </cell>
          <cell r="AD82">
            <v>7523677.3406487359</v>
          </cell>
          <cell r="AI82">
            <v>12651226</v>
          </cell>
          <cell r="AJ82">
            <v>94724000</v>
          </cell>
          <cell r="AQ82">
            <v>45467520</v>
          </cell>
          <cell r="AR82">
            <v>34191575.039999999</v>
          </cell>
          <cell r="AS82">
            <v>3108325.0036363634</v>
          </cell>
          <cell r="AT82">
            <v>7337711.0799999991</v>
          </cell>
        </row>
        <row r="83">
          <cell r="H83">
            <v>1</v>
          </cell>
          <cell r="S83">
            <v>10520000</v>
          </cell>
          <cell r="T83">
            <v>87200000</v>
          </cell>
          <cell r="AA83">
            <v>41856000</v>
          </cell>
          <cell r="AB83">
            <v>31475712</v>
          </cell>
          <cell r="AC83">
            <v>2861428.3636363638</v>
          </cell>
          <cell r="AD83">
            <v>6530452.6092099585</v>
          </cell>
          <cell r="AI83">
            <v>0</v>
          </cell>
          <cell r="AJ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H84">
            <v>1</v>
          </cell>
          <cell r="S84">
            <v>9320000</v>
          </cell>
          <cell r="T84">
            <v>79200000</v>
          </cell>
          <cell r="AA84">
            <v>38016000</v>
          </cell>
          <cell r="AB84">
            <v>28588032</v>
          </cell>
          <cell r="AC84">
            <v>2598912</v>
          </cell>
          <cell r="AD84">
            <v>5785534.0606308766</v>
          </cell>
          <cell r="AI84">
            <v>0</v>
          </cell>
          <cell r="AJ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H85">
            <v>1</v>
          </cell>
          <cell r="S85">
            <v>15500000</v>
          </cell>
          <cell r="T85">
            <v>109000000</v>
          </cell>
          <cell r="AA85">
            <v>52320000</v>
          </cell>
          <cell r="AB85">
            <v>39344640</v>
          </cell>
          <cell r="AC85">
            <v>3576785.4545454546</v>
          </cell>
          <cell r="AD85">
            <v>9621864.5858131517</v>
          </cell>
          <cell r="AI85">
            <v>0</v>
          </cell>
          <cell r="AJ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H86">
            <v>2</v>
          </cell>
          <cell r="S86">
            <v>30800000</v>
          </cell>
          <cell r="T86">
            <v>239800000</v>
          </cell>
          <cell r="AA86">
            <v>115104000</v>
          </cell>
          <cell r="AB86">
            <v>86558208</v>
          </cell>
          <cell r="AC86">
            <v>7868928</v>
          </cell>
          <cell r="AD86">
            <v>19119576.080196459</v>
          </cell>
          <cell r="AI86">
            <v>0</v>
          </cell>
          <cell r="AJ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H87">
            <v>3</v>
          </cell>
          <cell r="S87">
            <v>39225000</v>
          </cell>
          <cell r="T87">
            <v>297000000</v>
          </cell>
          <cell r="AA87">
            <v>142560000</v>
          </cell>
          <cell r="AB87">
            <v>107205120</v>
          </cell>
          <cell r="AC87">
            <v>9745920</v>
          </cell>
          <cell r="AD87">
            <v>24349525.056678768</v>
          </cell>
          <cell r="AI87">
            <v>36883308</v>
          </cell>
          <cell r="AJ87">
            <v>291684000</v>
          </cell>
          <cell r="AQ87">
            <v>140008320</v>
          </cell>
          <cell r="AR87">
            <v>105286256.64</v>
          </cell>
          <cell r="AS87">
            <v>9571477.8763636369</v>
          </cell>
          <cell r="AT87">
            <v>21392318.639999997</v>
          </cell>
        </row>
        <row r="88">
          <cell r="H88">
            <v>2</v>
          </cell>
          <cell r="S88">
            <v>30420000</v>
          </cell>
          <cell r="T88">
            <v>250200000</v>
          </cell>
          <cell r="AA88">
            <v>120096000</v>
          </cell>
          <cell r="AB88">
            <v>90312192</v>
          </cell>
          <cell r="AC88">
            <v>8210199.2727272725</v>
          </cell>
          <cell r="AD88">
            <v>18883685.206479751</v>
          </cell>
          <cell r="AI88">
            <v>34027026</v>
          </cell>
          <cell r="AJ88">
            <v>284394000</v>
          </cell>
          <cell r="AQ88">
            <v>136509120</v>
          </cell>
          <cell r="AR88">
            <v>102654858.23999999</v>
          </cell>
          <cell r="AS88">
            <v>9332259.8399999999</v>
          </cell>
          <cell r="AT88">
            <v>19735675.079999998</v>
          </cell>
        </row>
        <row r="89">
          <cell r="H89">
            <v>1</v>
          </cell>
          <cell r="S89">
            <v>18600000</v>
          </cell>
          <cell r="T89">
            <v>151200000</v>
          </cell>
          <cell r="AA89">
            <v>72576000</v>
          </cell>
          <cell r="AB89">
            <v>54577152</v>
          </cell>
          <cell r="AC89">
            <v>4961559.2727272725</v>
          </cell>
          <cell r="AD89">
            <v>11546237.502975782</v>
          </cell>
          <cell r="AI89">
            <v>0</v>
          </cell>
          <cell r="AJ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H90">
            <v>2</v>
          </cell>
          <cell r="S90">
            <v>39280000</v>
          </cell>
          <cell r="T90">
            <v>318400000</v>
          </cell>
          <cell r="AA90">
            <v>152832000</v>
          </cell>
          <cell r="AB90">
            <v>114929664</v>
          </cell>
          <cell r="AC90">
            <v>10448151.272727273</v>
          </cell>
          <cell r="AD90">
            <v>24383667.156821974</v>
          </cell>
          <cell r="AI90">
            <v>0</v>
          </cell>
          <cell r="AJ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H91">
            <v>2</v>
          </cell>
          <cell r="S91">
            <v>21060000</v>
          </cell>
          <cell r="T91">
            <v>178800000</v>
          </cell>
          <cell r="AA91">
            <v>85824000</v>
          </cell>
          <cell r="AB91">
            <v>64539648</v>
          </cell>
          <cell r="AC91">
            <v>5867240.7272727275</v>
          </cell>
          <cell r="AD91">
            <v>13073320.527562901</v>
          </cell>
          <cell r="AI91">
            <v>0</v>
          </cell>
          <cell r="AJ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H92">
            <v>2</v>
          </cell>
          <cell r="S92">
            <v>27200000</v>
          </cell>
          <cell r="T92">
            <v>238400000</v>
          </cell>
          <cell r="AA92">
            <v>114432000</v>
          </cell>
          <cell r="AB92">
            <v>86052864</v>
          </cell>
          <cell r="AC92">
            <v>7822987.6363636367</v>
          </cell>
          <cell r="AD92">
            <v>16884820.434459209</v>
          </cell>
          <cell r="AI92">
            <v>0</v>
          </cell>
          <cell r="AJ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H93">
            <v>2</v>
          </cell>
          <cell r="S93">
            <v>38520000</v>
          </cell>
          <cell r="T93">
            <v>322200000</v>
          </cell>
          <cell r="AA93">
            <v>154656000</v>
          </cell>
          <cell r="AB93">
            <v>116301312</v>
          </cell>
          <cell r="AC93">
            <v>10572846.545454545</v>
          </cell>
          <cell r="AD93">
            <v>23911885.409388557</v>
          </cell>
          <cell r="AI93">
            <v>34235210</v>
          </cell>
          <cell r="AJ93">
            <v>308954000</v>
          </cell>
          <cell r="AQ93">
            <v>148297920</v>
          </cell>
          <cell r="AR93">
            <v>111520035.84</v>
          </cell>
          <cell r="AS93">
            <v>10138185.076363636</v>
          </cell>
          <cell r="AT93">
            <v>19856421.799999997</v>
          </cell>
        </row>
        <row r="94">
          <cell r="H94">
            <v>3</v>
          </cell>
          <cell r="S94">
            <v>69150000</v>
          </cell>
          <cell r="T94">
            <v>597000000</v>
          </cell>
          <cell r="AA94">
            <v>286560000</v>
          </cell>
          <cell r="AB94">
            <v>215493120</v>
          </cell>
          <cell r="AC94">
            <v>19590283.636363637</v>
          </cell>
          <cell r="AD94">
            <v>42925931.361869648</v>
          </cell>
          <cell r="AI94">
            <v>0</v>
          </cell>
          <cell r="AJ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H95">
            <v>2</v>
          </cell>
          <cell r="S95">
            <v>42210000</v>
          </cell>
          <cell r="T95">
            <v>358200000</v>
          </cell>
          <cell r="AA95">
            <v>171936000</v>
          </cell>
          <cell r="AB95">
            <v>129295872</v>
          </cell>
          <cell r="AC95">
            <v>11754170.181818182</v>
          </cell>
          <cell r="AD95">
            <v>26202509.946269237</v>
          </cell>
          <cell r="AI95">
            <v>0</v>
          </cell>
          <cell r="AJ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H96">
            <v>2</v>
          </cell>
          <cell r="S96">
            <v>27650000</v>
          </cell>
          <cell r="T96">
            <v>222600000</v>
          </cell>
          <cell r="AA96">
            <v>106848000</v>
          </cell>
          <cell r="AB96">
            <v>80349696</v>
          </cell>
          <cell r="AC96">
            <v>7304517.8181818184</v>
          </cell>
          <cell r="AD96">
            <v>17164164.890176367</v>
          </cell>
          <cell r="AI96">
            <v>0</v>
          </cell>
          <cell r="AJ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H97">
            <v>2</v>
          </cell>
          <cell r="S97">
            <v>21600000</v>
          </cell>
          <cell r="T97">
            <v>178800000</v>
          </cell>
          <cell r="AA97">
            <v>85824000</v>
          </cell>
          <cell r="AB97">
            <v>64539648</v>
          </cell>
          <cell r="AC97">
            <v>5867240.7272727275</v>
          </cell>
          <cell r="AD97">
            <v>13408533.874423489</v>
          </cell>
          <cell r="AI97">
            <v>0</v>
          </cell>
          <cell r="AJ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H98">
            <v>2</v>
          </cell>
          <cell r="S98">
            <v>23175000</v>
          </cell>
          <cell r="T98">
            <v>193500000</v>
          </cell>
          <cell r="AA98">
            <v>92880000</v>
          </cell>
          <cell r="AB98">
            <v>69845760</v>
          </cell>
          <cell r="AC98">
            <v>6349614.5454545459</v>
          </cell>
          <cell r="AD98">
            <v>14386239.469433535</v>
          </cell>
          <cell r="AI98">
            <v>0</v>
          </cell>
          <cell r="AJ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H99">
            <v>3</v>
          </cell>
          <cell r="S99">
            <v>30600000</v>
          </cell>
          <cell r="T99">
            <v>302600000</v>
          </cell>
          <cell r="AA99">
            <v>145248000</v>
          </cell>
          <cell r="AB99">
            <v>109226496</v>
          </cell>
          <cell r="AC99">
            <v>9929681.4545454551</v>
          </cell>
          <cell r="AD99">
            <v>18995422.988766607</v>
          </cell>
          <cell r="AI99">
            <v>30810020</v>
          </cell>
          <cell r="AJ99">
            <v>316840000</v>
          </cell>
          <cell r="AQ99">
            <v>152083200</v>
          </cell>
          <cell r="AR99">
            <v>114366566.40000001</v>
          </cell>
          <cell r="AS99">
            <v>10396960.581818182</v>
          </cell>
          <cell r="AT99">
            <v>17869811.599999998</v>
          </cell>
        </row>
        <row r="100">
          <cell r="H100">
            <v>2</v>
          </cell>
          <cell r="S100">
            <v>27690000</v>
          </cell>
          <cell r="T100">
            <v>257400000</v>
          </cell>
          <cell r="AA100">
            <v>123552000</v>
          </cell>
          <cell r="AB100">
            <v>92911104</v>
          </cell>
          <cell r="AC100">
            <v>8446464</v>
          </cell>
          <cell r="AD100">
            <v>17188995.508462336</v>
          </cell>
          <cell r="AI100">
            <v>0</v>
          </cell>
          <cell r="AJ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H101">
            <v>2</v>
          </cell>
          <cell r="S101">
            <v>17360000</v>
          </cell>
          <cell r="T101">
            <v>158400000</v>
          </cell>
          <cell r="AA101">
            <v>76032000</v>
          </cell>
          <cell r="AB101">
            <v>57176064</v>
          </cell>
          <cell r="AC101">
            <v>5197824</v>
          </cell>
          <cell r="AD101">
            <v>10776488.33611073</v>
          </cell>
          <cell r="AI101">
            <v>17881470</v>
          </cell>
          <cell r="AJ101">
            <v>169290000</v>
          </cell>
          <cell r="AQ101">
            <v>81259200</v>
          </cell>
          <cell r="AR101">
            <v>61106918.399999999</v>
          </cell>
          <cell r="AS101">
            <v>5555174.3999999994</v>
          </cell>
          <cell r="AT101">
            <v>10371252.6</v>
          </cell>
        </row>
        <row r="102">
          <cell r="H102">
            <v>3</v>
          </cell>
          <cell r="S102">
            <v>27200000</v>
          </cell>
          <cell r="T102">
            <v>200600000</v>
          </cell>
          <cell r="AA102">
            <v>96288000</v>
          </cell>
          <cell r="AB102">
            <v>72408576</v>
          </cell>
          <cell r="AC102">
            <v>6582597.8181818184</v>
          </cell>
          <cell r="AD102">
            <v>16884820.434459209</v>
          </cell>
          <cell r="AI102">
            <v>0</v>
          </cell>
          <cell r="AJ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H103">
            <v>2</v>
          </cell>
          <cell r="S103">
            <v>23010000</v>
          </cell>
          <cell r="T103">
            <v>231400000</v>
          </cell>
          <cell r="AA103">
            <v>111072000</v>
          </cell>
          <cell r="AB103">
            <v>83526144</v>
          </cell>
          <cell r="AC103">
            <v>7593285.8181818184</v>
          </cell>
          <cell r="AD103">
            <v>14283813.169003911</v>
          </cell>
          <cell r="AI103">
            <v>0</v>
          </cell>
          <cell r="AJ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H104">
            <v>2</v>
          </cell>
          <cell r="S104">
            <v>31800000</v>
          </cell>
          <cell r="T104">
            <v>261600000</v>
          </cell>
          <cell r="AA104">
            <v>125568000</v>
          </cell>
          <cell r="AB104">
            <v>94427136</v>
          </cell>
          <cell r="AC104">
            <v>8584285.0909090918</v>
          </cell>
          <cell r="AD104">
            <v>19740341.537345693</v>
          </cell>
          <cell r="AI104">
            <v>0</v>
          </cell>
          <cell r="AJ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H105">
            <v>2</v>
          </cell>
          <cell r="S105">
            <v>15900000</v>
          </cell>
          <cell r="T105">
            <v>178000000</v>
          </cell>
          <cell r="AA105">
            <v>85440000</v>
          </cell>
          <cell r="AB105">
            <v>64250880</v>
          </cell>
          <cell r="AC105">
            <v>5840989.0909090908</v>
          </cell>
          <cell r="AD105">
            <v>9870170.7686728463</v>
          </cell>
          <cell r="AI105">
            <v>0</v>
          </cell>
          <cell r="AJ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H106">
            <v>1</v>
          </cell>
          <cell r="S106">
            <v>8900000</v>
          </cell>
          <cell r="T106">
            <v>89000000</v>
          </cell>
          <cell r="AA106">
            <v>42720000</v>
          </cell>
          <cell r="AB106">
            <v>32125440</v>
          </cell>
          <cell r="AC106">
            <v>2920494.5454545454</v>
          </cell>
          <cell r="AD106">
            <v>5524812.5686281975</v>
          </cell>
          <cell r="AI106">
            <v>0</v>
          </cell>
          <cell r="AJ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H107">
            <v>1</v>
          </cell>
          <cell r="S107">
            <v>15300000</v>
          </cell>
          <cell r="T107">
            <v>118800000</v>
          </cell>
          <cell r="AA107">
            <v>57024000</v>
          </cell>
          <cell r="AB107">
            <v>42882048</v>
          </cell>
          <cell r="AC107">
            <v>3898368</v>
          </cell>
          <cell r="AD107">
            <v>9497711.4943833034</v>
          </cell>
          <cell r="AI107">
            <v>0</v>
          </cell>
          <cell r="AJ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H108">
            <v>1</v>
          </cell>
          <cell r="S108">
            <v>15400000</v>
          </cell>
          <cell r="T108">
            <v>138600000</v>
          </cell>
          <cell r="AA108">
            <v>66528000</v>
          </cell>
          <cell r="AB108">
            <v>50029056</v>
          </cell>
          <cell r="AC108">
            <v>4548096</v>
          </cell>
          <cell r="AD108">
            <v>9559788.0400982294</v>
          </cell>
          <cell r="AI108">
            <v>0</v>
          </cell>
          <cell r="AJ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H109">
            <v>3</v>
          </cell>
          <cell r="S109">
            <v>24360000</v>
          </cell>
          <cell r="T109">
            <v>237600000</v>
          </cell>
          <cell r="AA109">
            <v>114048000</v>
          </cell>
          <cell r="AB109">
            <v>85764096</v>
          </cell>
          <cell r="AC109">
            <v>7796736</v>
          </cell>
          <cell r="AD109">
            <v>15121846.536155378</v>
          </cell>
          <cell r="AI109">
            <v>0</v>
          </cell>
          <cell r="AJ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H110">
            <v>2</v>
          </cell>
          <cell r="S110">
            <v>12760000</v>
          </cell>
          <cell r="T110">
            <v>108900000</v>
          </cell>
          <cell r="AA110">
            <v>52272000</v>
          </cell>
          <cell r="AB110">
            <v>39308544</v>
          </cell>
          <cell r="AC110">
            <v>3573504</v>
          </cell>
          <cell r="AD110">
            <v>7920967.2332242467</v>
          </cell>
          <cell r="AI110">
            <v>0</v>
          </cell>
          <cell r="AJ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H111">
            <v>2</v>
          </cell>
          <cell r="S111">
            <v>18160000</v>
          </cell>
          <cell r="T111">
            <v>158400000</v>
          </cell>
          <cell r="AA111">
            <v>76032000</v>
          </cell>
          <cell r="AB111">
            <v>57176064</v>
          </cell>
          <cell r="AC111">
            <v>5197824</v>
          </cell>
          <cell r="AD111">
            <v>11273100.701830119</v>
          </cell>
          <cell r="AI111">
            <v>0</v>
          </cell>
          <cell r="AJ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H112">
            <v>1</v>
          </cell>
          <cell r="S112">
            <v>7630000</v>
          </cell>
          <cell r="T112">
            <v>69300000</v>
          </cell>
          <cell r="AA112">
            <v>33264000</v>
          </cell>
          <cell r="AB112">
            <v>25014528</v>
          </cell>
          <cell r="AC112">
            <v>2274048</v>
          </cell>
          <cell r="AD112">
            <v>4736440.4380486673</v>
          </cell>
          <cell r="AI112">
            <v>0</v>
          </cell>
          <cell r="AJ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H113">
            <v>5</v>
          </cell>
          <cell r="S113">
            <v>29210000</v>
          </cell>
          <cell r="T113">
            <v>225400000</v>
          </cell>
          <cell r="AA113">
            <v>108192000</v>
          </cell>
          <cell r="AB113">
            <v>81360384</v>
          </cell>
          <cell r="AC113">
            <v>7396398.5454545459</v>
          </cell>
          <cell r="AD113">
            <v>18132559.003329173</v>
          </cell>
          <cell r="AI113">
            <v>0</v>
          </cell>
          <cell r="AJ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H114">
            <v>3</v>
          </cell>
          <cell r="S114">
            <v>45090000</v>
          </cell>
          <cell r="T114">
            <v>426600000</v>
          </cell>
          <cell r="AA114">
            <v>204768000</v>
          </cell>
          <cell r="AB114">
            <v>153985536</v>
          </cell>
          <cell r="AC114">
            <v>13998685.090909092</v>
          </cell>
          <cell r="AD114">
            <v>27990314.462859031</v>
          </cell>
          <cell r="AI114">
            <v>0</v>
          </cell>
          <cell r="AJ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H115">
            <v>2</v>
          </cell>
          <cell r="S115">
            <v>28840000</v>
          </cell>
          <cell r="T115">
            <v>249200000</v>
          </cell>
          <cell r="AA115">
            <v>119616000</v>
          </cell>
          <cell r="AB115">
            <v>89951232</v>
          </cell>
          <cell r="AC115">
            <v>8177384.7272727275</v>
          </cell>
          <cell r="AD115">
            <v>17902875.784183957</v>
          </cell>
          <cell r="AI115">
            <v>0</v>
          </cell>
          <cell r="AJ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H116">
            <v>2</v>
          </cell>
          <cell r="S116">
            <v>35040000</v>
          </cell>
          <cell r="T116">
            <v>284800000</v>
          </cell>
          <cell r="AA116">
            <v>136704000</v>
          </cell>
          <cell r="AB116">
            <v>102801408</v>
          </cell>
          <cell r="AC116">
            <v>9345582.5454545449</v>
          </cell>
          <cell r="AD116">
            <v>21751621.618509218</v>
          </cell>
          <cell r="AI116">
            <v>0</v>
          </cell>
          <cell r="AJ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H117">
            <v>2</v>
          </cell>
          <cell r="S117">
            <v>44320000</v>
          </cell>
          <cell r="T117">
            <v>316800000</v>
          </cell>
          <cell r="AA117">
            <v>152064000</v>
          </cell>
          <cell r="AB117">
            <v>114352128</v>
          </cell>
          <cell r="AC117">
            <v>10395648</v>
          </cell>
          <cell r="AD117">
            <v>27512325.060854122</v>
          </cell>
          <cell r="AI117">
            <v>0</v>
          </cell>
          <cell r="AJ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H118">
            <v>2</v>
          </cell>
          <cell r="S118">
            <v>29640000</v>
          </cell>
          <cell r="T118">
            <v>237600000</v>
          </cell>
          <cell r="AA118">
            <v>114048000</v>
          </cell>
          <cell r="AB118">
            <v>85764096</v>
          </cell>
          <cell r="AC118">
            <v>7796736</v>
          </cell>
          <cell r="AD118">
            <v>18399488.149903346</v>
          </cell>
          <cell r="AI118">
            <v>0</v>
          </cell>
          <cell r="AJ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H119">
            <v>3</v>
          </cell>
          <cell r="S119">
            <v>35880000</v>
          </cell>
          <cell r="T119">
            <v>254800000</v>
          </cell>
          <cell r="AA119">
            <v>122304000</v>
          </cell>
          <cell r="AB119">
            <v>91972608</v>
          </cell>
          <cell r="AC119">
            <v>8361146.1818181816</v>
          </cell>
          <cell r="AD119">
            <v>22273064.602514572</v>
          </cell>
          <cell r="AI119">
            <v>0</v>
          </cell>
          <cell r="AJ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H120">
            <v>2</v>
          </cell>
          <cell r="S120">
            <v>29070000</v>
          </cell>
          <cell r="T120">
            <v>284400000</v>
          </cell>
          <cell r="AA120">
            <v>136512000</v>
          </cell>
          <cell r="AB120">
            <v>102657024</v>
          </cell>
          <cell r="AC120">
            <v>9332456.7272727266</v>
          </cell>
          <cell r="AD120">
            <v>18045651.839328282</v>
          </cell>
          <cell r="AI120">
            <v>0</v>
          </cell>
          <cell r="AJ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H121">
            <v>2</v>
          </cell>
          <cell r="S121">
            <v>19600000</v>
          </cell>
          <cell r="T121">
            <v>158000000</v>
          </cell>
          <cell r="AA121">
            <v>75840000</v>
          </cell>
          <cell r="AB121">
            <v>57031680</v>
          </cell>
          <cell r="AC121">
            <v>5184698.1818181816</v>
          </cell>
          <cell r="AD121">
            <v>12167002.960125018</v>
          </cell>
          <cell r="AI121">
            <v>0</v>
          </cell>
          <cell r="AJ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H122">
            <v>2</v>
          </cell>
          <cell r="S122">
            <v>24600000</v>
          </cell>
          <cell r="T122">
            <v>207000000</v>
          </cell>
          <cell r="AA122">
            <v>99360000</v>
          </cell>
          <cell r="AB122">
            <v>74718720</v>
          </cell>
          <cell r="AC122">
            <v>6792610.9090909092</v>
          </cell>
          <cell r="AD122">
            <v>15270830.245871196</v>
          </cell>
          <cell r="AI122">
            <v>0</v>
          </cell>
          <cell r="AJ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H123">
            <v>3</v>
          </cell>
          <cell r="S123">
            <v>31140000</v>
          </cell>
          <cell r="T123">
            <v>320400000</v>
          </cell>
          <cell r="AA123">
            <v>153792000</v>
          </cell>
          <cell r="AB123">
            <v>115651584</v>
          </cell>
          <cell r="AC123">
            <v>10513780.363636363</v>
          </cell>
          <cell r="AD123">
            <v>19330636.335627198</v>
          </cell>
          <cell r="AI123">
            <v>0</v>
          </cell>
          <cell r="AJ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H124">
            <v>2</v>
          </cell>
          <cell r="S124">
            <v>42400000</v>
          </cell>
          <cell r="T124">
            <v>356000000</v>
          </cell>
          <cell r="AA124">
            <v>170880000</v>
          </cell>
          <cell r="AB124">
            <v>128501760</v>
          </cell>
          <cell r="AC124">
            <v>11681978.181818182</v>
          </cell>
          <cell r="AD124">
            <v>26320455.383127593</v>
          </cell>
          <cell r="AI124">
            <v>0</v>
          </cell>
          <cell r="AJ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H125">
            <v>2</v>
          </cell>
          <cell r="S125">
            <v>31680000</v>
          </cell>
          <cell r="T125">
            <v>284800000</v>
          </cell>
          <cell r="AA125">
            <v>136704000</v>
          </cell>
          <cell r="AB125">
            <v>102801408</v>
          </cell>
          <cell r="AC125">
            <v>9345582.5454545449</v>
          </cell>
          <cell r="AD125">
            <v>19665849.682487782</v>
          </cell>
          <cell r="AI125">
            <v>0</v>
          </cell>
          <cell r="AJ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H126">
            <v>2</v>
          </cell>
          <cell r="S126">
            <v>30450000</v>
          </cell>
          <cell r="T126">
            <v>250600000</v>
          </cell>
          <cell r="AA126">
            <v>120288000</v>
          </cell>
          <cell r="AB126">
            <v>90456576</v>
          </cell>
          <cell r="AC126">
            <v>8223325.0909090908</v>
          </cell>
          <cell r="AD126">
            <v>18902308.170194224</v>
          </cell>
          <cell r="AI126">
            <v>28980744</v>
          </cell>
          <cell r="AJ126">
            <v>249168000</v>
          </cell>
          <cell r="AQ126">
            <v>119600640</v>
          </cell>
          <cell r="AR126">
            <v>89939681.280000001</v>
          </cell>
          <cell r="AS126">
            <v>8176334.6618181821</v>
          </cell>
          <cell r="AT126">
            <v>16808831.52</v>
          </cell>
        </row>
        <row r="127">
          <cell r="H127">
            <v>2</v>
          </cell>
          <cell r="S127">
            <v>38080000</v>
          </cell>
          <cell r="T127">
            <v>286400000</v>
          </cell>
          <cell r="AA127">
            <v>137472000</v>
          </cell>
          <cell r="AB127">
            <v>103378944</v>
          </cell>
          <cell r="AC127">
            <v>9398085.8181818184</v>
          </cell>
          <cell r="AD127">
            <v>23638748.608242892</v>
          </cell>
          <cell r="AI127">
            <v>40756000</v>
          </cell>
          <cell r="AJ127">
            <v>317188000</v>
          </cell>
          <cell r="AQ127">
            <v>152250240</v>
          </cell>
          <cell r="AR127">
            <v>114492180.48</v>
          </cell>
          <cell r="AS127">
            <v>10408380.043636365</v>
          </cell>
          <cell r="AT127">
            <v>23638480</v>
          </cell>
        </row>
        <row r="128">
          <cell r="H128">
            <v>4</v>
          </cell>
          <cell r="S128">
            <v>52200000</v>
          </cell>
          <cell r="T128">
            <v>392400000</v>
          </cell>
          <cell r="AA128">
            <v>188352000</v>
          </cell>
          <cell r="AB128">
            <v>141640704</v>
          </cell>
          <cell r="AC128">
            <v>12876427.636363637</v>
          </cell>
          <cell r="AD128">
            <v>32403956.8631901</v>
          </cell>
          <cell r="AI128">
            <v>52693072</v>
          </cell>
          <cell r="AJ128">
            <v>395452000</v>
          </cell>
          <cell r="AQ128">
            <v>189816960</v>
          </cell>
          <cell r="AR128">
            <v>142742353.91999999</v>
          </cell>
          <cell r="AS128">
            <v>12976577.629090907</v>
          </cell>
          <cell r="AT128">
            <v>30561981.759999998</v>
          </cell>
        </row>
        <row r="129">
          <cell r="H129">
            <v>3</v>
          </cell>
          <cell r="S129">
            <v>50880000</v>
          </cell>
          <cell r="T129">
            <v>348800000</v>
          </cell>
          <cell r="AA129">
            <v>167424000</v>
          </cell>
          <cell r="AB129">
            <v>125902848</v>
          </cell>
          <cell r="AC129">
            <v>11445713.454545455</v>
          </cell>
          <cell r="AD129">
            <v>31584546.459753107</v>
          </cell>
          <cell r="AI129">
            <v>49819797</v>
          </cell>
          <cell r="AJ129">
            <v>366458000</v>
          </cell>
          <cell r="AQ129">
            <v>175899840</v>
          </cell>
          <cell r="AR129">
            <v>132276679.68000001</v>
          </cell>
          <cell r="AS129">
            <v>12025152.698181819</v>
          </cell>
          <cell r="AT129">
            <v>28895482.259999998</v>
          </cell>
        </row>
        <row r="130">
          <cell r="H130">
            <v>2</v>
          </cell>
          <cell r="S130">
            <v>48160000</v>
          </cell>
          <cell r="T130">
            <v>348800000</v>
          </cell>
          <cell r="AA130">
            <v>167424000</v>
          </cell>
          <cell r="AB130">
            <v>125902848</v>
          </cell>
          <cell r="AC130">
            <v>11445713.454545455</v>
          </cell>
          <cell r="AD130">
            <v>29896064.416307185</v>
          </cell>
          <cell r="AI130">
            <v>0</v>
          </cell>
          <cell r="AJ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H131">
            <v>2</v>
          </cell>
          <cell r="S131">
            <v>38240000</v>
          </cell>
          <cell r="T131">
            <v>286400000</v>
          </cell>
          <cell r="AA131">
            <v>137472000</v>
          </cell>
          <cell r="AB131">
            <v>103378944</v>
          </cell>
          <cell r="AC131">
            <v>9398085.8181818184</v>
          </cell>
          <cell r="AD131">
            <v>23738071.081386767</v>
          </cell>
          <cell r="AI131">
            <v>0</v>
          </cell>
          <cell r="AJ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H132">
            <v>2</v>
          </cell>
          <cell r="S132">
            <v>36160000</v>
          </cell>
          <cell r="T132">
            <v>286400000</v>
          </cell>
          <cell r="AA132">
            <v>137472000</v>
          </cell>
          <cell r="AB132">
            <v>103378944</v>
          </cell>
          <cell r="AC132">
            <v>9398085.8181818184</v>
          </cell>
          <cell r="AD132">
            <v>22446878.930516362</v>
          </cell>
          <cell r="AI132">
            <v>0</v>
          </cell>
          <cell r="AJ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H133">
            <v>2</v>
          </cell>
          <cell r="S133">
            <v>38320000</v>
          </cell>
          <cell r="T133">
            <v>302400000</v>
          </cell>
          <cell r="AA133">
            <v>145152000</v>
          </cell>
          <cell r="AB133">
            <v>109154304</v>
          </cell>
          <cell r="AC133">
            <v>9923118.5454545449</v>
          </cell>
          <cell r="AD133">
            <v>23787732.317958709</v>
          </cell>
          <cell r="AI133">
            <v>0</v>
          </cell>
          <cell r="AJ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H134">
            <v>2</v>
          </cell>
          <cell r="S134">
            <v>16800000</v>
          </cell>
          <cell r="T134">
            <v>118500000</v>
          </cell>
          <cell r="AA134">
            <v>56880000</v>
          </cell>
          <cell r="AB134">
            <v>42773760</v>
          </cell>
          <cell r="AC134">
            <v>3888523.6363636362</v>
          </cell>
          <cell r="AD134">
            <v>10428859.68010716</v>
          </cell>
          <cell r="AI134">
            <v>15618161</v>
          </cell>
          <cell r="AJ134">
            <v>107914000</v>
          </cell>
          <cell r="AQ134">
            <v>51798720</v>
          </cell>
          <cell r="AR134">
            <v>38952637.439999998</v>
          </cell>
          <cell r="AS134">
            <v>3541148.8581818179</v>
          </cell>
          <cell r="AT134">
            <v>9058533.379999999</v>
          </cell>
        </row>
        <row r="135">
          <cell r="H135">
            <v>2</v>
          </cell>
          <cell r="S135">
            <v>18960000</v>
          </cell>
          <cell r="T135">
            <v>142400000</v>
          </cell>
          <cell r="AA135">
            <v>68352000</v>
          </cell>
          <cell r="AB135">
            <v>51400704</v>
          </cell>
          <cell r="AC135">
            <v>4672791.2727272725</v>
          </cell>
          <cell r="AD135">
            <v>11769713.067549508</v>
          </cell>
          <cell r="AI135">
            <v>17191856</v>
          </cell>
          <cell r="AJ135">
            <v>126914000</v>
          </cell>
          <cell r="AQ135">
            <v>60918720</v>
          </cell>
          <cell r="AR135">
            <v>45810877.439999998</v>
          </cell>
          <cell r="AS135">
            <v>4164625.2218181817</v>
          </cell>
          <cell r="AT135">
            <v>9971276.4799999986</v>
          </cell>
        </row>
        <row r="136">
          <cell r="H136">
            <v>2</v>
          </cell>
          <cell r="S136">
            <v>55680000</v>
          </cell>
          <cell r="T136">
            <v>414400000</v>
          </cell>
          <cell r="AA136">
            <v>198912000</v>
          </cell>
          <cell r="AB136">
            <v>149581824</v>
          </cell>
          <cell r="AC136">
            <v>13598347.636363637</v>
          </cell>
          <cell r="AD136">
            <v>34564220.654069439</v>
          </cell>
          <cell r="AI136">
            <v>0</v>
          </cell>
          <cell r="AJ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H137">
            <v>2</v>
          </cell>
          <cell r="S137">
            <v>19260000</v>
          </cell>
          <cell r="T137">
            <v>142800000</v>
          </cell>
          <cell r="AA137">
            <v>68544000</v>
          </cell>
          <cell r="AB137">
            <v>51545088</v>
          </cell>
          <cell r="AC137">
            <v>4685917.0909090908</v>
          </cell>
          <cell r="AD137">
            <v>11955942.704694279</v>
          </cell>
          <cell r="AI137">
            <v>18265380</v>
          </cell>
          <cell r="AJ137">
            <v>131852000</v>
          </cell>
          <cell r="AQ137">
            <v>63288960</v>
          </cell>
          <cell r="AR137">
            <v>47593297.920000002</v>
          </cell>
          <cell r="AS137">
            <v>4326663.4472727273</v>
          </cell>
          <cell r="AT137">
            <v>10593920.399999999</v>
          </cell>
        </row>
        <row r="138">
          <cell r="H138">
            <v>2</v>
          </cell>
          <cell r="S138">
            <v>48000000</v>
          </cell>
          <cell r="T138">
            <v>387000000</v>
          </cell>
          <cell r="AA138">
            <v>185760000</v>
          </cell>
          <cell r="AB138">
            <v>139691520</v>
          </cell>
          <cell r="AC138">
            <v>12699229.090909092</v>
          </cell>
          <cell r="AD138">
            <v>29796741.943163309</v>
          </cell>
          <cell r="AI138">
            <v>48649362</v>
          </cell>
          <cell r="AJ138">
            <v>390612000</v>
          </cell>
          <cell r="AQ138">
            <v>187493760</v>
          </cell>
          <cell r="AR138">
            <v>140995307.52000001</v>
          </cell>
          <cell r="AS138">
            <v>12817755.22909091</v>
          </cell>
          <cell r="AT138">
            <v>28216629.959999997</v>
          </cell>
        </row>
        <row r="139">
          <cell r="H139">
            <v>1</v>
          </cell>
          <cell r="S139">
            <v>7880000</v>
          </cell>
          <cell r="T139">
            <v>63200000</v>
          </cell>
          <cell r="AA139">
            <v>30336000</v>
          </cell>
          <cell r="AB139">
            <v>22812672</v>
          </cell>
          <cell r="AC139">
            <v>2073879.2727272727</v>
          </cell>
          <cell r="AD139">
            <v>4891631.8023359766</v>
          </cell>
          <cell r="AI139">
            <v>0</v>
          </cell>
          <cell r="AJ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H140">
            <v>1</v>
          </cell>
          <cell r="S140">
            <v>7600000</v>
          </cell>
          <cell r="T140">
            <v>63200000</v>
          </cell>
          <cell r="AA140">
            <v>30336000</v>
          </cell>
          <cell r="AB140">
            <v>22812672</v>
          </cell>
          <cell r="AC140">
            <v>2073879.2727272727</v>
          </cell>
          <cell r="AD140">
            <v>4717817.4743341906</v>
          </cell>
          <cell r="AI140">
            <v>0</v>
          </cell>
          <cell r="AJ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H141">
            <v>1</v>
          </cell>
          <cell r="S141">
            <v>7240000</v>
          </cell>
          <cell r="T141">
            <v>71200000</v>
          </cell>
          <cell r="AA141">
            <v>34176000</v>
          </cell>
          <cell r="AB141">
            <v>25700352</v>
          </cell>
          <cell r="AC141">
            <v>2336395.6363636362</v>
          </cell>
          <cell r="AD141">
            <v>4494341.9097604658</v>
          </cell>
          <cell r="AI141">
            <v>0</v>
          </cell>
          <cell r="AJ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H142">
            <v>1</v>
          </cell>
          <cell r="S142">
            <v>9500000</v>
          </cell>
          <cell r="T142">
            <v>89000000</v>
          </cell>
          <cell r="AA142">
            <v>42720000</v>
          </cell>
          <cell r="AB142">
            <v>32125440</v>
          </cell>
          <cell r="AC142">
            <v>2920494.5454545454</v>
          </cell>
          <cell r="AD142">
            <v>5897271.8429177385</v>
          </cell>
          <cell r="AI142">
            <v>0</v>
          </cell>
          <cell r="AJ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H143">
            <v>1</v>
          </cell>
          <cell r="S143">
            <v>28320000</v>
          </cell>
          <cell r="T143">
            <v>199200000</v>
          </cell>
          <cell r="AA143">
            <v>95616000</v>
          </cell>
          <cell r="AB143">
            <v>71903232</v>
          </cell>
          <cell r="AC143">
            <v>6536657.4545454541</v>
          </cell>
          <cell r="AD143">
            <v>17580077.746466354</v>
          </cell>
          <cell r="AI143">
            <v>0</v>
          </cell>
          <cell r="AJ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H144">
            <v>1</v>
          </cell>
          <cell r="S144">
            <v>25425000</v>
          </cell>
          <cell r="T144">
            <v>215100000</v>
          </cell>
          <cell r="AA144">
            <v>103248000</v>
          </cell>
          <cell r="AB144">
            <v>77642496</v>
          </cell>
          <cell r="AC144">
            <v>7058408.7272727275</v>
          </cell>
          <cell r="AD144">
            <v>15782961.748019315</v>
          </cell>
          <cell r="AI144">
            <v>0</v>
          </cell>
          <cell r="AJ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H145">
            <v>2</v>
          </cell>
          <cell r="S145">
            <v>59130000</v>
          </cell>
          <cell r="T145">
            <v>538200000</v>
          </cell>
          <cell r="AA145">
            <v>258336000</v>
          </cell>
          <cell r="AB145">
            <v>194268672</v>
          </cell>
          <cell r="AC145">
            <v>17660788.363636363</v>
          </cell>
          <cell r="AD145">
            <v>36705861.481234305</v>
          </cell>
          <cell r="AI145">
            <v>0</v>
          </cell>
          <cell r="AJ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H146">
            <v>3</v>
          </cell>
          <cell r="S146">
            <v>77330000</v>
          </cell>
          <cell r="T146">
            <v>604200000</v>
          </cell>
          <cell r="AA146">
            <v>290016000</v>
          </cell>
          <cell r="AB146">
            <v>218092032</v>
          </cell>
          <cell r="AC146">
            <v>19826548.363636363</v>
          </cell>
          <cell r="AD146">
            <v>48003792.801350392</v>
          </cell>
          <cell r="AI146">
            <v>0</v>
          </cell>
          <cell r="AJ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H147">
            <v>2</v>
          </cell>
          <cell r="S147">
            <v>40240000</v>
          </cell>
          <cell r="T147">
            <v>318400000</v>
          </cell>
          <cell r="AA147">
            <v>152832000</v>
          </cell>
          <cell r="AB147">
            <v>114929664</v>
          </cell>
          <cell r="AC147">
            <v>10448151.272727273</v>
          </cell>
          <cell r="AD147">
            <v>24979601.995685242</v>
          </cell>
          <cell r="AI147">
            <v>0</v>
          </cell>
          <cell r="AJ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H148">
            <v>2</v>
          </cell>
          <cell r="S148">
            <v>46240000</v>
          </cell>
          <cell r="T148">
            <v>382400000</v>
          </cell>
          <cell r="AA148">
            <v>183552000</v>
          </cell>
          <cell r="AB148">
            <v>138031104</v>
          </cell>
          <cell r="AC148">
            <v>12548282.181818182</v>
          </cell>
          <cell r="AD148">
            <v>28704194.738580655</v>
          </cell>
          <cell r="AI148">
            <v>0</v>
          </cell>
          <cell r="AJ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H149">
            <v>2</v>
          </cell>
          <cell r="S149">
            <v>70800000</v>
          </cell>
          <cell r="T149">
            <v>621600000</v>
          </cell>
          <cell r="AA149">
            <v>298368000</v>
          </cell>
          <cell r="AB149">
            <v>224372736</v>
          </cell>
          <cell r="AC149">
            <v>20397521.454545453</v>
          </cell>
          <cell r="AD149">
            <v>43950194.366165884</v>
          </cell>
          <cell r="AI149">
            <v>0</v>
          </cell>
          <cell r="AJ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H150">
            <v>2</v>
          </cell>
          <cell r="S150">
            <v>47840000</v>
          </cell>
          <cell r="T150">
            <v>462400000</v>
          </cell>
          <cell r="AA150">
            <v>221952000</v>
          </cell>
          <cell r="AB150">
            <v>166907904</v>
          </cell>
          <cell r="AC150">
            <v>15173445.818181818</v>
          </cell>
          <cell r="AD150">
            <v>29697419.470019434</v>
          </cell>
          <cell r="AI150">
            <v>0</v>
          </cell>
          <cell r="AJ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H151">
            <v>1</v>
          </cell>
          <cell r="S151">
            <v>41580000</v>
          </cell>
          <cell r="T151">
            <v>334800000</v>
          </cell>
          <cell r="AA151">
            <v>160704000</v>
          </cell>
          <cell r="AB151">
            <v>120849408</v>
          </cell>
          <cell r="AC151">
            <v>10986309.818181818</v>
          </cell>
          <cell r="AD151">
            <v>25811427.708265219</v>
          </cell>
          <cell r="AI151">
            <v>0</v>
          </cell>
          <cell r="AJ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H152">
            <v>1</v>
          </cell>
          <cell r="S152">
            <v>35910000</v>
          </cell>
          <cell r="T152">
            <v>287100000</v>
          </cell>
          <cell r="AA152">
            <v>137808000</v>
          </cell>
          <cell r="AB152">
            <v>103631616</v>
          </cell>
          <cell r="AC152">
            <v>9421056</v>
          </cell>
          <cell r="AD152">
            <v>22291687.566229049</v>
          </cell>
          <cell r="AI152">
            <v>0</v>
          </cell>
          <cell r="AJ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H153">
            <v>2</v>
          </cell>
          <cell r="S153">
            <v>73320000</v>
          </cell>
          <cell r="T153">
            <v>647400000</v>
          </cell>
          <cell r="AA153">
            <v>310752000</v>
          </cell>
          <cell r="AB153">
            <v>233685504</v>
          </cell>
          <cell r="AC153">
            <v>21244136.727272727</v>
          </cell>
          <cell r="AD153">
            <v>45514523.318181954</v>
          </cell>
          <cell r="AI153">
            <v>0</v>
          </cell>
          <cell r="AJ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H154">
            <v>2</v>
          </cell>
          <cell r="S154">
            <v>85410000</v>
          </cell>
          <cell r="T154">
            <v>574200000</v>
          </cell>
          <cell r="AA154">
            <v>275616000</v>
          </cell>
          <cell r="AB154">
            <v>207263232</v>
          </cell>
          <cell r="AC154">
            <v>18842112</v>
          </cell>
          <cell r="AD154">
            <v>53019577.695116214</v>
          </cell>
          <cell r="AI154">
            <v>0</v>
          </cell>
          <cell r="AJ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H155">
            <v>2</v>
          </cell>
          <cell r="S155">
            <v>99840000</v>
          </cell>
          <cell r="T155">
            <v>944000000</v>
          </cell>
          <cell r="AA155">
            <v>453120000</v>
          </cell>
          <cell r="AB155">
            <v>340746240</v>
          </cell>
          <cell r="AC155">
            <v>30976930.90909091</v>
          </cell>
          <cell r="AD155">
            <v>61977223.241779678</v>
          </cell>
          <cell r="AI155">
            <v>0</v>
          </cell>
          <cell r="AJ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H156">
            <v>2</v>
          </cell>
          <cell r="S156">
            <v>63040000</v>
          </cell>
          <cell r="T156">
            <v>510400000</v>
          </cell>
          <cell r="AA156">
            <v>244992000</v>
          </cell>
          <cell r="AB156">
            <v>184233984</v>
          </cell>
          <cell r="AC156">
            <v>16748544</v>
          </cell>
          <cell r="AD156">
            <v>39133054.418687813</v>
          </cell>
          <cell r="AI156">
            <v>0</v>
          </cell>
          <cell r="AJ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H157">
            <v>2</v>
          </cell>
          <cell r="S157">
            <v>59440000</v>
          </cell>
          <cell r="T157">
            <v>558400000</v>
          </cell>
          <cell r="AA157">
            <v>268032000</v>
          </cell>
          <cell r="AB157">
            <v>201560064</v>
          </cell>
          <cell r="AC157">
            <v>18323642.181818184</v>
          </cell>
          <cell r="AD157">
            <v>36898298.772950567</v>
          </cell>
          <cell r="AI157">
            <v>0</v>
          </cell>
          <cell r="AJ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H158">
            <v>1</v>
          </cell>
          <cell r="S158">
            <v>31680000</v>
          </cell>
          <cell r="T158">
            <v>279200000</v>
          </cell>
          <cell r="AA158">
            <v>134016000</v>
          </cell>
          <cell r="AB158">
            <v>100780032</v>
          </cell>
          <cell r="AC158">
            <v>9161821.0909090918</v>
          </cell>
          <cell r="AD158">
            <v>19665849.682487782</v>
          </cell>
          <cell r="AI158">
            <v>0</v>
          </cell>
          <cell r="AJ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H159">
            <v>3</v>
          </cell>
          <cell r="S159">
            <v>63250000</v>
          </cell>
          <cell r="T159">
            <v>501400000</v>
          </cell>
          <cell r="AA159">
            <v>240672000</v>
          </cell>
          <cell r="AB159">
            <v>180985344</v>
          </cell>
          <cell r="AC159">
            <v>16453213.090909092</v>
          </cell>
          <cell r="AD159">
            <v>39263415.164689153</v>
          </cell>
          <cell r="AI159">
            <v>0</v>
          </cell>
          <cell r="AJ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H160">
            <v>2</v>
          </cell>
          <cell r="S160">
            <v>32690000</v>
          </cell>
          <cell r="T160">
            <v>250600000</v>
          </cell>
          <cell r="AA160">
            <v>120288000</v>
          </cell>
          <cell r="AB160">
            <v>90456576</v>
          </cell>
          <cell r="AC160">
            <v>8223325.0909090908</v>
          </cell>
          <cell r="AD160">
            <v>20292822.794208512</v>
          </cell>
          <cell r="AI160">
            <v>0</v>
          </cell>
          <cell r="AJ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H161">
            <v>2</v>
          </cell>
          <cell r="S161">
            <v>27600000</v>
          </cell>
          <cell r="T161">
            <v>237600000</v>
          </cell>
          <cell r="AA161">
            <v>114048000</v>
          </cell>
          <cell r="AB161">
            <v>85764096</v>
          </cell>
          <cell r="AC161">
            <v>7796736</v>
          </cell>
          <cell r="AD161">
            <v>17133126.617318902</v>
          </cell>
          <cell r="AI161">
            <v>0</v>
          </cell>
          <cell r="AJ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H162">
            <v>3</v>
          </cell>
          <cell r="S162">
            <v>54520000</v>
          </cell>
          <cell r="T162">
            <v>516200000</v>
          </cell>
          <cell r="AA162">
            <v>247776000</v>
          </cell>
          <cell r="AB162">
            <v>186327552</v>
          </cell>
          <cell r="AC162">
            <v>16938868.363636363</v>
          </cell>
          <cell r="AD162">
            <v>33844132.723776326</v>
          </cell>
          <cell r="AI162">
            <v>0</v>
          </cell>
          <cell r="AJ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H163">
            <v>1</v>
          </cell>
          <cell r="S163">
            <v>28700000</v>
          </cell>
          <cell r="T163">
            <v>278000000</v>
          </cell>
          <cell r="AA163">
            <v>133440000</v>
          </cell>
          <cell r="AB163">
            <v>100346880</v>
          </cell>
          <cell r="AC163">
            <v>9122443.6363636367</v>
          </cell>
          <cell r="AD163">
            <v>17815968.620183062</v>
          </cell>
          <cell r="AI163">
            <v>0</v>
          </cell>
          <cell r="AJ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</row>
        <row r="164">
          <cell r="H164">
            <v>2</v>
          </cell>
          <cell r="S164">
            <v>28600000</v>
          </cell>
          <cell r="T164">
            <v>231400000</v>
          </cell>
          <cell r="AA164">
            <v>111072000</v>
          </cell>
          <cell r="AB164">
            <v>83526144</v>
          </cell>
          <cell r="AC164">
            <v>7593285.8181818184</v>
          </cell>
          <cell r="AD164">
            <v>17753892.07446814</v>
          </cell>
          <cell r="AI164">
            <v>0</v>
          </cell>
          <cell r="AJ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H165">
            <v>2</v>
          </cell>
          <cell r="S165">
            <v>48800000</v>
          </cell>
          <cell r="T165">
            <v>396000000</v>
          </cell>
          <cell r="AA165">
            <v>190080000</v>
          </cell>
          <cell r="AB165">
            <v>142940160</v>
          </cell>
          <cell r="AC165">
            <v>12994560</v>
          </cell>
          <cell r="AD165">
            <v>30293354.308882698</v>
          </cell>
          <cell r="AI165">
            <v>0</v>
          </cell>
          <cell r="AJ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H166">
            <v>2</v>
          </cell>
          <cell r="S166">
            <v>42330000</v>
          </cell>
          <cell r="T166">
            <v>370600000</v>
          </cell>
          <cell r="AA166">
            <v>177888000</v>
          </cell>
          <cell r="AB166">
            <v>133771776</v>
          </cell>
          <cell r="AC166">
            <v>12161070.545454545</v>
          </cell>
          <cell r="AD166">
            <v>26277001.801127143</v>
          </cell>
          <cell r="AI166">
            <v>0</v>
          </cell>
          <cell r="AJ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H167">
            <v>2</v>
          </cell>
          <cell r="S167">
            <v>45120000</v>
          </cell>
          <cell r="T167">
            <v>412800000</v>
          </cell>
          <cell r="AA167">
            <v>198144000</v>
          </cell>
          <cell r="AB167">
            <v>149004288</v>
          </cell>
          <cell r="AC167">
            <v>13545844.363636363</v>
          </cell>
          <cell r="AD167">
            <v>28008937.426573511</v>
          </cell>
          <cell r="AI167">
            <v>0</v>
          </cell>
          <cell r="AJ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H168">
            <v>2</v>
          </cell>
          <cell r="S168">
            <v>30800000</v>
          </cell>
          <cell r="T168">
            <v>316000000</v>
          </cell>
          <cell r="AA168">
            <v>151680000</v>
          </cell>
          <cell r="AB168">
            <v>114063360</v>
          </cell>
          <cell r="AC168">
            <v>10369396.363636363</v>
          </cell>
          <cell r="AD168">
            <v>19119576.080196459</v>
          </cell>
          <cell r="AI168">
            <v>0</v>
          </cell>
          <cell r="AJ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H169">
            <v>2</v>
          </cell>
          <cell r="S169">
            <v>29960000</v>
          </cell>
          <cell r="T169">
            <v>277200000</v>
          </cell>
          <cell r="AA169">
            <v>133056000</v>
          </cell>
          <cell r="AB169">
            <v>100058112</v>
          </cell>
          <cell r="AC169">
            <v>9096192</v>
          </cell>
          <cell r="AD169">
            <v>18598133.096191097</v>
          </cell>
          <cell r="AI169">
            <v>26487791</v>
          </cell>
          <cell r="AJ169">
            <v>278982000</v>
          </cell>
          <cell r="AQ169">
            <v>133911360</v>
          </cell>
          <cell r="AR169">
            <v>100701342.72</v>
          </cell>
          <cell r="AS169">
            <v>9154667.5199999996</v>
          </cell>
          <cell r="AT169">
            <v>15362918.779999999</v>
          </cell>
        </row>
        <row r="170">
          <cell r="H170">
            <v>2</v>
          </cell>
          <cell r="S170">
            <v>36160000</v>
          </cell>
          <cell r="T170">
            <v>316800000</v>
          </cell>
          <cell r="AA170">
            <v>152064000</v>
          </cell>
          <cell r="AB170">
            <v>114352128</v>
          </cell>
          <cell r="AC170">
            <v>10395648</v>
          </cell>
          <cell r="AD170">
            <v>22446878.930516362</v>
          </cell>
          <cell r="AI170">
            <v>0</v>
          </cell>
          <cell r="AJ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H171">
            <v>2</v>
          </cell>
          <cell r="S171">
            <v>42500000</v>
          </cell>
          <cell r="T171">
            <v>370600000</v>
          </cell>
          <cell r="AA171">
            <v>177888000</v>
          </cell>
          <cell r="AB171">
            <v>133771776</v>
          </cell>
          <cell r="AC171">
            <v>12161070.545454545</v>
          </cell>
          <cell r="AD171">
            <v>26382531.928842515</v>
          </cell>
          <cell r="AI171">
            <v>0</v>
          </cell>
          <cell r="AJ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H172">
            <v>1</v>
          </cell>
          <cell r="S172">
            <v>19200000</v>
          </cell>
          <cell r="T172">
            <v>174400000</v>
          </cell>
          <cell r="AA172">
            <v>83712000</v>
          </cell>
          <cell r="AB172">
            <v>62951424</v>
          </cell>
          <cell r="AC172">
            <v>5722856.7272727275</v>
          </cell>
          <cell r="AD172">
            <v>11918696.777265325</v>
          </cell>
          <cell r="AI172">
            <v>0</v>
          </cell>
          <cell r="AJ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H173">
            <v>1</v>
          </cell>
          <cell r="S173">
            <v>20960000</v>
          </cell>
          <cell r="T173">
            <v>174400000</v>
          </cell>
          <cell r="AA173">
            <v>83712000</v>
          </cell>
          <cell r="AB173">
            <v>62951424</v>
          </cell>
          <cell r="AC173">
            <v>5722856.7272727275</v>
          </cell>
          <cell r="AD173">
            <v>13011243.981847979</v>
          </cell>
          <cell r="AI173">
            <v>0</v>
          </cell>
          <cell r="AJ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H174">
            <v>4</v>
          </cell>
          <cell r="S174">
            <v>25760000</v>
          </cell>
          <cell r="T174">
            <v>225400000</v>
          </cell>
          <cell r="AA174">
            <v>108192000</v>
          </cell>
          <cell r="AB174">
            <v>81360384</v>
          </cell>
          <cell r="AC174">
            <v>7396398.5454545459</v>
          </cell>
          <cell r="AD174">
            <v>15990918.176164309</v>
          </cell>
          <cell r="AI174">
            <v>0</v>
          </cell>
          <cell r="AJ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H175">
            <v>2</v>
          </cell>
          <cell r="S175">
            <v>27900000</v>
          </cell>
          <cell r="T175">
            <v>284400000</v>
          </cell>
          <cell r="AA175">
            <v>136512000</v>
          </cell>
          <cell r="AB175">
            <v>102657024</v>
          </cell>
          <cell r="AC175">
            <v>9332456.7272727266</v>
          </cell>
          <cell r="AD175">
            <v>17319356.254463673</v>
          </cell>
          <cell r="AI175">
            <v>0</v>
          </cell>
          <cell r="AJ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H176">
            <v>2</v>
          </cell>
          <cell r="S176">
            <v>27150000</v>
          </cell>
          <cell r="T176">
            <v>267000000</v>
          </cell>
          <cell r="AA176">
            <v>128160000</v>
          </cell>
          <cell r="AB176">
            <v>96376320</v>
          </cell>
          <cell r="AC176">
            <v>8761483.6363636367</v>
          </cell>
          <cell r="AD176">
            <v>16853782.161601748</v>
          </cell>
          <cell r="AI176">
            <v>0</v>
          </cell>
          <cell r="AJ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H177">
            <v>2</v>
          </cell>
          <cell r="S177">
            <v>23140000</v>
          </cell>
          <cell r="T177">
            <v>231400000</v>
          </cell>
          <cell r="AA177">
            <v>111072000</v>
          </cell>
          <cell r="AB177">
            <v>83526144</v>
          </cell>
          <cell r="AC177">
            <v>7593285.8181818184</v>
          </cell>
          <cell r="AD177">
            <v>14364512.678433312</v>
          </cell>
          <cell r="AI177">
            <v>0</v>
          </cell>
          <cell r="AJ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H178">
            <v>2</v>
          </cell>
          <cell r="S178">
            <v>19560000</v>
          </cell>
          <cell r="T178">
            <v>213600000</v>
          </cell>
          <cell r="AA178">
            <v>102528000</v>
          </cell>
          <cell r="AB178">
            <v>77101056</v>
          </cell>
          <cell r="AC178">
            <v>7009186.9090909092</v>
          </cell>
          <cell r="AD178">
            <v>12142172.341839049</v>
          </cell>
          <cell r="AI178">
            <v>0</v>
          </cell>
          <cell r="AJ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H179">
            <v>3</v>
          </cell>
          <cell r="S179">
            <v>37820000</v>
          </cell>
          <cell r="T179">
            <v>303800000</v>
          </cell>
          <cell r="AA179">
            <v>145824000</v>
          </cell>
          <cell r="AB179">
            <v>109659648</v>
          </cell>
          <cell r="AC179">
            <v>9969058.9090909082</v>
          </cell>
          <cell r="AD179">
            <v>23477349.58938409</v>
          </cell>
          <cell r="AI179">
            <v>0</v>
          </cell>
          <cell r="AJ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H180">
            <v>2</v>
          </cell>
          <cell r="S180">
            <v>32760000</v>
          </cell>
          <cell r="T180">
            <v>277200000</v>
          </cell>
          <cell r="AA180">
            <v>133056000</v>
          </cell>
          <cell r="AB180">
            <v>100058112</v>
          </cell>
          <cell r="AC180">
            <v>9096192</v>
          </cell>
          <cell r="AD180">
            <v>20336276.376208957</v>
          </cell>
          <cell r="AI180">
            <v>0</v>
          </cell>
          <cell r="AJ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H181">
            <v>2</v>
          </cell>
          <cell r="S181">
            <v>13230000</v>
          </cell>
          <cell r="T181">
            <v>142200000</v>
          </cell>
          <cell r="AA181">
            <v>68256000</v>
          </cell>
          <cell r="AB181">
            <v>51328512</v>
          </cell>
          <cell r="AC181">
            <v>4666228.3636363633</v>
          </cell>
          <cell r="AD181">
            <v>8212726.9980843877</v>
          </cell>
          <cell r="AI181">
            <v>0</v>
          </cell>
          <cell r="AJ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H182">
            <v>2</v>
          </cell>
          <cell r="S182">
            <v>13300000</v>
          </cell>
          <cell r="T182">
            <v>110600000</v>
          </cell>
          <cell r="AA182">
            <v>53088000</v>
          </cell>
          <cell r="AB182">
            <v>39922176</v>
          </cell>
          <cell r="AC182">
            <v>3629288.7272727271</v>
          </cell>
          <cell r="AD182">
            <v>8256180.5800848333</v>
          </cell>
          <cell r="AI182">
            <v>0</v>
          </cell>
          <cell r="AJ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H183">
            <v>2</v>
          </cell>
          <cell r="S183">
            <v>31680000</v>
          </cell>
          <cell r="T183">
            <v>320400000</v>
          </cell>
          <cell r="AA183">
            <v>153792000</v>
          </cell>
          <cell r="AB183">
            <v>115651584</v>
          </cell>
          <cell r="AC183">
            <v>10513780.363636363</v>
          </cell>
          <cell r="AD183">
            <v>19665849.682487782</v>
          </cell>
          <cell r="AI183">
            <v>0</v>
          </cell>
          <cell r="AJ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H184">
            <v>2</v>
          </cell>
          <cell r="S184">
            <v>26180000</v>
          </cell>
          <cell r="T184">
            <v>277200000</v>
          </cell>
          <cell r="AA184">
            <v>133056000</v>
          </cell>
          <cell r="AB184">
            <v>100058112</v>
          </cell>
          <cell r="AC184">
            <v>9096192</v>
          </cell>
          <cell r="AD184">
            <v>16251639.668166989</v>
          </cell>
          <cell r="AI184">
            <v>0</v>
          </cell>
          <cell r="AJ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H185">
            <v>2</v>
          </cell>
          <cell r="S185">
            <v>21360000</v>
          </cell>
          <cell r="T185">
            <v>213600000</v>
          </cell>
          <cell r="AA185">
            <v>102528000</v>
          </cell>
          <cell r="AB185">
            <v>77101056</v>
          </cell>
          <cell r="AC185">
            <v>7009186.9090909092</v>
          </cell>
          <cell r="AD185">
            <v>13259550.164707672</v>
          </cell>
          <cell r="AI185">
            <v>0</v>
          </cell>
          <cell r="AJ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</row>
        <row r="186">
          <cell r="H186">
            <v>2</v>
          </cell>
          <cell r="S186">
            <v>16280000</v>
          </cell>
          <cell r="T186">
            <v>129800000</v>
          </cell>
          <cell r="AA186">
            <v>62304000</v>
          </cell>
          <cell r="AB186">
            <v>46852608</v>
          </cell>
          <cell r="AC186">
            <v>4259328</v>
          </cell>
          <cell r="AD186">
            <v>10106061.642389556</v>
          </cell>
          <cell r="AI186">
            <v>0</v>
          </cell>
          <cell r="AJ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H187">
            <v>1</v>
          </cell>
          <cell r="S187">
            <v>9945000</v>
          </cell>
          <cell r="T187">
            <v>89100000</v>
          </cell>
          <cell r="AA187">
            <v>42768000</v>
          </cell>
          <cell r="AB187">
            <v>32161536</v>
          </cell>
          <cell r="AC187">
            <v>2923776</v>
          </cell>
          <cell r="AD187">
            <v>6173512.471349149</v>
          </cell>
          <cell r="AI187">
            <v>0</v>
          </cell>
          <cell r="AJ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H188">
            <v>2</v>
          </cell>
          <cell r="S188">
            <v>38900000</v>
          </cell>
          <cell r="T188">
            <v>338000000</v>
          </cell>
          <cell r="AA188">
            <v>162240000</v>
          </cell>
          <cell r="AB188">
            <v>122004480</v>
          </cell>
          <cell r="AC188">
            <v>11091316.363636363</v>
          </cell>
          <cell r="AD188">
            <v>24147776.283105265</v>
          </cell>
          <cell r="AI188">
            <v>0</v>
          </cell>
          <cell r="AJ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H189">
            <v>2</v>
          </cell>
          <cell r="S189">
            <v>38880000</v>
          </cell>
          <cell r="T189">
            <v>286400000</v>
          </cell>
          <cell r="AA189">
            <v>137472000</v>
          </cell>
          <cell r="AB189">
            <v>103378944</v>
          </cell>
          <cell r="AC189">
            <v>9398085.8181818184</v>
          </cell>
          <cell r="AD189">
            <v>24135360.973962281</v>
          </cell>
          <cell r="AI189">
            <v>35235200</v>
          </cell>
          <cell r="AJ189">
            <v>270400000</v>
          </cell>
          <cell r="AQ189">
            <v>129792000</v>
          </cell>
          <cell r="AR189">
            <v>97603584</v>
          </cell>
          <cell r="AS189">
            <v>8873053.0909090918</v>
          </cell>
          <cell r="AT189">
            <v>20436416</v>
          </cell>
        </row>
        <row r="190">
          <cell r="H190">
            <v>3</v>
          </cell>
          <cell r="S190">
            <v>24960000</v>
          </cell>
          <cell r="T190">
            <v>205400000</v>
          </cell>
          <cell r="AA190">
            <v>98592000</v>
          </cell>
          <cell r="AB190">
            <v>74141184</v>
          </cell>
          <cell r="AC190">
            <v>6740107.6363636367</v>
          </cell>
          <cell r="AD190">
            <v>15494305.810444919</v>
          </cell>
          <cell r="AI190">
            <v>0</v>
          </cell>
          <cell r="AJ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H191">
            <v>3</v>
          </cell>
          <cell r="S191">
            <v>23040000</v>
          </cell>
          <cell r="T191">
            <v>189600000</v>
          </cell>
          <cell r="AA191">
            <v>91008000</v>
          </cell>
          <cell r="AB191">
            <v>68438016</v>
          </cell>
          <cell r="AC191">
            <v>6221637.8181818184</v>
          </cell>
          <cell r="AD191">
            <v>14302436.13271839</v>
          </cell>
          <cell r="AI191">
            <v>0</v>
          </cell>
          <cell r="AJ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H192">
            <v>2</v>
          </cell>
          <cell r="S192">
            <v>13760000</v>
          </cell>
          <cell r="T192">
            <v>95200000</v>
          </cell>
          <cell r="AA192">
            <v>45696000</v>
          </cell>
          <cell r="AB192">
            <v>34363392</v>
          </cell>
          <cell r="AC192">
            <v>3123944.7272727271</v>
          </cell>
          <cell r="AD192">
            <v>8541732.6903734822</v>
          </cell>
          <cell r="AI192">
            <v>0</v>
          </cell>
          <cell r="AJ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H193">
            <v>2</v>
          </cell>
          <cell r="S193">
            <v>23670000</v>
          </cell>
          <cell r="T193">
            <v>178200000</v>
          </cell>
          <cell r="AA193">
            <v>85536000</v>
          </cell>
          <cell r="AB193">
            <v>64323072</v>
          </cell>
          <cell r="AC193">
            <v>5847552</v>
          </cell>
          <cell r="AD193">
            <v>14693518.370722407</v>
          </cell>
          <cell r="AI193">
            <v>0</v>
          </cell>
          <cell r="AJ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H194">
            <v>1</v>
          </cell>
          <cell r="S194">
            <v>15650000</v>
          </cell>
          <cell r="T194">
            <v>119000000</v>
          </cell>
          <cell r="AA194">
            <v>57120000</v>
          </cell>
          <cell r="AB194">
            <v>42954240</v>
          </cell>
          <cell r="AC194">
            <v>3904930.9090909092</v>
          </cell>
          <cell r="AD194">
            <v>9714979.4043855369</v>
          </cell>
          <cell r="AI194">
            <v>14602149</v>
          </cell>
          <cell r="AJ194">
            <v>115326000</v>
          </cell>
          <cell r="AQ194">
            <v>55356480</v>
          </cell>
          <cell r="AR194">
            <v>41628072.960000001</v>
          </cell>
          <cell r="AS194">
            <v>3784370.269090909</v>
          </cell>
          <cell r="AT194">
            <v>8469246.4199999999</v>
          </cell>
        </row>
        <row r="195">
          <cell r="H195">
            <v>2</v>
          </cell>
          <cell r="S195">
            <v>17640000</v>
          </cell>
          <cell r="T195">
            <v>138600000</v>
          </cell>
          <cell r="AA195">
            <v>66528000</v>
          </cell>
          <cell r="AB195">
            <v>50029056</v>
          </cell>
          <cell r="AC195">
            <v>4548096</v>
          </cell>
          <cell r="AD195">
            <v>10950302.664112516</v>
          </cell>
          <cell r="AI195">
            <v>0</v>
          </cell>
          <cell r="AJ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H196">
            <v>2</v>
          </cell>
          <cell r="S196">
            <v>19350000</v>
          </cell>
          <cell r="T196">
            <v>142200000</v>
          </cell>
          <cell r="AA196">
            <v>68256000</v>
          </cell>
          <cell r="AB196">
            <v>51328512</v>
          </cell>
          <cell r="AC196">
            <v>4666228.3636363633</v>
          </cell>
          <cell r="AD196">
            <v>12011811.59583771</v>
          </cell>
          <cell r="AI196">
            <v>0</v>
          </cell>
          <cell r="AJ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H197">
            <v>2</v>
          </cell>
          <cell r="S197">
            <v>28640000</v>
          </cell>
          <cell r="T197">
            <v>238400000</v>
          </cell>
          <cell r="AA197">
            <v>114432000</v>
          </cell>
          <cell r="AB197">
            <v>86052864</v>
          </cell>
          <cell r="AC197">
            <v>7822987.6363636367</v>
          </cell>
          <cell r="AD197">
            <v>17778722.692754108</v>
          </cell>
          <cell r="AI197">
            <v>26964420</v>
          </cell>
          <cell r="AJ197">
            <v>212114000</v>
          </cell>
          <cell r="AQ197">
            <v>101814720</v>
          </cell>
          <cell r="AR197">
            <v>76564669.439999998</v>
          </cell>
          <cell r="AS197">
            <v>6960424.4945454542</v>
          </cell>
          <cell r="AT197">
            <v>15639363.6</v>
          </cell>
        </row>
        <row r="198">
          <cell r="H198">
            <v>2</v>
          </cell>
          <cell r="S198">
            <v>20200000</v>
          </cell>
          <cell r="T198">
            <v>178000000</v>
          </cell>
          <cell r="AA198">
            <v>85440000</v>
          </cell>
          <cell r="AB198">
            <v>64250880</v>
          </cell>
          <cell r="AC198">
            <v>5840989.0909090908</v>
          </cell>
          <cell r="AD198">
            <v>12539462.234414559</v>
          </cell>
          <cell r="AI198">
            <v>0</v>
          </cell>
          <cell r="AJ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H199">
            <v>3</v>
          </cell>
          <cell r="S199">
            <v>39680000</v>
          </cell>
          <cell r="T199">
            <v>316800000</v>
          </cell>
          <cell r="AA199">
            <v>152064000</v>
          </cell>
          <cell r="AB199">
            <v>114352128</v>
          </cell>
          <cell r="AC199">
            <v>10395648</v>
          </cell>
          <cell r="AD199">
            <v>24631973.33968167</v>
          </cell>
          <cell r="AI199">
            <v>39439260</v>
          </cell>
          <cell r="AJ199">
            <v>329076000</v>
          </cell>
          <cell r="AQ199">
            <v>157956480</v>
          </cell>
          <cell r="AR199">
            <v>118783272.95999999</v>
          </cell>
          <cell r="AS199">
            <v>10798479.359999999</v>
          </cell>
          <cell r="AT199">
            <v>22874770.799999997</v>
          </cell>
        </row>
        <row r="200">
          <cell r="H200">
            <v>2</v>
          </cell>
          <cell r="S200">
            <v>44100000</v>
          </cell>
          <cell r="T200">
            <v>340200000</v>
          </cell>
          <cell r="AA200">
            <v>163296000</v>
          </cell>
          <cell r="AB200">
            <v>122798592</v>
          </cell>
          <cell r="AC200">
            <v>11163508.363636363</v>
          </cell>
          <cell r="AD200">
            <v>27375756.660281289</v>
          </cell>
          <cell r="AI200">
            <v>0</v>
          </cell>
          <cell r="AJ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H201">
            <v>2</v>
          </cell>
          <cell r="S201">
            <v>17760000</v>
          </cell>
          <cell r="T201">
            <v>142400000</v>
          </cell>
          <cell r="AA201">
            <v>68352000</v>
          </cell>
          <cell r="AB201">
            <v>51400704</v>
          </cell>
          <cell r="AC201">
            <v>4672791.2727272725</v>
          </cell>
          <cell r="AD201">
            <v>11024794.518970424</v>
          </cell>
          <cell r="AI201">
            <v>0</v>
          </cell>
          <cell r="AJ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H202">
            <v>2</v>
          </cell>
          <cell r="S202">
            <v>13880000</v>
          </cell>
          <cell r="T202">
            <v>103200000</v>
          </cell>
          <cell r="AA202">
            <v>49536000</v>
          </cell>
          <cell r="AB202">
            <v>37251072</v>
          </cell>
          <cell r="AC202">
            <v>3386461.0909090908</v>
          </cell>
          <cell r="AD202">
            <v>8616224.5452313907</v>
          </cell>
          <cell r="AI202">
            <v>0</v>
          </cell>
          <cell r="AJ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H203">
            <v>2</v>
          </cell>
          <cell r="S203">
            <v>41700000</v>
          </cell>
          <cell r="T203">
            <v>298800000</v>
          </cell>
          <cell r="AA203">
            <v>143424000</v>
          </cell>
          <cell r="AB203">
            <v>107854848</v>
          </cell>
          <cell r="AC203">
            <v>9804986.1818181816</v>
          </cell>
          <cell r="AD203">
            <v>25885919.563123126</v>
          </cell>
          <cell r="AI203">
            <v>0</v>
          </cell>
          <cell r="AJ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H204">
            <v>2</v>
          </cell>
          <cell r="S204">
            <v>21330000</v>
          </cell>
          <cell r="T204">
            <v>160200000</v>
          </cell>
          <cell r="AA204">
            <v>76896000</v>
          </cell>
          <cell r="AB204">
            <v>57825792</v>
          </cell>
          <cell r="AC204">
            <v>5256890.1818181816</v>
          </cell>
          <cell r="AD204">
            <v>13240927.200993197</v>
          </cell>
          <cell r="AI204">
            <v>0</v>
          </cell>
          <cell r="AJ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</row>
        <row r="205">
          <cell r="H205">
            <v>4</v>
          </cell>
          <cell r="S205">
            <v>92180000</v>
          </cell>
          <cell r="T205">
            <v>743600000</v>
          </cell>
          <cell r="AA205">
            <v>356928000</v>
          </cell>
          <cell r="AB205">
            <v>268409856</v>
          </cell>
          <cell r="AC205">
            <v>24400896</v>
          </cell>
          <cell r="AD205">
            <v>57222159.840016536</v>
          </cell>
          <cell r="AI205">
            <v>0</v>
          </cell>
          <cell r="AJ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H206">
            <v>2</v>
          </cell>
          <cell r="S206">
            <v>53550000</v>
          </cell>
          <cell r="T206">
            <v>448200000</v>
          </cell>
          <cell r="AA206">
            <v>215136000</v>
          </cell>
          <cell r="AB206">
            <v>161782272</v>
          </cell>
          <cell r="AC206">
            <v>14707479.272727273</v>
          </cell>
          <cell r="AD206">
            <v>33241990.230341565</v>
          </cell>
          <cell r="AI206">
            <v>0</v>
          </cell>
          <cell r="AJ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H207">
            <v>3</v>
          </cell>
          <cell r="S207">
            <v>61030000</v>
          </cell>
          <cell r="T207">
            <v>438600000</v>
          </cell>
          <cell r="AA207">
            <v>210528000</v>
          </cell>
          <cell r="AB207">
            <v>158317056</v>
          </cell>
          <cell r="AC207">
            <v>14392459.636363637</v>
          </cell>
          <cell r="AD207">
            <v>37885315.84981785</v>
          </cell>
          <cell r="AI207">
            <v>0</v>
          </cell>
          <cell r="AJ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H208">
            <v>3</v>
          </cell>
          <cell r="S208">
            <v>115690000</v>
          </cell>
          <cell r="T208">
            <v>869400000</v>
          </cell>
          <cell r="AA208">
            <v>417312000</v>
          </cell>
          <cell r="AB208">
            <v>313818624</v>
          </cell>
          <cell r="AC208">
            <v>28528965.818181816</v>
          </cell>
          <cell r="AD208">
            <v>71816355.737595066</v>
          </cell>
          <cell r="AI208">
            <v>0</v>
          </cell>
          <cell r="AJ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H209">
            <v>2</v>
          </cell>
          <cell r="S209">
            <v>96480000</v>
          </cell>
          <cell r="T209">
            <v>837600000</v>
          </cell>
          <cell r="AA209">
            <v>402048000</v>
          </cell>
          <cell r="AB209">
            <v>302340096</v>
          </cell>
          <cell r="AC209">
            <v>27485463.272727273</v>
          </cell>
          <cell r="AD209">
            <v>59891451.305758253</v>
          </cell>
          <cell r="AI209">
            <v>0</v>
          </cell>
          <cell r="AJ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H210">
            <v>1</v>
          </cell>
          <cell r="S210">
            <v>53690000</v>
          </cell>
          <cell r="T210">
            <v>460600000</v>
          </cell>
          <cell r="AA210">
            <v>221088000</v>
          </cell>
          <cell r="AB210">
            <v>166258176</v>
          </cell>
          <cell r="AC210">
            <v>15114379.636363637</v>
          </cell>
          <cell r="AD210">
            <v>33328897.39434246</v>
          </cell>
          <cell r="AI210">
            <v>0</v>
          </cell>
          <cell r="AJ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H211">
            <v>2</v>
          </cell>
          <cell r="S211">
            <v>55400000</v>
          </cell>
          <cell r="T211">
            <v>398000000</v>
          </cell>
          <cell r="AA211">
            <v>191040000</v>
          </cell>
          <cell r="AB211">
            <v>143662080</v>
          </cell>
          <cell r="AC211">
            <v>13060189.090909092</v>
          </cell>
          <cell r="AD211">
            <v>34390406.326067649</v>
          </cell>
          <cell r="AI211">
            <v>0</v>
          </cell>
          <cell r="AJ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H212">
            <v>3</v>
          </cell>
          <cell r="S212">
            <v>115600000</v>
          </cell>
          <cell r="T212">
            <v>876000000</v>
          </cell>
          <cell r="AA212">
            <v>420480000</v>
          </cell>
          <cell r="AB212">
            <v>316200960</v>
          </cell>
          <cell r="AC212">
            <v>28745541.818181816</v>
          </cell>
          <cell r="AD212">
            <v>71760486.84645164</v>
          </cell>
          <cell r="AI212">
            <v>0</v>
          </cell>
          <cell r="AJ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H213">
            <v>2</v>
          </cell>
          <cell r="S213">
            <v>103800000</v>
          </cell>
          <cell r="T213">
            <v>837600000</v>
          </cell>
          <cell r="AA213">
            <v>402048000</v>
          </cell>
          <cell r="AB213">
            <v>302340096</v>
          </cell>
          <cell r="AC213">
            <v>27485463.272727273</v>
          </cell>
          <cell r="AD213">
            <v>64435454.452090658</v>
          </cell>
          <cell r="AI213">
            <v>0</v>
          </cell>
          <cell r="AJ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H214">
            <v>3</v>
          </cell>
          <cell r="S214">
            <v>164880000</v>
          </cell>
          <cell r="T214">
            <v>1292400000</v>
          </cell>
          <cell r="AA214">
            <v>620352000</v>
          </cell>
          <cell r="AB214">
            <v>466504704</v>
          </cell>
          <cell r="AC214">
            <v>42409518.545454547</v>
          </cell>
          <cell r="AD214">
            <v>102351808.57476597</v>
          </cell>
          <cell r="AI214">
            <v>0</v>
          </cell>
          <cell r="AJ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H215">
            <v>2</v>
          </cell>
          <cell r="S215">
            <v>83300000</v>
          </cell>
          <cell r="T215">
            <v>698000000</v>
          </cell>
          <cell r="AA215">
            <v>335040000</v>
          </cell>
          <cell r="AB215">
            <v>251950080</v>
          </cell>
          <cell r="AC215">
            <v>22904552.727272727</v>
          </cell>
          <cell r="AD215">
            <v>51709762.580531329</v>
          </cell>
          <cell r="AI215">
            <v>0</v>
          </cell>
          <cell r="AJ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H216">
            <v>1</v>
          </cell>
          <cell r="S216">
            <v>54180000</v>
          </cell>
          <cell r="T216">
            <v>404100000</v>
          </cell>
          <cell r="AA216">
            <v>193968000</v>
          </cell>
          <cell r="AB216">
            <v>145863936</v>
          </cell>
          <cell r="AC216">
            <v>13260357.818181818</v>
          </cell>
          <cell r="AD216">
            <v>33633072.46834559</v>
          </cell>
          <cell r="AI216">
            <v>0</v>
          </cell>
          <cell r="AJ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H217">
            <v>3</v>
          </cell>
          <cell r="S217">
            <v>55480000</v>
          </cell>
          <cell r="T217">
            <v>414200000</v>
          </cell>
          <cell r="AA217">
            <v>198816000</v>
          </cell>
          <cell r="AB217">
            <v>149509632</v>
          </cell>
          <cell r="AC217">
            <v>13591784.727272727</v>
          </cell>
          <cell r="AD217">
            <v>34440067.562639594</v>
          </cell>
          <cell r="AI217">
            <v>0</v>
          </cell>
          <cell r="AJ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H218">
            <v>3</v>
          </cell>
          <cell r="S218">
            <v>84560000</v>
          </cell>
          <cell r="T218">
            <v>610400000</v>
          </cell>
          <cell r="AA218">
            <v>292992000</v>
          </cell>
          <cell r="AB218">
            <v>220329984</v>
          </cell>
          <cell r="AC218">
            <v>20029998.545454547</v>
          </cell>
          <cell r="AD218">
            <v>52491927.056539364</v>
          </cell>
          <cell r="AI218">
            <v>0</v>
          </cell>
          <cell r="AJ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H219">
            <v>3</v>
          </cell>
          <cell r="S219">
            <v>48760000</v>
          </cell>
          <cell r="T219">
            <v>455400000</v>
          </cell>
          <cell r="AA219">
            <v>218592000</v>
          </cell>
          <cell r="AB219">
            <v>164381184</v>
          </cell>
          <cell r="AC219">
            <v>14943744</v>
          </cell>
          <cell r="AD219">
            <v>30268523.690596726</v>
          </cell>
          <cell r="AI219">
            <v>0</v>
          </cell>
          <cell r="AJ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H220">
            <v>2</v>
          </cell>
          <cell r="S220">
            <v>42880000</v>
          </cell>
          <cell r="T220">
            <v>412800000</v>
          </cell>
          <cell r="AA220">
            <v>198144000</v>
          </cell>
          <cell r="AB220">
            <v>149004288</v>
          </cell>
          <cell r="AC220">
            <v>13545844.363636363</v>
          </cell>
          <cell r="AD220">
            <v>26618422.802559223</v>
          </cell>
          <cell r="AI220">
            <v>0</v>
          </cell>
          <cell r="AJ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H221">
            <v>2</v>
          </cell>
          <cell r="S221">
            <v>33450000</v>
          </cell>
          <cell r="T221">
            <v>297000000</v>
          </cell>
          <cell r="AA221">
            <v>142560000</v>
          </cell>
          <cell r="AB221">
            <v>107205120</v>
          </cell>
          <cell r="AC221">
            <v>9745920</v>
          </cell>
          <cell r="AD221">
            <v>20764604.541641928</v>
          </cell>
          <cell r="AI221">
            <v>0</v>
          </cell>
          <cell r="AJ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</row>
        <row r="222">
          <cell r="H222">
            <v>2</v>
          </cell>
          <cell r="S222">
            <v>34710000</v>
          </cell>
          <cell r="T222">
            <v>309400000</v>
          </cell>
          <cell r="AA222">
            <v>148512000</v>
          </cell>
          <cell r="AB222">
            <v>111681024</v>
          </cell>
          <cell r="AC222">
            <v>10152820.363636363</v>
          </cell>
          <cell r="AD222">
            <v>21546769.017649967</v>
          </cell>
          <cell r="AI222">
            <v>0</v>
          </cell>
          <cell r="AJ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H223">
            <v>1</v>
          </cell>
          <cell r="S223">
            <v>21240000</v>
          </cell>
          <cell r="T223">
            <v>178200000</v>
          </cell>
          <cell r="AA223">
            <v>85536000</v>
          </cell>
          <cell r="AB223">
            <v>64323072</v>
          </cell>
          <cell r="AC223">
            <v>5847552</v>
          </cell>
          <cell r="AD223">
            <v>13185058.309849765</v>
          </cell>
          <cell r="AI223">
            <v>0</v>
          </cell>
          <cell r="AJ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H224">
            <v>3</v>
          </cell>
          <cell r="S224">
            <v>59160000</v>
          </cell>
          <cell r="T224">
            <v>458200000</v>
          </cell>
          <cell r="AA224">
            <v>219936000</v>
          </cell>
          <cell r="AB224">
            <v>165391872</v>
          </cell>
          <cell r="AC224">
            <v>15035624.727272727</v>
          </cell>
          <cell r="AD224">
            <v>36724484.444948778</v>
          </cell>
          <cell r="AI224">
            <v>0</v>
          </cell>
          <cell r="AJ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H225">
            <v>2</v>
          </cell>
          <cell r="S225">
            <v>43040000</v>
          </cell>
          <cell r="T225">
            <v>444800000</v>
          </cell>
          <cell r="AA225">
            <v>213504000</v>
          </cell>
          <cell r="AB225">
            <v>160555008</v>
          </cell>
          <cell r="AC225">
            <v>14595909.818181818</v>
          </cell>
          <cell r="AD225">
            <v>26717745.275703102</v>
          </cell>
          <cell r="AI225">
            <v>0</v>
          </cell>
          <cell r="AJ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H226">
            <v>2</v>
          </cell>
          <cell r="S226">
            <v>33440000</v>
          </cell>
          <cell r="T226">
            <v>316800000</v>
          </cell>
          <cell r="AA226">
            <v>152064000</v>
          </cell>
          <cell r="AB226">
            <v>114352128</v>
          </cell>
          <cell r="AC226">
            <v>10395648</v>
          </cell>
          <cell r="AD226">
            <v>20758396.88707044</v>
          </cell>
          <cell r="AI226">
            <v>0</v>
          </cell>
          <cell r="AJ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H227">
            <v>2</v>
          </cell>
          <cell r="S227">
            <v>42200000</v>
          </cell>
          <cell r="T227">
            <v>476000000</v>
          </cell>
          <cell r="AA227">
            <v>228480000</v>
          </cell>
          <cell r="AB227">
            <v>171816960</v>
          </cell>
          <cell r="AC227">
            <v>15619723.636363637</v>
          </cell>
          <cell r="AD227">
            <v>26196302.291697741</v>
          </cell>
          <cell r="AI227">
            <v>0</v>
          </cell>
          <cell r="AJ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H228">
            <v>1</v>
          </cell>
          <cell r="S228">
            <v>23680000</v>
          </cell>
          <cell r="T228">
            <v>190400000</v>
          </cell>
          <cell r="AA228">
            <v>91392000</v>
          </cell>
          <cell r="AB228">
            <v>68726784</v>
          </cell>
          <cell r="AC228">
            <v>6247889.4545454541</v>
          </cell>
          <cell r="AD228">
            <v>14699726.0252939</v>
          </cell>
          <cell r="AI228">
            <v>0</v>
          </cell>
          <cell r="AJ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H229">
            <v>1</v>
          </cell>
          <cell r="S229">
            <v>18990000</v>
          </cell>
          <cell r="T229">
            <v>178200000</v>
          </cell>
          <cell r="AA229">
            <v>85536000</v>
          </cell>
          <cell r="AB229">
            <v>64323072</v>
          </cell>
          <cell r="AC229">
            <v>5847552</v>
          </cell>
          <cell r="AD229">
            <v>11788336.031263985</v>
          </cell>
          <cell r="AI229">
            <v>0</v>
          </cell>
          <cell r="AJ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H230">
            <v>1</v>
          </cell>
          <cell r="S230">
            <v>3600000</v>
          </cell>
          <cell r="T230">
            <v>14400000</v>
          </cell>
          <cell r="AA230">
            <v>11520000</v>
          </cell>
          <cell r="AB230">
            <v>8663040</v>
          </cell>
          <cell r="AC230">
            <v>787549.09090909094</v>
          </cell>
          <cell r="AD230">
            <v>2234755.645737248</v>
          </cell>
          <cell r="AI230">
            <v>0</v>
          </cell>
          <cell r="AJ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H231">
            <v>1</v>
          </cell>
          <cell r="S231">
            <v>2400000</v>
          </cell>
          <cell r="T231">
            <v>9600000</v>
          </cell>
          <cell r="AA231">
            <v>7680000</v>
          </cell>
          <cell r="AB231">
            <v>5775360</v>
          </cell>
          <cell r="AC231">
            <v>525032.72727272729</v>
          </cell>
          <cell r="AD231">
            <v>1489837.0971581656</v>
          </cell>
          <cell r="AI231">
            <v>0</v>
          </cell>
          <cell r="AJ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H232">
            <v>2</v>
          </cell>
          <cell r="S232">
            <v>3815000</v>
          </cell>
          <cell r="T232">
            <v>20300000</v>
          </cell>
          <cell r="AA232">
            <v>16240000</v>
          </cell>
          <cell r="AB232">
            <v>12212480</v>
          </cell>
          <cell r="AC232">
            <v>1110225.4545454546</v>
          </cell>
          <cell r="AD232">
            <v>2368220.2190243336</v>
          </cell>
          <cell r="AI232">
            <v>0</v>
          </cell>
          <cell r="AJ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H233">
            <v>2</v>
          </cell>
          <cell r="S233">
            <v>3745000</v>
          </cell>
          <cell r="T233">
            <v>20300000</v>
          </cell>
          <cell r="AA233">
            <v>16240000</v>
          </cell>
          <cell r="AB233">
            <v>12212480</v>
          </cell>
          <cell r="AC233">
            <v>1110225.4545454546</v>
          </cell>
          <cell r="AD233">
            <v>2324766.6370238871</v>
          </cell>
          <cell r="AI233">
            <v>0</v>
          </cell>
          <cell r="AJ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H234">
            <v>1</v>
          </cell>
          <cell r="S234">
            <v>2540000</v>
          </cell>
          <cell r="T234">
            <v>11600000</v>
          </cell>
          <cell r="AA234">
            <v>9280000</v>
          </cell>
          <cell r="AB234">
            <v>6978560</v>
          </cell>
          <cell r="AC234">
            <v>634414.54545454541</v>
          </cell>
          <cell r="AD234">
            <v>1576744.2611590587</v>
          </cell>
          <cell r="AI234">
            <v>0</v>
          </cell>
          <cell r="AJ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H235">
            <v>2</v>
          </cell>
          <cell r="S235">
            <v>3500000</v>
          </cell>
          <cell r="T235">
            <v>20300000</v>
          </cell>
          <cell r="AA235">
            <v>16240000</v>
          </cell>
          <cell r="AB235">
            <v>12212480</v>
          </cell>
          <cell r="AC235">
            <v>1110225.4545454546</v>
          </cell>
          <cell r="AD235">
            <v>2172679.1000223244</v>
          </cell>
          <cell r="AI235">
            <v>0</v>
          </cell>
          <cell r="AJ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H236">
            <v>1</v>
          </cell>
          <cell r="S236">
            <v>3640000</v>
          </cell>
          <cell r="T236">
            <v>15600000</v>
          </cell>
          <cell r="AA236">
            <v>12480000</v>
          </cell>
          <cell r="AB236">
            <v>9384960</v>
          </cell>
          <cell r="AC236">
            <v>853178.18181818177</v>
          </cell>
          <cell r="AD236">
            <v>2259586.2640232178</v>
          </cell>
          <cell r="AI236">
            <v>0</v>
          </cell>
          <cell r="AJ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H237">
            <v>1</v>
          </cell>
          <cell r="S237">
            <v>3175000</v>
          </cell>
          <cell r="T237">
            <v>14500000</v>
          </cell>
          <cell r="AA237">
            <v>11600000</v>
          </cell>
          <cell r="AB237">
            <v>8723200</v>
          </cell>
          <cell r="AC237">
            <v>793018.18181818177</v>
          </cell>
          <cell r="AD237">
            <v>1970930.3264488231</v>
          </cell>
          <cell r="AI237">
            <v>0</v>
          </cell>
          <cell r="AJ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H238">
            <v>2</v>
          </cell>
          <cell r="S238">
            <v>5715000</v>
          </cell>
          <cell r="T238">
            <v>26100000</v>
          </cell>
          <cell r="AA238">
            <v>20880000</v>
          </cell>
          <cell r="AB238">
            <v>15701760</v>
          </cell>
          <cell r="AC238">
            <v>1427432.7272727273</v>
          </cell>
          <cell r="AD238">
            <v>3547674.5876078815</v>
          </cell>
          <cell r="AI238">
            <v>0</v>
          </cell>
          <cell r="AJ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H239">
            <v>1</v>
          </cell>
          <cell r="S239">
            <v>7640000</v>
          </cell>
          <cell r="T239">
            <v>31600000</v>
          </cell>
          <cell r="AA239">
            <v>25280000</v>
          </cell>
          <cell r="AB239">
            <v>19010560</v>
          </cell>
          <cell r="AC239">
            <v>1728232.7272727273</v>
          </cell>
          <cell r="AD239">
            <v>4742648.0926201595</v>
          </cell>
          <cell r="AI239">
            <v>0</v>
          </cell>
          <cell r="AJ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H240">
            <v>2</v>
          </cell>
          <cell r="S240">
            <v>3210000</v>
          </cell>
          <cell r="T240">
            <v>17400000</v>
          </cell>
          <cell r="AA240">
            <v>13920000</v>
          </cell>
          <cell r="AB240">
            <v>10467840</v>
          </cell>
          <cell r="AC240">
            <v>951621.81818181823</v>
          </cell>
          <cell r="AD240">
            <v>1992657.1174490463</v>
          </cell>
          <cell r="AI240">
            <v>0</v>
          </cell>
          <cell r="AJ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H241">
            <v>2</v>
          </cell>
          <cell r="S241">
            <v>3745000</v>
          </cell>
          <cell r="T241">
            <v>20300000</v>
          </cell>
          <cell r="AA241">
            <v>16240000</v>
          </cell>
          <cell r="AB241">
            <v>12212480</v>
          </cell>
          <cell r="AC241">
            <v>1110225.4545454546</v>
          </cell>
          <cell r="AD241">
            <v>2324766.6370238871</v>
          </cell>
          <cell r="AI241">
            <v>0</v>
          </cell>
          <cell r="AJ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H242">
            <v>2</v>
          </cell>
          <cell r="S242">
            <v>5830000</v>
          </cell>
          <cell r="T242">
            <v>31900000</v>
          </cell>
          <cell r="AA242">
            <v>25520000</v>
          </cell>
          <cell r="AB242">
            <v>19191040</v>
          </cell>
          <cell r="AC242">
            <v>1744640</v>
          </cell>
          <cell r="AD242">
            <v>3619062.615180044</v>
          </cell>
          <cell r="AI242">
            <v>0</v>
          </cell>
          <cell r="AJ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H243">
            <v>1</v>
          </cell>
          <cell r="S243">
            <v>2340000</v>
          </cell>
          <cell r="T243">
            <v>11600000</v>
          </cell>
          <cell r="AA243">
            <v>9280000</v>
          </cell>
          <cell r="AB243">
            <v>6978560</v>
          </cell>
          <cell r="AC243">
            <v>634414.54545454541</v>
          </cell>
          <cell r="AD243">
            <v>1452591.1697292114</v>
          </cell>
          <cell r="AI243">
            <v>0</v>
          </cell>
          <cell r="AJ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H244">
            <v>2</v>
          </cell>
          <cell r="S244">
            <v>8400000</v>
          </cell>
          <cell r="T244">
            <v>40800000</v>
          </cell>
          <cell r="AA244">
            <v>32640000</v>
          </cell>
          <cell r="AB244">
            <v>24545280</v>
          </cell>
          <cell r="AC244">
            <v>2231389.0909090908</v>
          </cell>
          <cell r="AD244">
            <v>5214429.8400535798</v>
          </cell>
          <cell r="AI244">
            <v>0</v>
          </cell>
          <cell r="AJ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H245">
            <v>2</v>
          </cell>
          <cell r="S245">
            <v>9120000</v>
          </cell>
          <cell r="T245">
            <v>40800000</v>
          </cell>
          <cell r="AA245">
            <v>32640000</v>
          </cell>
          <cell r="AB245">
            <v>24545280</v>
          </cell>
          <cell r="AC245">
            <v>2231389.0909090908</v>
          </cell>
          <cell r="AD245">
            <v>5661380.9692010283</v>
          </cell>
          <cell r="AI245">
            <v>0</v>
          </cell>
          <cell r="AJ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H246">
            <v>2</v>
          </cell>
          <cell r="S246">
            <v>3960000</v>
          </cell>
          <cell r="T246">
            <v>17400000</v>
          </cell>
          <cell r="AA246">
            <v>13920000</v>
          </cell>
          <cell r="AB246">
            <v>10467840</v>
          </cell>
          <cell r="AC246">
            <v>951621.81818181823</v>
          </cell>
          <cell r="AD246">
            <v>2458231.2103109728</v>
          </cell>
          <cell r="AI246">
            <v>0</v>
          </cell>
          <cell r="AJ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H247">
            <v>1</v>
          </cell>
          <cell r="S247">
            <v>4175000</v>
          </cell>
          <cell r="T247">
            <v>17000000</v>
          </cell>
          <cell r="AA247">
            <v>13600000</v>
          </cell>
          <cell r="AB247">
            <v>10227200</v>
          </cell>
          <cell r="AC247">
            <v>929745.45454545459</v>
          </cell>
          <cell r="AD247">
            <v>2591695.7835980589</v>
          </cell>
          <cell r="AI247">
            <v>0</v>
          </cell>
          <cell r="AJ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H248">
            <v>2</v>
          </cell>
          <cell r="S248">
            <v>10020000</v>
          </cell>
          <cell r="T248">
            <v>40800000</v>
          </cell>
          <cell r="AA248">
            <v>32640000</v>
          </cell>
          <cell r="AB248">
            <v>24545280</v>
          </cell>
          <cell r="AC248">
            <v>2231389.0909090908</v>
          </cell>
          <cell r="AD248">
            <v>6220069.8806353416</v>
          </cell>
          <cell r="AI248">
            <v>0</v>
          </cell>
          <cell r="AJ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H249">
            <v>1</v>
          </cell>
          <cell r="S249">
            <v>1600000</v>
          </cell>
          <cell r="T249">
            <v>7200000</v>
          </cell>
          <cell r="AA249">
            <v>5760000</v>
          </cell>
          <cell r="AB249">
            <v>4331520</v>
          </cell>
          <cell r="AC249">
            <v>393774.54545454547</v>
          </cell>
          <cell r="AD249">
            <v>993224.73143877706</v>
          </cell>
          <cell r="AI249">
            <v>0</v>
          </cell>
          <cell r="AJ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H250">
            <v>1</v>
          </cell>
          <cell r="S250">
            <v>1600000</v>
          </cell>
          <cell r="T250">
            <v>7200000</v>
          </cell>
          <cell r="AA250">
            <v>5760000</v>
          </cell>
          <cell r="AB250">
            <v>4331520</v>
          </cell>
          <cell r="AC250">
            <v>393774.54545454547</v>
          </cell>
          <cell r="AD250">
            <v>993224.73143877706</v>
          </cell>
          <cell r="AI250">
            <v>0</v>
          </cell>
          <cell r="AJ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H251">
            <v>2</v>
          </cell>
          <cell r="S251">
            <v>6840000</v>
          </cell>
          <cell r="T251">
            <v>30600000</v>
          </cell>
          <cell r="AA251">
            <v>24480000</v>
          </cell>
          <cell r="AB251">
            <v>18408960</v>
          </cell>
          <cell r="AC251">
            <v>1673541.8181818181</v>
          </cell>
          <cell r="AD251">
            <v>4246035.7269007713</v>
          </cell>
          <cell r="AI251">
            <v>0</v>
          </cell>
          <cell r="AJ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H252">
            <v>1</v>
          </cell>
          <cell r="S252">
            <v>5845000</v>
          </cell>
          <cell r="T252">
            <v>23800000</v>
          </cell>
          <cell r="AA252">
            <v>19040000</v>
          </cell>
          <cell r="AB252">
            <v>14318080</v>
          </cell>
          <cell r="AC252">
            <v>1301643.6363636365</v>
          </cell>
          <cell r="AD252">
            <v>3628374.0970372823</v>
          </cell>
          <cell r="AI252">
            <v>0</v>
          </cell>
          <cell r="AJ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H253">
            <v>2</v>
          </cell>
          <cell r="S253">
            <v>5480000</v>
          </cell>
          <cell r="T253">
            <v>23200000</v>
          </cell>
          <cell r="AA253">
            <v>18560000</v>
          </cell>
          <cell r="AB253">
            <v>13957120</v>
          </cell>
          <cell r="AC253">
            <v>1268829.0909090908</v>
          </cell>
          <cell r="AD253">
            <v>3401794.705177811</v>
          </cell>
          <cell r="AI253">
            <v>0</v>
          </cell>
          <cell r="AJ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H254">
            <v>2</v>
          </cell>
          <cell r="S254">
            <v>8640000</v>
          </cell>
          <cell r="T254">
            <v>35100000</v>
          </cell>
          <cell r="AA254">
            <v>28080000</v>
          </cell>
          <cell r="AB254">
            <v>21116160</v>
          </cell>
          <cell r="AC254">
            <v>1919650.9090909092</v>
          </cell>
          <cell r="AD254">
            <v>5363413.549769396</v>
          </cell>
          <cell r="AI254">
            <v>0</v>
          </cell>
          <cell r="AJ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H255">
            <v>2</v>
          </cell>
          <cell r="S255">
            <v>8580000</v>
          </cell>
          <cell r="T255">
            <v>37400000</v>
          </cell>
          <cell r="AA255">
            <v>29920000</v>
          </cell>
          <cell r="AB255">
            <v>22499840</v>
          </cell>
          <cell r="AC255">
            <v>2045440</v>
          </cell>
          <cell r="AD255">
            <v>5326167.6223404417</v>
          </cell>
          <cell r="AI255">
            <v>0</v>
          </cell>
          <cell r="AJ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H256">
            <v>2</v>
          </cell>
          <cell r="S256">
            <v>3660000</v>
          </cell>
          <cell r="T256">
            <v>17400000</v>
          </cell>
          <cell r="AA256">
            <v>13920000</v>
          </cell>
          <cell r="AB256">
            <v>10467840</v>
          </cell>
          <cell r="AC256">
            <v>951621.81818181823</v>
          </cell>
          <cell r="AD256">
            <v>2272001.5731662023</v>
          </cell>
          <cell r="AI256">
            <v>0</v>
          </cell>
          <cell r="AJ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H257">
            <v>1</v>
          </cell>
          <cell r="S257">
            <v>4445000</v>
          </cell>
          <cell r="T257">
            <v>20300000</v>
          </cell>
          <cell r="AA257">
            <v>16240000</v>
          </cell>
          <cell r="AB257">
            <v>12212480</v>
          </cell>
          <cell r="AC257">
            <v>1110225.4545454546</v>
          </cell>
          <cell r="AD257">
            <v>2759302.4570283522</v>
          </cell>
          <cell r="AI257">
            <v>0</v>
          </cell>
          <cell r="AJ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H258">
            <v>1</v>
          </cell>
          <cell r="S258">
            <v>3340000</v>
          </cell>
          <cell r="T258">
            <v>13600000</v>
          </cell>
          <cell r="AA258">
            <v>10880000</v>
          </cell>
          <cell r="AB258">
            <v>8181760</v>
          </cell>
          <cell r="AC258">
            <v>743796.36363636365</v>
          </cell>
          <cell r="AD258">
            <v>2073356.6268784471</v>
          </cell>
          <cell r="AI258">
            <v>0</v>
          </cell>
          <cell r="AJ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H259">
            <v>1</v>
          </cell>
          <cell r="S259">
            <v>3280000</v>
          </cell>
          <cell r="T259">
            <v>13600000</v>
          </cell>
          <cell r="AA259">
            <v>10880000</v>
          </cell>
          <cell r="AB259">
            <v>8181760</v>
          </cell>
          <cell r="AC259">
            <v>743796.36363636365</v>
          </cell>
          <cell r="AD259">
            <v>2036110.6994494929</v>
          </cell>
          <cell r="AI259">
            <v>0</v>
          </cell>
          <cell r="AJ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H260">
            <v>2</v>
          </cell>
          <cell r="S260">
            <v>8850000</v>
          </cell>
          <cell r="T260">
            <v>39000000</v>
          </cell>
          <cell r="AA260">
            <v>31200000</v>
          </cell>
          <cell r="AB260">
            <v>23462400</v>
          </cell>
          <cell r="AC260">
            <v>2132945.4545454546</v>
          </cell>
          <cell r="AD260">
            <v>5493774.2957707355</v>
          </cell>
          <cell r="AI260">
            <v>0</v>
          </cell>
          <cell r="AJ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H261">
            <v>2</v>
          </cell>
          <cell r="S261">
            <v>5845000</v>
          </cell>
          <cell r="T261">
            <v>23800000</v>
          </cell>
          <cell r="AA261">
            <v>19040000</v>
          </cell>
          <cell r="AB261">
            <v>14318080</v>
          </cell>
          <cell r="AC261">
            <v>1301643.6363636365</v>
          </cell>
          <cell r="AD261">
            <v>3628374.0970372823</v>
          </cell>
          <cell r="AI261">
            <v>0</v>
          </cell>
          <cell r="AJ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H262">
            <v>1</v>
          </cell>
          <cell r="S262">
            <v>4840000</v>
          </cell>
          <cell r="T262">
            <v>19600000</v>
          </cell>
          <cell r="AA262">
            <v>15680000</v>
          </cell>
          <cell r="AB262">
            <v>11791360</v>
          </cell>
          <cell r="AC262">
            <v>1071941.8181818181</v>
          </cell>
          <cell r="AD262">
            <v>3004504.8126023002</v>
          </cell>
          <cell r="AI262">
            <v>0</v>
          </cell>
          <cell r="AJ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H263">
            <v>1</v>
          </cell>
          <cell r="S263">
            <v>4840000</v>
          </cell>
          <cell r="T263">
            <v>19600000</v>
          </cell>
          <cell r="AA263">
            <v>15680000</v>
          </cell>
          <cell r="AB263">
            <v>11791360</v>
          </cell>
          <cell r="AC263">
            <v>1071941.8181818181</v>
          </cell>
          <cell r="AD263">
            <v>3004504.8126023002</v>
          </cell>
          <cell r="AI263">
            <v>0</v>
          </cell>
          <cell r="AJ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H264">
            <v>2</v>
          </cell>
          <cell r="S264">
            <v>6165000</v>
          </cell>
          <cell r="T264">
            <v>30600000</v>
          </cell>
          <cell r="AA264">
            <v>24480000</v>
          </cell>
          <cell r="AB264">
            <v>18408960</v>
          </cell>
          <cell r="AC264">
            <v>1673541.8181818181</v>
          </cell>
          <cell r="AD264">
            <v>3827019.0433250372</v>
          </cell>
          <cell r="AI264">
            <v>0</v>
          </cell>
          <cell r="AJ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H265">
            <v>2</v>
          </cell>
          <cell r="S265">
            <v>5880000</v>
          </cell>
          <cell r="T265">
            <v>27200000</v>
          </cell>
          <cell r="AA265">
            <v>21760000</v>
          </cell>
          <cell r="AB265">
            <v>16363520</v>
          </cell>
          <cell r="AC265">
            <v>1487592.7272727273</v>
          </cell>
          <cell r="AD265">
            <v>3650100.8880375056</v>
          </cell>
          <cell r="AI265">
            <v>0</v>
          </cell>
          <cell r="AJ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H266">
            <v>2</v>
          </cell>
          <cell r="S266">
            <v>2160000</v>
          </cell>
          <cell r="T266">
            <v>9600000</v>
          </cell>
          <cell r="AA266">
            <v>7680000</v>
          </cell>
          <cell r="AB266">
            <v>5775360</v>
          </cell>
          <cell r="AC266">
            <v>525032.72727272729</v>
          </cell>
          <cell r="AD266">
            <v>1340853.387442349</v>
          </cell>
          <cell r="AI266">
            <v>0</v>
          </cell>
          <cell r="AJ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H267">
            <v>2</v>
          </cell>
          <cell r="S267">
            <v>7350000</v>
          </cell>
          <cell r="T267">
            <v>34000000</v>
          </cell>
          <cell r="AA267">
            <v>27200000</v>
          </cell>
          <cell r="AB267">
            <v>20454400</v>
          </cell>
          <cell r="AC267">
            <v>1859490.9090909092</v>
          </cell>
          <cell r="AD267">
            <v>4562626.1100468813</v>
          </cell>
          <cell r="AI267">
            <v>0</v>
          </cell>
          <cell r="AJ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H268">
            <v>2</v>
          </cell>
          <cell r="S268">
            <v>6500000</v>
          </cell>
          <cell r="T268">
            <v>29000000</v>
          </cell>
          <cell r="AA268">
            <v>23200000</v>
          </cell>
          <cell r="AB268">
            <v>17446400</v>
          </cell>
          <cell r="AC268">
            <v>1586036.3636363635</v>
          </cell>
          <cell r="AD268">
            <v>4034975.4714700314</v>
          </cell>
          <cell r="AI268">
            <v>0</v>
          </cell>
          <cell r="AJ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H269">
            <v>2</v>
          </cell>
          <cell r="S269">
            <v>11690000</v>
          </cell>
          <cell r="T269">
            <v>47600000</v>
          </cell>
          <cell r="AA269">
            <v>38080000</v>
          </cell>
          <cell r="AB269">
            <v>28636160</v>
          </cell>
          <cell r="AC269">
            <v>2603287.2727272729</v>
          </cell>
          <cell r="AD269">
            <v>7256748.1940745646</v>
          </cell>
          <cell r="AI269">
            <v>0</v>
          </cell>
          <cell r="AJ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H270">
            <v>2</v>
          </cell>
          <cell r="S270">
            <v>5320000</v>
          </cell>
          <cell r="T270">
            <v>23800000</v>
          </cell>
          <cell r="AA270">
            <v>19040000</v>
          </cell>
          <cell r="AB270">
            <v>14318080</v>
          </cell>
          <cell r="AC270">
            <v>1301643.6363636365</v>
          </cell>
          <cell r="AD270">
            <v>3302472.2320339335</v>
          </cell>
          <cell r="AI270">
            <v>0</v>
          </cell>
          <cell r="AJ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H271">
            <v>2</v>
          </cell>
          <cell r="S271">
            <v>6390000</v>
          </cell>
          <cell r="T271">
            <v>30600000</v>
          </cell>
          <cell r="AA271">
            <v>24480000</v>
          </cell>
          <cell r="AB271">
            <v>18408960</v>
          </cell>
          <cell r="AC271">
            <v>1673541.8181818181</v>
          </cell>
          <cell r="AD271">
            <v>3966691.271183616</v>
          </cell>
          <cell r="AI271">
            <v>0</v>
          </cell>
          <cell r="AJ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H272">
            <v>2</v>
          </cell>
          <cell r="S272">
            <v>8600000</v>
          </cell>
          <cell r="T272">
            <v>34000000</v>
          </cell>
          <cell r="AA272">
            <v>27200000</v>
          </cell>
          <cell r="AB272">
            <v>20454400</v>
          </cell>
          <cell r="AC272">
            <v>1859490.9090909092</v>
          </cell>
          <cell r="AD272">
            <v>5338582.9314834261</v>
          </cell>
          <cell r="AI272">
            <v>0</v>
          </cell>
          <cell r="AJ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H273">
            <v>2</v>
          </cell>
          <cell r="S273">
            <v>7740000</v>
          </cell>
          <cell r="T273">
            <v>30600000</v>
          </cell>
          <cell r="AA273">
            <v>24480000</v>
          </cell>
          <cell r="AB273">
            <v>18408960</v>
          </cell>
          <cell r="AC273">
            <v>1673541.8181818181</v>
          </cell>
          <cell r="AD273">
            <v>4804724.6383350836</v>
          </cell>
          <cell r="AI273">
            <v>0</v>
          </cell>
          <cell r="AJ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H274">
            <v>2</v>
          </cell>
          <cell r="S274">
            <v>2100000</v>
          </cell>
          <cell r="T274">
            <v>10800000</v>
          </cell>
          <cell r="AA274">
            <v>8640000</v>
          </cell>
          <cell r="AB274">
            <v>6497280</v>
          </cell>
          <cell r="AC274">
            <v>590661.81818181823</v>
          </cell>
          <cell r="AD274">
            <v>1303607.4600133949</v>
          </cell>
          <cell r="AI274">
            <v>0</v>
          </cell>
          <cell r="AJ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H275">
            <v>2</v>
          </cell>
          <cell r="S275">
            <v>8250000</v>
          </cell>
          <cell r="T275">
            <v>37400000</v>
          </cell>
          <cell r="AA275">
            <v>29920000</v>
          </cell>
          <cell r="AB275">
            <v>22499840</v>
          </cell>
          <cell r="AC275">
            <v>2045440</v>
          </cell>
          <cell r="AD275">
            <v>5121315.0214811945</v>
          </cell>
          <cell r="AI275">
            <v>0</v>
          </cell>
          <cell r="AJ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H276">
            <v>2</v>
          </cell>
          <cell r="S276">
            <v>3990000</v>
          </cell>
          <cell r="T276">
            <v>16800000</v>
          </cell>
          <cell r="AA276">
            <v>13440000</v>
          </cell>
          <cell r="AB276">
            <v>10106880</v>
          </cell>
          <cell r="AC276">
            <v>918807.27272727271</v>
          </cell>
          <cell r="AD276">
            <v>2476854.1740254504</v>
          </cell>
          <cell r="AI276">
            <v>0</v>
          </cell>
          <cell r="AJ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H277">
            <v>1</v>
          </cell>
          <cell r="S277">
            <v>7260000</v>
          </cell>
          <cell r="T277">
            <v>29400000</v>
          </cell>
          <cell r="AA277">
            <v>23520000</v>
          </cell>
          <cell r="AB277">
            <v>17687040</v>
          </cell>
          <cell r="AC277">
            <v>1607912.7272727273</v>
          </cell>
          <cell r="AD277">
            <v>4506757.2189034512</v>
          </cell>
          <cell r="AI277">
            <v>0</v>
          </cell>
          <cell r="AJ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H278">
            <v>2</v>
          </cell>
          <cell r="S278">
            <v>19000000</v>
          </cell>
          <cell r="T278">
            <v>390000000</v>
          </cell>
          <cell r="AA278">
            <v>95000099.999999985</v>
          </cell>
          <cell r="AB278">
            <v>75525079.499999985</v>
          </cell>
          <cell r="AC278">
            <v>6865916.3181818165</v>
          </cell>
          <cell r="AD278">
            <v>11020000</v>
          </cell>
          <cell r="AI278">
            <v>0</v>
          </cell>
          <cell r="AJ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H279">
            <v>1</v>
          </cell>
          <cell r="S279">
            <v>26745000</v>
          </cell>
          <cell r="T279">
            <v>354000000</v>
          </cell>
          <cell r="AA279">
            <v>87002580.000000015</v>
          </cell>
          <cell r="AB279">
            <v>69167051.100000009</v>
          </cell>
          <cell r="AC279">
            <v>6287913.7363636373</v>
          </cell>
          <cell r="AD279">
            <v>15512099.999999998</v>
          </cell>
          <cell r="AI279">
            <v>0</v>
          </cell>
          <cell r="AJ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H280">
            <v>2</v>
          </cell>
          <cell r="S280">
            <v>68005000</v>
          </cell>
          <cell r="T280">
            <v>966000000</v>
          </cell>
          <cell r="AA280">
            <v>273001260</v>
          </cell>
          <cell r="AB280">
            <v>217036001.70000002</v>
          </cell>
          <cell r="AC280">
            <v>19730545.609090909</v>
          </cell>
          <cell r="AD280">
            <v>39442900</v>
          </cell>
          <cell r="AI280">
            <v>0</v>
          </cell>
          <cell r="AJ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H281">
            <v>1</v>
          </cell>
          <cell r="S281">
            <v>24000000</v>
          </cell>
          <cell r="T281">
            <v>316000000</v>
          </cell>
          <cell r="AA281">
            <v>98001080</v>
          </cell>
          <cell r="AB281">
            <v>77910858.600000009</v>
          </cell>
          <cell r="AC281">
            <v>7082805.3272727281</v>
          </cell>
          <cell r="AD281">
            <v>13919999.999999998</v>
          </cell>
          <cell r="AI281">
            <v>0</v>
          </cell>
          <cell r="AJ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</sheetData>
      <sheetData sheetId="1" refreshError="1"/>
      <sheetData sheetId="2" refreshError="1"/>
      <sheetData sheetId="3" refreshError="1">
        <row r="3">
          <cell r="D3" t="str">
            <v>I0Y1301</v>
          </cell>
          <cell r="M3">
            <v>500</v>
          </cell>
          <cell r="N3">
            <v>522</v>
          </cell>
        </row>
        <row r="4">
          <cell r="M4">
            <v>350</v>
          </cell>
          <cell r="N4">
            <v>339</v>
          </cell>
        </row>
        <row r="5">
          <cell r="M5">
            <v>700</v>
          </cell>
          <cell r="N5">
            <v>736</v>
          </cell>
        </row>
        <row r="6">
          <cell r="M6">
            <v>700</v>
          </cell>
          <cell r="N6">
            <v>747</v>
          </cell>
        </row>
        <row r="7">
          <cell r="M7">
            <v>200</v>
          </cell>
          <cell r="N7">
            <v>207</v>
          </cell>
        </row>
        <row r="8">
          <cell r="M8">
            <v>500</v>
          </cell>
          <cell r="N8">
            <v>523</v>
          </cell>
        </row>
        <row r="9">
          <cell r="N9">
            <v>456</v>
          </cell>
        </row>
        <row r="12">
          <cell r="M12">
            <v>350</v>
          </cell>
          <cell r="N12">
            <v>376</v>
          </cell>
        </row>
        <row r="13">
          <cell r="M13">
            <v>450</v>
          </cell>
          <cell r="N13">
            <v>475</v>
          </cell>
        </row>
        <row r="14">
          <cell r="N14">
            <v>116</v>
          </cell>
        </row>
        <row r="17">
          <cell r="M17">
            <v>600</v>
          </cell>
        </row>
        <row r="18">
          <cell r="M18">
            <v>500</v>
          </cell>
        </row>
        <row r="22">
          <cell r="M22">
            <v>400</v>
          </cell>
        </row>
        <row r="23">
          <cell r="M23">
            <v>600</v>
          </cell>
        </row>
        <row r="27">
          <cell r="M27">
            <v>500</v>
          </cell>
          <cell r="N27">
            <v>373</v>
          </cell>
        </row>
        <row r="28">
          <cell r="M28">
            <v>500</v>
          </cell>
          <cell r="N28">
            <v>379</v>
          </cell>
        </row>
        <row r="29">
          <cell r="N29">
            <v>58</v>
          </cell>
        </row>
        <row r="32">
          <cell r="M32">
            <v>500</v>
          </cell>
        </row>
        <row r="33">
          <cell r="M33">
            <v>500</v>
          </cell>
        </row>
        <row r="37">
          <cell r="M37">
            <v>400</v>
          </cell>
          <cell r="N37">
            <v>432</v>
          </cell>
        </row>
        <row r="38">
          <cell r="N38">
            <v>432</v>
          </cell>
        </row>
        <row r="41">
          <cell r="M41">
            <v>400</v>
          </cell>
        </row>
        <row r="42">
          <cell r="M42">
            <v>300</v>
          </cell>
        </row>
        <row r="43">
          <cell r="M43">
            <v>500</v>
          </cell>
        </row>
        <row r="44">
          <cell r="M44">
            <v>700</v>
          </cell>
        </row>
        <row r="45">
          <cell r="M45">
            <v>400</v>
          </cell>
        </row>
        <row r="49">
          <cell r="M49">
            <v>800</v>
          </cell>
        </row>
        <row r="50">
          <cell r="M50">
            <v>1300</v>
          </cell>
        </row>
        <row r="51">
          <cell r="M51">
            <v>600</v>
          </cell>
        </row>
        <row r="55">
          <cell r="M55">
            <v>700</v>
          </cell>
        </row>
        <row r="56">
          <cell r="M56">
            <v>700</v>
          </cell>
        </row>
        <row r="60">
          <cell r="M60">
            <v>700</v>
          </cell>
        </row>
        <row r="61">
          <cell r="M61">
            <v>900</v>
          </cell>
        </row>
        <row r="65">
          <cell r="M65">
            <v>1000</v>
          </cell>
        </row>
        <row r="66">
          <cell r="M66">
            <v>600</v>
          </cell>
        </row>
        <row r="70">
          <cell r="M70">
            <v>700</v>
          </cell>
        </row>
        <row r="71">
          <cell r="M71">
            <v>500</v>
          </cell>
        </row>
        <row r="75">
          <cell r="M75">
            <v>500</v>
          </cell>
        </row>
        <row r="76">
          <cell r="M76">
            <v>1400</v>
          </cell>
        </row>
        <row r="77">
          <cell r="M77">
            <v>700</v>
          </cell>
        </row>
        <row r="81">
          <cell r="M81">
            <v>432</v>
          </cell>
          <cell r="N81">
            <v>4328</v>
          </cell>
        </row>
        <row r="84">
          <cell r="M84">
            <v>300</v>
          </cell>
          <cell r="N84">
            <v>302</v>
          </cell>
        </row>
        <row r="85">
          <cell r="M85">
            <v>300</v>
          </cell>
          <cell r="N85">
            <v>304</v>
          </cell>
        </row>
        <row r="86">
          <cell r="N86">
            <v>606</v>
          </cell>
        </row>
        <row r="89">
          <cell r="M89">
            <v>300</v>
          </cell>
          <cell r="N89">
            <v>299</v>
          </cell>
        </row>
        <row r="90">
          <cell r="M90">
            <v>400</v>
          </cell>
          <cell r="N90">
            <v>397</v>
          </cell>
        </row>
        <row r="91">
          <cell r="N91">
            <v>696</v>
          </cell>
        </row>
        <row r="94">
          <cell r="M94">
            <v>400</v>
          </cell>
          <cell r="N94">
            <v>444</v>
          </cell>
        </row>
        <row r="95">
          <cell r="M95">
            <v>400</v>
          </cell>
          <cell r="N95">
            <v>442</v>
          </cell>
        </row>
        <row r="96">
          <cell r="N96">
            <v>886</v>
          </cell>
        </row>
        <row r="99">
          <cell r="M99">
            <v>1582</v>
          </cell>
        </row>
        <row r="102">
          <cell r="M102">
            <v>300</v>
          </cell>
        </row>
        <row r="103">
          <cell r="M103">
            <v>300</v>
          </cell>
        </row>
        <row r="107">
          <cell r="M107">
            <v>300</v>
          </cell>
        </row>
        <row r="111">
          <cell r="M111">
            <v>400</v>
          </cell>
        </row>
        <row r="112">
          <cell r="M112">
            <v>400</v>
          </cell>
        </row>
        <row r="119">
          <cell r="M119">
            <v>400</v>
          </cell>
        </row>
        <row r="120">
          <cell r="M120">
            <v>400</v>
          </cell>
        </row>
        <row r="127">
          <cell r="M127">
            <v>500</v>
          </cell>
          <cell r="N127">
            <v>478</v>
          </cell>
        </row>
        <row r="128">
          <cell r="M128">
            <v>700</v>
          </cell>
          <cell r="N128">
            <v>670</v>
          </cell>
        </row>
        <row r="129">
          <cell r="M129">
            <v>400</v>
          </cell>
          <cell r="N129">
            <v>382</v>
          </cell>
        </row>
        <row r="130">
          <cell r="N130">
            <v>201</v>
          </cell>
        </row>
        <row r="133">
          <cell r="M133">
            <v>500</v>
          </cell>
          <cell r="N133">
            <v>491</v>
          </cell>
        </row>
        <row r="134">
          <cell r="M134">
            <v>400</v>
          </cell>
          <cell r="N134">
            <v>394</v>
          </cell>
        </row>
        <row r="135">
          <cell r="N135">
            <v>885</v>
          </cell>
        </row>
        <row r="138">
          <cell r="M138">
            <v>500</v>
          </cell>
        </row>
        <row r="139">
          <cell r="M139">
            <v>300</v>
          </cell>
        </row>
        <row r="143">
          <cell r="M143">
            <v>700</v>
          </cell>
        </row>
        <row r="144">
          <cell r="M144">
            <v>800</v>
          </cell>
        </row>
        <row r="145">
          <cell r="M145">
            <v>400</v>
          </cell>
        </row>
        <row r="149">
          <cell r="M149">
            <v>400</v>
          </cell>
        </row>
        <row r="150">
          <cell r="M150">
            <v>400</v>
          </cell>
        </row>
        <row r="154">
          <cell r="M154">
            <v>885</v>
          </cell>
          <cell r="N154">
            <v>2018</v>
          </cell>
        </row>
        <row r="157">
          <cell r="M157">
            <v>700</v>
          </cell>
          <cell r="N157">
            <v>673</v>
          </cell>
        </row>
        <row r="158">
          <cell r="M158">
            <v>1000</v>
          </cell>
          <cell r="N158">
            <v>982</v>
          </cell>
        </row>
        <row r="159">
          <cell r="M159">
            <v>500</v>
          </cell>
          <cell r="N159">
            <v>500</v>
          </cell>
        </row>
        <row r="160">
          <cell r="N160">
            <v>336</v>
          </cell>
        </row>
        <row r="163">
          <cell r="M163">
            <v>500</v>
          </cell>
          <cell r="N163">
            <v>518</v>
          </cell>
        </row>
        <row r="164">
          <cell r="M164">
            <v>900</v>
          </cell>
          <cell r="N164">
            <v>956</v>
          </cell>
        </row>
        <row r="165">
          <cell r="N165">
            <v>1474</v>
          </cell>
        </row>
        <row r="168">
          <cell r="M168">
            <v>1000</v>
          </cell>
        </row>
        <row r="169">
          <cell r="M169">
            <v>500</v>
          </cell>
        </row>
        <row r="173">
          <cell r="M173">
            <v>400</v>
          </cell>
        </row>
        <row r="174">
          <cell r="M174">
            <v>1000</v>
          </cell>
        </row>
        <row r="175">
          <cell r="M175">
            <v>1500</v>
          </cell>
        </row>
        <row r="179">
          <cell r="M179">
            <v>1000</v>
          </cell>
        </row>
        <row r="183">
          <cell r="M183">
            <v>500</v>
          </cell>
        </row>
        <row r="184">
          <cell r="M184">
            <v>800</v>
          </cell>
        </row>
        <row r="188">
          <cell r="M188">
            <v>1200</v>
          </cell>
        </row>
        <row r="189">
          <cell r="M189">
            <v>800</v>
          </cell>
        </row>
        <row r="193">
          <cell r="M193">
            <v>1810</v>
          </cell>
          <cell r="N193">
            <v>1817</v>
          </cell>
        </row>
        <row r="196">
          <cell r="M196">
            <v>700</v>
          </cell>
          <cell r="N196">
            <v>687</v>
          </cell>
        </row>
        <row r="197">
          <cell r="M197">
            <v>1000</v>
          </cell>
          <cell r="N197">
            <v>962</v>
          </cell>
        </row>
        <row r="198">
          <cell r="M198">
            <v>600</v>
          </cell>
          <cell r="N198">
            <v>590</v>
          </cell>
        </row>
        <row r="199">
          <cell r="N199">
            <v>2239</v>
          </cell>
        </row>
        <row r="202">
          <cell r="M202">
            <v>2239</v>
          </cell>
        </row>
        <row r="205">
          <cell r="M205">
            <v>4709</v>
          </cell>
          <cell r="N205">
            <v>1817</v>
          </cell>
        </row>
        <row r="208">
          <cell r="M208">
            <v>200</v>
          </cell>
        </row>
        <row r="212">
          <cell r="M212">
            <v>200</v>
          </cell>
        </row>
        <row r="219">
          <cell r="M219">
            <v>300</v>
          </cell>
        </row>
        <row r="223">
          <cell r="M223">
            <v>200</v>
          </cell>
        </row>
        <row r="230">
          <cell r="M230">
            <v>200</v>
          </cell>
          <cell r="N230">
            <v>198</v>
          </cell>
        </row>
        <row r="231">
          <cell r="M231">
            <v>150</v>
          </cell>
          <cell r="N231">
            <v>149</v>
          </cell>
        </row>
        <row r="232">
          <cell r="N232">
            <v>71</v>
          </cell>
        </row>
        <row r="235">
          <cell r="M235">
            <v>150</v>
          </cell>
        </row>
        <row r="236">
          <cell r="M236">
            <v>200</v>
          </cell>
        </row>
        <row r="240">
          <cell r="M240">
            <v>200</v>
          </cell>
        </row>
        <row r="244">
          <cell r="M244">
            <v>150</v>
          </cell>
          <cell r="N244">
            <v>150</v>
          </cell>
        </row>
        <row r="245">
          <cell r="M245">
            <v>200</v>
          </cell>
          <cell r="N245">
            <v>200</v>
          </cell>
        </row>
        <row r="246">
          <cell r="N246">
            <v>72</v>
          </cell>
        </row>
        <row r="249">
          <cell r="M249">
            <v>200</v>
          </cell>
        </row>
        <row r="253">
          <cell r="M253">
            <v>250</v>
          </cell>
        </row>
        <row r="257">
          <cell r="M257">
            <v>200</v>
          </cell>
        </row>
        <row r="258">
          <cell r="M258">
            <v>250</v>
          </cell>
        </row>
        <row r="262">
          <cell r="M262">
            <v>250</v>
          </cell>
        </row>
        <row r="263">
          <cell r="M263">
            <v>200</v>
          </cell>
        </row>
        <row r="267">
          <cell r="M267">
            <v>350</v>
          </cell>
        </row>
        <row r="271">
          <cell r="M271">
            <v>250</v>
          </cell>
        </row>
        <row r="272">
          <cell r="M272">
            <v>150</v>
          </cell>
        </row>
        <row r="276">
          <cell r="M276">
            <v>250</v>
          </cell>
        </row>
        <row r="277">
          <cell r="M277">
            <v>200</v>
          </cell>
        </row>
        <row r="281">
          <cell r="M281">
            <v>200</v>
          </cell>
        </row>
        <row r="282">
          <cell r="M282">
            <v>350</v>
          </cell>
        </row>
        <row r="286">
          <cell r="M286">
            <v>150</v>
          </cell>
        </row>
        <row r="287">
          <cell r="M287">
            <v>150</v>
          </cell>
        </row>
        <row r="291">
          <cell r="M291">
            <v>350</v>
          </cell>
        </row>
        <row r="295">
          <cell r="M295">
            <v>200</v>
          </cell>
        </row>
        <row r="299">
          <cell r="M299">
            <v>200</v>
          </cell>
        </row>
        <row r="303">
          <cell r="M303">
            <v>250</v>
          </cell>
        </row>
        <row r="304">
          <cell r="M304">
            <v>250</v>
          </cell>
        </row>
        <row r="308">
          <cell r="M308">
            <v>200</v>
          </cell>
        </row>
        <row r="309">
          <cell r="M309">
            <v>150</v>
          </cell>
        </row>
        <row r="313">
          <cell r="M313">
            <v>143</v>
          </cell>
          <cell r="N313">
            <v>543</v>
          </cell>
        </row>
        <row r="316">
          <cell r="M316">
            <v>200</v>
          </cell>
          <cell r="N316">
            <v>199</v>
          </cell>
        </row>
        <row r="317">
          <cell r="N317">
            <v>42</v>
          </cell>
        </row>
        <row r="320">
          <cell r="M320">
            <v>42</v>
          </cell>
          <cell r="N320">
            <v>155</v>
          </cell>
        </row>
        <row r="323">
          <cell r="M323">
            <v>185</v>
          </cell>
          <cell r="N323">
            <v>698</v>
          </cell>
        </row>
        <row r="326">
          <cell r="M326">
            <v>2500</v>
          </cell>
          <cell r="N326">
            <v>2300</v>
          </cell>
        </row>
        <row r="327">
          <cell r="M327">
            <v>2500</v>
          </cell>
          <cell r="N327">
            <v>2300</v>
          </cell>
        </row>
        <row r="328">
          <cell r="N328">
            <v>4600</v>
          </cell>
        </row>
        <row r="331">
          <cell r="M331">
            <v>3000</v>
          </cell>
        </row>
        <row r="335">
          <cell r="M335">
            <v>3000</v>
          </cell>
        </row>
        <row r="336">
          <cell r="M336">
            <v>4000</v>
          </cell>
        </row>
        <row r="340">
          <cell r="M340">
            <v>4600</v>
          </cell>
        </row>
        <row r="343">
          <cell r="M343">
            <v>2000</v>
          </cell>
        </row>
        <row r="350">
          <cell r="M350">
            <v>2500</v>
          </cell>
        </row>
        <row r="351">
          <cell r="M351">
            <v>1500</v>
          </cell>
        </row>
        <row r="358">
          <cell r="M358">
            <v>4600</v>
          </cell>
        </row>
        <row r="361">
          <cell r="M361">
            <v>600</v>
          </cell>
        </row>
        <row r="362">
          <cell r="M362">
            <v>700</v>
          </cell>
        </row>
        <row r="372">
          <cell r="M372">
            <v>200</v>
          </cell>
          <cell r="N372">
            <v>148</v>
          </cell>
        </row>
        <row r="373">
          <cell r="M373">
            <v>300</v>
          </cell>
          <cell r="N373">
            <v>306</v>
          </cell>
        </row>
        <row r="374">
          <cell r="N374">
            <v>454</v>
          </cell>
        </row>
        <row r="377">
          <cell r="M377">
            <v>400</v>
          </cell>
        </row>
        <row r="378">
          <cell r="M378">
            <v>200</v>
          </cell>
        </row>
        <row r="382">
          <cell r="M382">
            <v>500</v>
          </cell>
        </row>
        <row r="383">
          <cell r="M383">
            <v>500</v>
          </cell>
        </row>
        <row r="387">
          <cell r="M387">
            <v>900</v>
          </cell>
        </row>
        <row r="388">
          <cell r="M388">
            <v>900</v>
          </cell>
        </row>
        <row r="392">
          <cell r="M392">
            <v>500</v>
          </cell>
        </row>
        <row r="393">
          <cell r="M393">
            <v>500</v>
          </cell>
        </row>
        <row r="397">
          <cell r="M397">
            <v>454</v>
          </cell>
          <cell r="N397">
            <v>411</v>
          </cell>
        </row>
        <row r="400">
          <cell r="M400">
            <v>300</v>
          </cell>
        </row>
        <row r="401">
          <cell r="M401">
            <v>400</v>
          </cell>
        </row>
        <row r="405">
          <cell r="M405">
            <v>400</v>
          </cell>
        </row>
        <row r="406">
          <cell r="M406">
            <v>400</v>
          </cell>
        </row>
        <row r="413">
          <cell r="M413">
            <v>600</v>
          </cell>
        </row>
        <row r="414">
          <cell r="M414">
            <v>1000</v>
          </cell>
        </row>
        <row r="418">
          <cell r="M418">
            <v>700</v>
          </cell>
        </row>
        <row r="419">
          <cell r="M419">
            <v>1000</v>
          </cell>
        </row>
        <row r="423">
          <cell r="M423">
            <v>700</v>
          </cell>
        </row>
        <row r="424">
          <cell r="M424">
            <v>900</v>
          </cell>
        </row>
        <row r="431">
          <cell r="M431">
            <v>400</v>
          </cell>
        </row>
        <row r="432">
          <cell r="M432">
            <v>400</v>
          </cell>
        </row>
        <row r="439">
          <cell r="M439">
            <v>350</v>
          </cell>
        </row>
        <row r="440">
          <cell r="M440">
            <v>350</v>
          </cell>
        </row>
        <row r="447">
          <cell r="M447">
            <v>454</v>
          </cell>
          <cell r="N447">
            <v>411</v>
          </cell>
        </row>
        <row r="450">
          <cell r="M450">
            <v>6300</v>
          </cell>
        </row>
        <row r="454">
          <cell r="M454">
            <v>6300</v>
          </cell>
        </row>
        <row r="458">
          <cell r="M458">
            <v>6300</v>
          </cell>
        </row>
        <row r="465">
          <cell r="M465">
            <v>9100</v>
          </cell>
        </row>
        <row r="469">
          <cell r="M469">
            <v>9100</v>
          </cell>
        </row>
        <row r="479">
          <cell r="M479">
            <v>500</v>
          </cell>
          <cell r="N479">
            <v>522</v>
          </cell>
        </row>
        <row r="480">
          <cell r="M480">
            <v>500</v>
          </cell>
          <cell r="N480">
            <v>516</v>
          </cell>
        </row>
        <row r="481">
          <cell r="M481">
            <v>500</v>
          </cell>
          <cell r="N481">
            <v>447</v>
          </cell>
        </row>
        <row r="482">
          <cell r="N482">
            <v>210</v>
          </cell>
        </row>
        <row r="485">
          <cell r="M485">
            <v>500</v>
          </cell>
          <cell r="N485">
            <v>437</v>
          </cell>
        </row>
        <row r="486">
          <cell r="M486">
            <v>350</v>
          </cell>
          <cell r="N486">
            <v>345</v>
          </cell>
        </row>
        <row r="487">
          <cell r="N487">
            <v>782</v>
          </cell>
        </row>
        <row r="490">
          <cell r="M490">
            <v>500</v>
          </cell>
        </row>
        <row r="491">
          <cell r="M491">
            <v>400</v>
          </cell>
        </row>
        <row r="492">
          <cell r="M492">
            <v>700</v>
          </cell>
        </row>
        <row r="496">
          <cell r="M496">
            <v>500</v>
          </cell>
        </row>
        <row r="497">
          <cell r="M497">
            <v>500</v>
          </cell>
        </row>
        <row r="501">
          <cell r="M501">
            <v>500</v>
          </cell>
          <cell r="N501">
            <v>488</v>
          </cell>
        </row>
        <row r="502">
          <cell r="M502">
            <v>500</v>
          </cell>
          <cell r="N502">
            <v>474</v>
          </cell>
        </row>
        <row r="503">
          <cell r="N503">
            <v>123</v>
          </cell>
        </row>
        <row r="506">
          <cell r="M506">
            <v>400</v>
          </cell>
          <cell r="N506">
            <v>417</v>
          </cell>
        </row>
        <row r="507">
          <cell r="M507">
            <v>400</v>
          </cell>
          <cell r="N507">
            <v>408</v>
          </cell>
        </row>
        <row r="508">
          <cell r="N508">
            <v>145</v>
          </cell>
        </row>
        <row r="511">
          <cell r="M511">
            <v>500</v>
          </cell>
          <cell r="N511">
            <v>465</v>
          </cell>
        </row>
        <row r="512">
          <cell r="N512">
            <v>465</v>
          </cell>
        </row>
        <row r="515">
          <cell r="M515">
            <v>600</v>
          </cell>
        </row>
        <row r="516">
          <cell r="M516">
            <v>600</v>
          </cell>
        </row>
        <row r="520">
          <cell r="M520">
            <v>500</v>
          </cell>
        </row>
        <row r="521">
          <cell r="M521">
            <v>500</v>
          </cell>
        </row>
        <row r="525">
          <cell r="M525">
            <v>900</v>
          </cell>
        </row>
        <row r="526">
          <cell r="M526">
            <v>600</v>
          </cell>
        </row>
        <row r="530">
          <cell r="M530">
            <v>300</v>
          </cell>
        </row>
        <row r="531">
          <cell r="M531">
            <v>800</v>
          </cell>
        </row>
        <row r="532">
          <cell r="M532">
            <v>700</v>
          </cell>
        </row>
        <row r="536">
          <cell r="M536">
            <v>1000</v>
          </cell>
        </row>
        <row r="537">
          <cell r="M537">
            <v>1000</v>
          </cell>
        </row>
        <row r="541">
          <cell r="M541">
            <v>800</v>
          </cell>
        </row>
        <row r="542">
          <cell r="M542">
            <v>800</v>
          </cell>
        </row>
        <row r="546">
          <cell r="M546">
            <v>1392</v>
          </cell>
          <cell r="N546">
            <v>680</v>
          </cell>
        </row>
        <row r="549">
          <cell r="M549">
            <v>600</v>
          </cell>
          <cell r="N549">
            <v>641</v>
          </cell>
        </row>
        <row r="550">
          <cell r="M550">
            <v>300</v>
          </cell>
          <cell r="N550">
            <v>291</v>
          </cell>
        </row>
        <row r="551">
          <cell r="M551">
            <v>600</v>
          </cell>
          <cell r="N551">
            <v>574</v>
          </cell>
        </row>
        <row r="552">
          <cell r="M552">
            <v>300</v>
          </cell>
          <cell r="N552">
            <v>308</v>
          </cell>
        </row>
        <row r="553">
          <cell r="N553">
            <v>1810</v>
          </cell>
        </row>
        <row r="556">
          <cell r="M556">
            <v>400</v>
          </cell>
          <cell r="N556">
            <v>419</v>
          </cell>
        </row>
        <row r="557">
          <cell r="M557">
            <v>700</v>
          </cell>
          <cell r="N557">
            <v>734</v>
          </cell>
        </row>
        <row r="558">
          <cell r="M558">
            <v>500</v>
          </cell>
          <cell r="N558">
            <v>528</v>
          </cell>
        </row>
        <row r="559">
          <cell r="N559">
            <v>1678</v>
          </cell>
        </row>
        <row r="562">
          <cell r="M562">
            <v>800</v>
          </cell>
        </row>
        <row r="563">
          <cell r="M563">
            <v>800</v>
          </cell>
        </row>
        <row r="567">
          <cell r="M567">
            <v>400</v>
          </cell>
        </row>
        <row r="568">
          <cell r="M568">
            <v>400</v>
          </cell>
        </row>
        <row r="572">
          <cell r="M572">
            <v>400</v>
          </cell>
        </row>
        <row r="573">
          <cell r="M573">
            <v>400</v>
          </cell>
        </row>
        <row r="577">
          <cell r="M577">
            <v>3488</v>
          </cell>
          <cell r="N577">
            <v>7</v>
          </cell>
        </row>
        <row r="580">
          <cell r="M580">
            <v>400</v>
          </cell>
          <cell r="N580">
            <v>362</v>
          </cell>
        </row>
        <row r="581">
          <cell r="M581">
            <v>350</v>
          </cell>
          <cell r="N581">
            <v>321</v>
          </cell>
        </row>
        <row r="582">
          <cell r="N582">
            <v>683</v>
          </cell>
        </row>
        <row r="585">
          <cell r="M585">
            <v>400</v>
          </cell>
          <cell r="N585">
            <v>365</v>
          </cell>
        </row>
        <row r="586">
          <cell r="M586">
            <v>400</v>
          </cell>
          <cell r="N586">
            <v>348</v>
          </cell>
        </row>
        <row r="587">
          <cell r="N587">
            <v>713</v>
          </cell>
        </row>
        <row r="590">
          <cell r="M590">
            <v>1396</v>
          </cell>
        </row>
        <row r="593">
          <cell r="M593">
            <v>400</v>
          </cell>
        </row>
        <row r="597">
          <cell r="M597">
            <v>300</v>
          </cell>
          <cell r="N597">
            <v>277</v>
          </cell>
        </row>
        <row r="598">
          <cell r="M598">
            <v>300</v>
          </cell>
          <cell r="N598">
            <v>277</v>
          </cell>
        </row>
        <row r="599">
          <cell r="N599">
            <v>554</v>
          </cell>
        </row>
        <row r="602">
          <cell r="M602">
            <v>1000</v>
          </cell>
          <cell r="N602">
            <v>1005</v>
          </cell>
        </row>
        <row r="603">
          <cell r="M603">
            <v>500</v>
          </cell>
          <cell r="N603">
            <v>509</v>
          </cell>
        </row>
        <row r="604">
          <cell r="N604">
            <v>1514</v>
          </cell>
        </row>
        <row r="607">
          <cell r="M607">
            <v>2068</v>
          </cell>
        </row>
        <row r="610">
          <cell r="M610">
            <v>1000</v>
          </cell>
        </row>
        <row r="611">
          <cell r="M611">
            <v>600</v>
          </cell>
        </row>
        <row r="615">
          <cell r="M615">
            <v>400</v>
          </cell>
          <cell r="N615">
            <v>363</v>
          </cell>
        </row>
        <row r="616">
          <cell r="M616">
            <v>500</v>
          </cell>
          <cell r="N616">
            <v>459</v>
          </cell>
        </row>
        <row r="617">
          <cell r="N617">
            <v>822</v>
          </cell>
        </row>
        <row r="620">
          <cell r="M620">
            <v>500</v>
          </cell>
        </row>
        <row r="624">
          <cell r="M624">
            <v>300</v>
          </cell>
        </row>
        <row r="625">
          <cell r="M625">
            <v>400</v>
          </cell>
        </row>
        <row r="629">
          <cell r="M629">
            <v>350</v>
          </cell>
        </row>
        <row r="630">
          <cell r="M630">
            <v>450</v>
          </cell>
        </row>
        <row r="634">
          <cell r="M634">
            <v>500</v>
          </cell>
        </row>
        <row r="635">
          <cell r="M635">
            <v>700</v>
          </cell>
        </row>
        <row r="639">
          <cell r="M639">
            <v>450</v>
          </cell>
        </row>
        <row r="640">
          <cell r="M640">
            <v>350</v>
          </cell>
        </row>
        <row r="644">
          <cell r="M644">
            <v>600</v>
          </cell>
        </row>
        <row r="648">
          <cell r="M648">
            <v>450</v>
          </cell>
        </row>
        <row r="652">
          <cell r="M652">
            <v>822</v>
          </cell>
          <cell r="N652">
            <v>702</v>
          </cell>
        </row>
        <row r="655">
          <cell r="M655">
            <v>700</v>
          </cell>
          <cell r="N655">
            <v>762</v>
          </cell>
        </row>
        <row r="656">
          <cell r="M656">
            <v>1000</v>
          </cell>
          <cell r="N656">
            <v>1085</v>
          </cell>
        </row>
        <row r="657">
          <cell r="N657">
            <v>314</v>
          </cell>
        </row>
        <row r="660">
          <cell r="M660">
            <v>700</v>
          </cell>
          <cell r="N660">
            <v>643</v>
          </cell>
        </row>
        <row r="661">
          <cell r="M661">
            <v>700</v>
          </cell>
          <cell r="N661">
            <v>668</v>
          </cell>
        </row>
        <row r="662">
          <cell r="N662">
            <v>224</v>
          </cell>
        </row>
        <row r="665">
          <cell r="M665">
            <v>600</v>
          </cell>
          <cell r="N665">
            <v>587</v>
          </cell>
        </row>
        <row r="666">
          <cell r="M666">
            <v>700</v>
          </cell>
          <cell r="N666">
            <v>688</v>
          </cell>
        </row>
        <row r="667">
          <cell r="N667">
            <v>1275</v>
          </cell>
        </row>
        <row r="670">
          <cell r="M670">
            <v>600</v>
          </cell>
        </row>
        <row r="671">
          <cell r="M671">
            <v>700</v>
          </cell>
        </row>
        <row r="675">
          <cell r="M675">
            <v>1200</v>
          </cell>
          <cell r="N675">
            <v>1144</v>
          </cell>
        </row>
        <row r="676">
          <cell r="M676">
            <v>800</v>
          </cell>
          <cell r="N676">
            <v>740</v>
          </cell>
        </row>
        <row r="677">
          <cell r="N677">
            <v>1884</v>
          </cell>
        </row>
        <row r="680">
          <cell r="M680">
            <v>700</v>
          </cell>
          <cell r="N680">
            <v>712</v>
          </cell>
        </row>
        <row r="681">
          <cell r="M681">
            <v>700</v>
          </cell>
          <cell r="N681">
            <v>697</v>
          </cell>
        </row>
        <row r="682">
          <cell r="N682">
            <v>1409</v>
          </cell>
        </row>
        <row r="685">
          <cell r="M685">
            <v>1100</v>
          </cell>
        </row>
        <row r="686">
          <cell r="M686">
            <v>500</v>
          </cell>
        </row>
        <row r="690">
          <cell r="M690">
            <v>500</v>
          </cell>
        </row>
        <row r="691">
          <cell r="M691">
            <v>1200</v>
          </cell>
        </row>
        <row r="695">
          <cell r="M695">
            <v>800</v>
          </cell>
        </row>
        <row r="699">
          <cell r="M699">
            <v>800</v>
          </cell>
        </row>
        <row r="703">
          <cell r="M703">
            <v>2998</v>
          </cell>
          <cell r="N703">
            <v>1531</v>
          </cell>
        </row>
        <row r="706">
          <cell r="M706">
            <v>350</v>
          </cell>
        </row>
        <row r="710">
          <cell r="M710">
            <v>450</v>
          </cell>
        </row>
        <row r="714">
          <cell r="M714">
            <v>500</v>
          </cell>
        </row>
        <row r="718">
          <cell r="M718">
            <v>450</v>
          </cell>
        </row>
        <row r="722">
          <cell r="M722">
            <v>350</v>
          </cell>
        </row>
        <row r="726">
          <cell r="M726">
            <v>400</v>
          </cell>
        </row>
        <row r="730">
          <cell r="M730">
            <v>400</v>
          </cell>
        </row>
        <row r="734">
          <cell r="M734">
            <v>400</v>
          </cell>
        </row>
        <row r="738">
          <cell r="M738">
            <v>500</v>
          </cell>
        </row>
        <row r="745">
          <cell r="M745">
            <v>350</v>
          </cell>
        </row>
        <row r="746">
          <cell r="M746">
            <v>300</v>
          </cell>
        </row>
        <row r="750">
          <cell r="M750">
            <v>350</v>
          </cell>
        </row>
        <row r="754">
          <cell r="M754">
            <v>300</v>
          </cell>
        </row>
        <row r="758">
          <cell r="M758">
            <v>350</v>
          </cell>
        </row>
        <row r="762">
          <cell r="M762">
            <v>400</v>
          </cell>
        </row>
        <row r="766">
          <cell r="M766">
            <v>450</v>
          </cell>
        </row>
        <row r="770">
          <cell r="M770">
            <v>400</v>
          </cell>
        </row>
        <row r="771">
          <cell r="M771">
            <v>500</v>
          </cell>
        </row>
        <row r="778">
          <cell r="M778">
            <v>400</v>
          </cell>
        </row>
        <row r="779">
          <cell r="M779">
            <v>300</v>
          </cell>
        </row>
        <row r="786">
          <cell r="M786">
            <v>500</v>
          </cell>
        </row>
        <row r="787">
          <cell r="M787">
            <v>350</v>
          </cell>
        </row>
        <row r="791">
          <cell r="M791">
            <v>450</v>
          </cell>
        </row>
        <row r="792">
          <cell r="M792">
            <v>350</v>
          </cell>
        </row>
        <row r="796">
          <cell r="M796">
            <v>400</v>
          </cell>
        </row>
        <row r="803">
          <cell r="M803">
            <v>600</v>
          </cell>
        </row>
        <row r="804">
          <cell r="M804">
            <v>700</v>
          </cell>
        </row>
        <row r="808">
          <cell r="M808">
            <v>600</v>
          </cell>
        </row>
        <row r="809">
          <cell r="M809">
            <v>300</v>
          </cell>
        </row>
        <row r="813">
          <cell r="M813">
            <v>450</v>
          </cell>
        </row>
        <row r="814">
          <cell r="M814">
            <v>350</v>
          </cell>
        </row>
        <row r="821">
          <cell r="M821">
            <v>600</v>
          </cell>
        </row>
        <row r="822">
          <cell r="M822">
            <v>600</v>
          </cell>
        </row>
        <row r="829">
          <cell r="M829">
            <v>12164</v>
          </cell>
          <cell r="N829">
            <v>2218</v>
          </cell>
        </row>
        <row r="832">
          <cell r="M832">
            <v>17327</v>
          </cell>
          <cell r="N832">
            <v>4035</v>
          </cell>
        </row>
        <row r="835">
          <cell r="M835">
            <v>400</v>
          </cell>
          <cell r="N835">
            <v>460</v>
          </cell>
        </row>
        <row r="836">
          <cell r="M836">
            <v>400</v>
          </cell>
          <cell r="N836">
            <v>470</v>
          </cell>
        </row>
        <row r="837">
          <cell r="M837">
            <v>600</v>
          </cell>
          <cell r="N837">
            <v>694</v>
          </cell>
        </row>
        <row r="838">
          <cell r="M838">
            <v>200</v>
          </cell>
          <cell r="N838">
            <v>228</v>
          </cell>
        </row>
        <row r="839">
          <cell r="M839">
            <v>600</v>
          </cell>
          <cell r="N839">
            <v>674</v>
          </cell>
        </row>
        <row r="840">
          <cell r="N840">
            <v>2526</v>
          </cell>
        </row>
        <row r="843">
          <cell r="M843">
            <v>500</v>
          </cell>
        </row>
        <row r="844">
          <cell r="M844">
            <v>500</v>
          </cell>
        </row>
        <row r="848">
          <cell r="M848">
            <v>400</v>
          </cell>
        </row>
        <row r="849">
          <cell r="M849">
            <v>400</v>
          </cell>
        </row>
        <row r="853">
          <cell r="M853">
            <v>400</v>
          </cell>
        </row>
        <row r="854">
          <cell r="M854">
            <v>500</v>
          </cell>
        </row>
        <row r="858">
          <cell r="M858">
            <v>700</v>
          </cell>
          <cell r="N858">
            <v>604</v>
          </cell>
        </row>
        <row r="859">
          <cell r="N859">
            <v>604</v>
          </cell>
        </row>
        <row r="862">
          <cell r="M862">
            <v>400</v>
          </cell>
          <cell r="N862">
            <v>377</v>
          </cell>
        </row>
        <row r="863">
          <cell r="M863">
            <v>600</v>
          </cell>
          <cell r="N863">
            <v>583</v>
          </cell>
        </row>
        <row r="864">
          <cell r="N864">
            <v>136</v>
          </cell>
        </row>
        <row r="867">
          <cell r="M867">
            <v>500</v>
          </cell>
          <cell r="N867">
            <v>485</v>
          </cell>
        </row>
        <row r="868">
          <cell r="M868">
            <v>500</v>
          </cell>
          <cell r="N868">
            <v>490</v>
          </cell>
        </row>
        <row r="869">
          <cell r="N869">
            <v>122</v>
          </cell>
        </row>
        <row r="872">
          <cell r="M872">
            <v>600</v>
          </cell>
        </row>
        <row r="873">
          <cell r="M873">
            <v>400</v>
          </cell>
        </row>
        <row r="877">
          <cell r="M877">
            <v>500</v>
          </cell>
        </row>
        <row r="878">
          <cell r="M878">
            <v>600</v>
          </cell>
        </row>
        <row r="882">
          <cell r="M882">
            <v>500</v>
          </cell>
          <cell r="N882">
            <v>469</v>
          </cell>
        </row>
        <row r="883">
          <cell r="N883">
            <v>469</v>
          </cell>
        </row>
        <row r="886">
          <cell r="M886">
            <v>450</v>
          </cell>
        </row>
        <row r="887">
          <cell r="M887">
            <v>350</v>
          </cell>
        </row>
        <row r="891">
          <cell r="M891">
            <v>400</v>
          </cell>
          <cell r="N891">
            <v>340</v>
          </cell>
        </row>
        <row r="892">
          <cell r="N892">
            <v>42</v>
          </cell>
        </row>
        <row r="895">
          <cell r="M895">
            <v>400</v>
          </cell>
        </row>
        <row r="896">
          <cell r="M896">
            <v>400</v>
          </cell>
        </row>
        <row r="897">
          <cell r="M897">
            <v>900</v>
          </cell>
        </row>
        <row r="898">
          <cell r="M898">
            <v>600</v>
          </cell>
        </row>
        <row r="902">
          <cell r="M902">
            <v>1000</v>
          </cell>
        </row>
        <row r="903">
          <cell r="M903">
            <v>800</v>
          </cell>
        </row>
        <row r="907">
          <cell r="M907">
            <v>800</v>
          </cell>
        </row>
        <row r="908">
          <cell r="M908">
            <v>700</v>
          </cell>
        </row>
        <row r="912">
          <cell r="M912">
            <v>400</v>
          </cell>
        </row>
        <row r="913">
          <cell r="M913">
            <v>900</v>
          </cell>
        </row>
        <row r="917">
          <cell r="M917">
            <v>400</v>
          </cell>
        </row>
        <row r="918">
          <cell r="M918">
            <v>800</v>
          </cell>
        </row>
        <row r="922">
          <cell r="M922">
            <v>700</v>
          </cell>
        </row>
        <row r="923">
          <cell r="M923">
            <v>1200</v>
          </cell>
        </row>
        <row r="924">
          <cell r="M924">
            <v>1200</v>
          </cell>
        </row>
        <row r="928">
          <cell r="M928">
            <v>600</v>
          </cell>
        </row>
        <row r="929">
          <cell r="M929">
            <v>800</v>
          </cell>
        </row>
        <row r="933">
          <cell r="M933">
            <v>469</v>
          </cell>
          <cell r="N933">
            <v>2344</v>
          </cell>
        </row>
        <row r="936">
          <cell r="M936">
            <v>500</v>
          </cell>
        </row>
        <row r="937">
          <cell r="M937">
            <v>500</v>
          </cell>
        </row>
        <row r="941">
          <cell r="M941">
            <v>400</v>
          </cell>
          <cell r="N941">
            <v>400</v>
          </cell>
        </row>
        <row r="942">
          <cell r="M942">
            <v>400</v>
          </cell>
          <cell r="N942">
            <v>400</v>
          </cell>
        </row>
        <row r="943">
          <cell r="N943">
            <v>800</v>
          </cell>
        </row>
        <row r="946">
          <cell r="M946">
            <v>800</v>
          </cell>
        </row>
        <row r="949">
          <cell r="M949">
            <v>350</v>
          </cell>
          <cell r="N949">
            <v>324</v>
          </cell>
        </row>
        <row r="950">
          <cell r="M950">
            <v>500</v>
          </cell>
          <cell r="N950">
            <v>461</v>
          </cell>
        </row>
        <row r="951">
          <cell r="N951">
            <v>785</v>
          </cell>
        </row>
        <row r="954">
          <cell r="M954">
            <v>300</v>
          </cell>
        </row>
        <row r="955">
          <cell r="M955">
            <v>600</v>
          </cell>
        </row>
        <row r="959">
          <cell r="M959">
            <v>400</v>
          </cell>
          <cell r="N959">
            <v>383</v>
          </cell>
        </row>
        <row r="960">
          <cell r="M960">
            <v>400</v>
          </cell>
          <cell r="N960">
            <v>380</v>
          </cell>
        </row>
        <row r="961">
          <cell r="N961">
            <v>763</v>
          </cell>
        </row>
        <row r="964">
          <cell r="M964">
            <v>1548</v>
          </cell>
          <cell r="N964">
            <v>656</v>
          </cell>
        </row>
        <row r="967">
          <cell r="M967">
            <v>300</v>
          </cell>
        </row>
        <row r="971">
          <cell r="M971">
            <v>400</v>
          </cell>
        </row>
        <row r="972">
          <cell r="M972">
            <v>500</v>
          </cell>
        </row>
        <row r="979">
          <cell r="M979">
            <v>400</v>
          </cell>
          <cell r="N979">
            <v>340</v>
          </cell>
        </row>
        <row r="980">
          <cell r="M980">
            <v>600</v>
          </cell>
          <cell r="N980">
            <v>546</v>
          </cell>
        </row>
        <row r="981">
          <cell r="M981">
            <v>500</v>
          </cell>
          <cell r="N981">
            <v>452</v>
          </cell>
        </row>
        <row r="982">
          <cell r="N982">
            <v>121</v>
          </cell>
        </row>
        <row r="985">
          <cell r="M985">
            <v>400</v>
          </cell>
          <cell r="N985">
            <v>454</v>
          </cell>
        </row>
        <row r="986">
          <cell r="M986">
            <v>500</v>
          </cell>
          <cell r="N986">
            <v>569</v>
          </cell>
        </row>
        <row r="987">
          <cell r="N987">
            <v>1023</v>
          </cell>
        </row>
        <row r="990">
          <cell r="M990">
            <v>400</v>
          </cell>
        </row>
        <row r="994">
          <cell r="M994">
            <v>350</v>
          </cell>
        </row>
        <row r="995">
          <cell r="M995">
            <v>450</v>
          </cell>
        </row>
        <row r="999">
          <cell r="M999">
            <v>400</v>
          </cell>
        </row>
        <row r="1000">
          <cell r="M1000">
            <v>700</v>
          </cell>
        </row>
        <row r="1001">
          <cell r="M1001">
            <v>500</v>
          </cell>
        </row>
        <row r="1002">
          <cell r="M1002">
            <v>600</v>
          </cell>
        </row>
        <row r="1006">
          <cell r="M1006">
            <v>1144</v>
          </cell>
          <cell r="N1006">
            <v>1211</v>
          </cell>
        </row>
        <row r="1009">
          <cell r="M1009">
            <v>500</v>
          </cell>
          <cell r="N1009">
            <v>524</v>
          </cell>
        </row>
        <row r="1010">
          <cell r="M1010">
            <v>700</v>
          </cell>
          <cell r="N1010">
            <v>735</v>
          </cell>
        </row>
        <row r="1011">
          <cell r="M1011">
            <v>500</v>
          </cell>
          <cell r="N1011">
            <v>521</v>
          </cell>
        </row>
        <row r="1012">
          <cell r="N1012">
            <v>242</v>
          </cell>
        </row>
        <row r="1015">
          <cell r="M1015">
            <v>600</v>
          </cell>
        </row>
        <row r="1016">
          <cell r="M1016">
            <v>700</v>
          </cell>
        </row>
        <row r="1020">
          <cell r="M1020">
            <v>500</v>
          </cell>
        </row>
        <row r="1021">
          <cell r="M1021">
            <v>1200</v>
          </cell>
        </row>
        <row r="1022">
          <cell r="M1022">
            <v>600</v>
          </cell>
        </row>
        <row r="1026">
          <cell r="M1026">
            <v>800</v>
          </cell>
        </row>
        <row r="1027">
          <cell r="M1027">
            <v>800</v>
          </cell>
        </row>
        <row r="1031">
          <cell r="M1031">
            <v>900</v>
          </cell>
        </row>
        <row r="1032">
          <cell r="M1032">
            <v>600</v>
          </cell>
        </row>
        <row r="1036">
          <cell r="M1036">
            <v>700</v>
          </cell>
        </row>
        <row r="1037">
          <cell r="M1037">
            <v>600</v>
          </cell>
        </row>
        <row r="1041">
          <cell r="M1041">
            <v>242</v>
          </cell>
          <cell r="N1041">
            <v>1538</v>
          </cell>
        </row>
        <row r="1044">
          <cell r="M1044">
            <v>300</v>
          </cell>
        </row>
        <row r="1045">
          <cell r="M1045">
            <v>400</v>
          </cell>
        </row>
        <row r="1046">
          <cell r="M1046">
            <v>500</v>
          </cell>
        </row>
        <row r="1050">
          <cell r="M1050">
            <v>250</v>
          </cell>
        </row>
        <row r="1051">
          <cell r="M1051">
            <v>300</v>
          </cell>
        </row>
        <row r="1058">
          <cell r="M1058">
            <v>400</v>
          </cell>
        </row>
        <row r="1059">
          <cell r="M1059">
            <v>300</v>
          </cell>
        </row>
        <row r="1063">
          <cell r="M1063">
            <v>800</v>
          </cell>
        </row>
        <row r="1064">
          <cell r="M1064">
            <v>500</v>
          </cell>
        </row>
        <row r="1065">
          <cell r="M1065">
            <v>600</v>
          </cell>
        </row>
        <row r="1072">
          <cell r="M1072">
            <v>4203</v>
          </cell>
          <cell r="N1072">
            <v>2749</v>
          </cell>
        </row>
        <row r="1075">
          <cell r="M1075">
            <v>150</v>
          </cell>
        </row>
        <row r="1076">
          <cell r="M1076">
            <v>200</v>
          </cell>
        </row>
        <row r="1083">
          <cell r="M1083">
            <v>300</v>
          </cell>
        </row>
        <row r="1090">
          <cell r="M1090">
            <v>400</v>
          </cell>
          <cell r="N1090">
            <v>309</v>
          </cell>
        </row>
        <row r="1091">
          <cell r="N1091">
            <v>19</v>
          </cell>
        </row>
        <row r="1094">
          <cell r="M1094">
            <v>400</v>
          </cell>
          <cell r="N1094">
            <v>284</v>
          </cell>
        </row>
        <row r="1098">
          <cell r="M1098">
            <v>500</v>
          </cell>
        </row>
        <row r="1099">
          <cell r="M1099">
            <v>100</v>
          </cell>
        </row>
        <row r="1103">
          <cell r="M1103">
            <v>300</v>
          </cell>
        </row>
        <row r="1104">
          <cell r="M1104">
            <v>250</v>
          </cell>
        </row>
        <row r="1108">
          <cell r="M1108">
            <v>19</v>
          </cell>
          <cell r="N1108">
            <v>386</v>
          </cell>
        </row>
        <row r="1111">
          <cell r="M1111">
            <v>150</v>
          </cell>
        </row>
        <row r="1112">
          <cell r="M1112">
            <v>150</v>
          </cell>
        </row>
        <row r="1116">
          <cell r="M1116">
            <v>150</v>
          </cell>
        </row>
        <row r="1117">
          <cell r="M1117">
            <v>200</v>
          </cell>
        </row>
        <row r="1121">
          <cell r="M1121">
            <v>200</v>
          </cell>
        </row>
        <row r="1122">
          <cell r="M1122">
            <v>350</v>
          </cell>
        </row>
        <row r="1126">
          <cell r="M1126">
            <v>200</v>
          </cell>
        </row>
        <row r="1130">
          <cell r="M1130">
            <v>250</v>
          </cell>
        </row>
        <row r="1131">
          <cell r="M1131">
            <v>350</v>
          </cell>
        </row>
        <row r="1135">
          <cell r="M1135">
            <v>300</v>
          </cell>
          <cell r="N1135">
            <v>300</v>
          </cell>
        </row>
        <row r="1136">
          <cell r="M1136">
            <v>300</v>
          </cell>
          <cell r="N1136">
            <v>301</v>
          </cell>
        </row>
        <row r="1137">
          <cell r="N1137">
            <v>130</v>
          </cell>
        </row>
        <row r="1140">
          <cell r="M1140">
            <v>150</v>
          </cell>
          <cell r="N1140">
            <v>151</v>
          </cell>
        </row>
        <row r="1141">
          <cell r="M1141">
            <v>150</v>
          </cell>
          <cell r="N1141">
            <v>150</v>
          </cell>
        </row>
        <row r="1142">
          <cell r="N1142">
            <v>68</v>
          </cell>
        </row>
        <row r="1145">
          <cell r="M1145">
            <v>250</v>
          </cell>
          <cell r="N1145">
            <v>250</v>
          </cell>
        </row>
        <row r="1146">
          <cell r="N1146">
            <v>50</v>
          </cell>
        </row>
        <row r="1149">
          <cell r="M1149">
            <v>300</v>
          </cell>
        </row>
        <row r="1150">
          <cell r="M1150">
            <v>300</v>
          </cell>
        </row>
        <row r="1154">
          <cell r="M1154">
            <v>250</v>
          </cell>
        </row>
        <row r="1155">
          <cell r="M1155">
            <v>200</v>
          </cell>
        </row>
        <row r="1159">
          <cell r="M1159">
            <v>200</v>
          </cell>
        </row>
        <row r="1160">
          <cell r="M1160">
            <v>200</v>
          </cell>
        </row>
        <row r="1164">
          <cell r="M1164">
            <v>100</v>
          </cell>
        </row>
        <row r="1165">
          <cell r="M1165">
            <v>100</v>
          </cell>
        </row>
        <row r="1169">
          <cell r="M1169">
            <v>250</v>
          </cell>
        </row>
        <row r="1170">
          <cell r="M1170">
            <v>250</v>
          </cell>
        </row>
        <row r="1174">
          <cell r="M1174">
            <v>250</v>
          </cell>
        </row>
        <row r="1175">
          <cell r="M1175">
            <v>250</v>
          </cell>
        </row>
        <row r="1179">
          <cell r="M1179">
            <v>350</v>
          </cell>
        </row>
        <row r="1180">
          <cell r="M1180">
            <v>350</v>
          </cell>
        </row>
        <row r="1184">
          <cell r="M1184">
            <v>200</v>
          </cell>
        </row>
        <row r="1185">
          <cell r="M1185">
            <v>150</v>
          </cell>
        </row>
        <row r="1189">
          <cell r="M1189">
            <v>200</v>
          </cell>
        </row>
        <row r="1190">
          <cell r="M1190">
            <v>250</v>
          </cell>
        </row>
        <row r="1194">
          <cell r="M1194">
            <v>250</v>
          </cell>
        </row>
        <row r="1195">
          <cell r="M1195">
            <v>250</v>
          </cell>
        </row>
        <row r="1199">
          <cell r="M1199">
            <v>200</v>
          </cell>
        </row>
        <row r="1200">
          <cell r="M1200">
            <v>250</v>
          </cell>
        </row>
        <row r="1204">
          <cell r="M1204">
            <v>248</v>
          </cell>
          <cell r="N1204">
            <v>888</v>
          </cell>
        </row>
        <row r="1207">
          <cell r="M1207">
            <v>267</v>
          </cell>
          <cell r="N1207">
            <v>1274</v>
          </cell>
        </row>
        <row r="1210">
          <cell r="M1210">
            <v>1500</v>
          </cell>
        </row>
        <row r="1211">
          <cell r="M1211">
            <v>1500</v>
          </cell>
        </row>
        <row r="1221">
          <cell r="M1221">
            <v>300</v>
          </cell>
        </row>
        <row r="1222">
          <cell r="M1222">
            <v>200</v>
          </cell>
        </row>
        <row r="1226">
          <cell r="M1226">
            <v>300</v>
          </cell>
          <cell r="N1226">
            <v>257</v>
          </cell>
        </row>
        <row r="1227">
          <cell r="M1227">
            <v>300</v>
          </cell>
          <cell r="N1227">
            <v>254</v>
          </cell>
        </row>
        <row r="1228">
          <cell r="N1228">
            <v>511</v>
          </cell>
        </row>
        <row r="1231">
          <cell r="M1231">
            <v>500</v>
          </cell>
        </row>
        <row r="1232">
          <cell r="M1232">
            <v>400</v>
          </cell>
        </row>
        <row r="1236">
          <cell r="M1236">
            <v>300</v>
          </cell>
        </row>
        <row r="1237">
          <cell r="M1237">
            <v>400</v>
          </cell>
        </row>
        <row r="1241">
          <cell r="M1241">
            <v>511</v>
          </cell>
        </row>
        <row r="1244">
          <cell r="M1244">
            <v>400</v>
          </cell>
          <cell r="N1244">
            <v>396</v>
          </cell>
        </row>
        <row r="1245">
          <cell r="M1245">
            <v>300</v>
          </cell>
          <cell r="N1245">
            <v>297</v>
          </cell>
        </row>
        <row r="1246">
          <cell r="N1246">
            <v>693</v>
          </cell>
        </row>
        <row r="1249">
          <cell r="M1249">
            <v>693</v>
          </cell>
          <cell r="N1249">
            <v>551</v>
          </cell>
        </row>
        <row r="1252">
          <cell r="M1252">
            <v>300</v>
          </cell>
        </row>
        <row r="1253">
          <cell r="M1253">
            <v>300</v>
          </cell>
        </row>
        <row r="1257">
          <cell r="M1257">
            <v>400</v>
          </cell>
        </row>
        <row r="1258">
          <cell r="M1258">
            <v>500</v>
          </cell>
        </row>
        <row r="1265">
          <cell r="M1265">
            <v>500</v>
          </cell>
          <cell r="N1265">
            <v>533</v>
          </cell>
        </row>
        <row r="1266">
          <cell r="M1266">
            <v>300</v>
          </cell>
          <cell r="N1266">
            <v>322</v>
          </cell>
        </row>
        <row r="1267">
          <cell r="N1267">
            <v>855</v>
          </cell>
        </row>
        <row r="1270">
          <cell r="M1270">
            <v>900</v>
          </cell>
        </row>
        <row r="1274">
          <cell r="M1274">
            <v>855</v>
          </cell>
          <cell r="N1274">
            <v>744</v>
          </cell>
        </row>
        <row r="1277">
          <cell r="M1277">
            <v>400</v>
          </cell>
        </row>
        <row r="1278">
          <cell r="M1278">
            <v>400</v>
          </cell>
        </row>
        <row r="1285">
          <cell r="M1285">
            <v>300</v>
          </cell>
        </row>
        <row r="1286">
          <cell r="M1286">
            <v>300</v>
          </cell>
        </row>
        <row r="1293">
          <cell r="M1293">
            <v>2059</v>
          </cell>
          <cell r="N1293">
            <v>1295</v>
          </cell>
        </row>
        <row r="1296">
          <cell r="M1296">
            <v>11700</v>
          </cell>
        </row>
        <row r="1300">
          <cell r="M1300">
            <v>11700</v>
          </cell>
        </row>
        <row r="1304">
          <cell r="M1304">
            <v>11700</v>
          </cell>
        </row>
        <row r="1311">
          <cell r="M1311">
            <v>3900</v>
          </cell>
        </row>
        <row r="1315">
          <cell r="M1315">
            <v>3900</v>
          </cell>
        </row>
        <row r="1325">
          <cell r="M1325">
            <v>400</v>
          </cell>
          <cell r="N1325">
            <v>429</v>
          </cell>
        </row>
        <row r="1326">
          <cell r="M1326">
            <v>700</v>
          </cell>
          <cell r="N1326">
            <v>660</v>
          </cell>
        </row>
        <row r="1327">
          <cell r="M1327">
            <v>700</v>
          </cell>
          <cell r="N1327">
            <v>673</v>
          </cell>
        </row>
        <row r="1328">
          <cell r="M1328">
            <v>700</v>
          </cell>
          <cell r="N1328">
            <v>634</v>
          </cell>
        </row>
        <row r="1329">
          <cell r="M1329">
            <v>300</v>
          </cell>
          <cell r="N1329">
            <v>274</v>
          </cell>
        </row>
        <row r="1330">
          <cell r="N1330">
            <v>476</v>
          </cell>
        </row>
        <row r="1333">
          <cell r="M1333">
            <v>400</v>
          </cell>
        </row>
        <row r="1337">
          <cell r="M1337">
            <v>400</v>
          </cell>
          <cell r="N1337">
            <v>423</v>
          </cell>
        </row>
        <row r="1338">
          <cell r="N1338">
            <v>423</v>
          </cell>
        </row>
        <row r="1341">
          <cell r="M1341">
            <v>500</v>
          </cell>
        </row>
        <row r="1345">
          <cell r="M1345">
            <v>400</v>
          </cell>
          <cell r="N1345">
            <v>393</v>
          </cell>
        </row>
        <row r="1346">
          <cell r="M1346">
            <v>400</v>
          </cell>
          <cell r="N1346">
            <v>395</v>
          </cell>
        </row>
        <row r="1347">
          <cell r="N1347">
            <v>148</v>
          </cell>
        </row>
        <row r="1350">
          <cell r="M1350">
            <v>800</v>
          </cell>
        </row>
        <row r="1351">
          <cell r="M1351">
            <v>1000</v>
          </cell>
        </row>
        <row r="1355">
          <cell r="M1355">
            <v>600</v>
          </cell>
        </row>
        <row r="1356">
          <cell r="M1356">
            <v>800</v>
          </cell>
        </row>
        <row r="1360">
          <cell r="M1360">
            <v>600</v>
          </cell>
        </row>
        <row r="1361">
          <cell r="M1361">
            <v>600</v>
          </cell>
        </row>
        <row r="1365">
          <cell r="M1365">
            <v>500</v>
          </cell>
        </row>
        <row r="1366">
          <cell r="M1366">
            <v>600</v>
          </cell>
        </row>
        <row r="1370">
          <cell r="M1370">
            <v>450</v>
          </cell>
        </row>
        <row r="1374">
          <cell r="M1374">
            <v>1047</v>
          </cell>
          <cell r="N1374">
            <v>2813</v>
          </cell>
        </row>
        <row r="1377">
          <cell r="M1377">
            <v>500</v>
          </cell>
        </row>
        <row r="1378">
          <cell r="M1378">
            <v>400</v>
          </cell>
        </row>
        <row r="1379">
          <cell r="M1379">
            <v>400</v>
          </cell>
        </row>
        <row r="1383">
          <cell r="M1383">
            <v>400</v>
          </cell>
        </row>
        <row r="1384">
          <cell r="M1384">
            <v>300</v>
          </cell>
        </row>
        <row r="1385">
          <cell r="M1385">
            <v>500</v>
          </cell>
        </row>
        <row r="1389">
          <cell r="M1389">
            <v>200</v>
          </cell>
        </row>
        <row r="1390">
          <cell r="M1390">
            <v>200</v>
          </cell>
        </row>
        <row r="1394">
          <cell r="M1394">
            <v>500</v>
          </cell>
        </row>
        <row r="1395">
          <cell r="M1395">
            <v>400</v>
          </cell>
        </row>
        <row r="1399">
          <cell r="M1399">
            <v>500</v>
          </cell>
          <cell r="N1399">
            <v>447</v>
          </cell>
        </row>
        <row r="1400">
          <cell r="N1400">
            <v>447</v>
          </cell>
        </row>
        <row r="1403">
          <cell r="M1403">
            <v>300</v>
          </cell>
        </row>
        <row r="1404">
          <cell r="M1404">
            <v>400</v>
          </cell>
        </row>
        <row r="1408">
          <cell r="M1408">
            <v>500</v>
          </cell>
        </row>
        <row r="1409">
          <cell r="M1409">
            <v>400</v>
          </cell>
        </row>
        <row r="1413">
          <cell r="M1413">
            <v>447</v>
          </cell>
        </row>
        <row r="1416">
          <cell r="M1416">
            <v>500</v>
          </cell>
        </row>
        <row r="1417">
          <cell r="M1417">
            <v>500</v>
          </cell>
        </row>
        <row r="1421">
          <cell r="M1421">
            <v>500</v>
          </cell>
          <cell r="N1421">
            <v>520</v>
          </cell>
        </row>
        <row r="1422">
          <cell r="M1422">
            <v>600</v>
          </cell>
          <cell r="N1422">
            <v>621</v>
          </cell>
        </row>
        <row r="1423">
          <cell r="M1423">
            <v>500</v>
          </cell>
          <cell r="N1423">
            <v>521</v>
          </cell>
        </row>
        <row r="1424">
          <cell r="N1424">
            <v>1662</v>
          </cell>
        </row>
        <row r="1427">
          <cell r="M1427">
            <v>1662</v>
          </cell>
        </row>
        <row r="1430">
          <cell r="M1430">
            <v>300</v>
          </cell>
        </row>
        <row r="1431">
          <cell r="M1431">
            <v>400</v>
          </cell>
        </row>
        <row r="1434">
          <cell r="M1434">
            <v>400</v>
          </cell>
        </row>
        <row r="1435">
          <cell r="M1435">
            <v>400</v>
          </cell>
        </row>
        <row r="1436">
          <cell r="M1436">
            <v>200</v>
          </cell>
        </row>
        <row r="1439">
          <cell r="M1439">
            <v>200</v>
          </cell>
        </row>
        <row r="1440">
          <cell r="M1440">
            <v>200</v>
          </cell>
        </row>
        <row r="1441">
          <cell r="M1441">
            <v>300</v>
          </cell>
        </row>
        <row r="1444">
          <cell r="M1444">
            <v>300</v>
          </cell>
        </row>
        <row r="1445">
          <cell r="M1445">
            <v>300</v>
          </cell>
        </row>
        <row r="1446">
          <cell r="M1446">
            <v>400</v>
          </cell>
        </row>
        <row r="1449">
          <cell r="M1449">
            <v>500</v>
          </cell>
        </row>
        <row r="1450">
          <cell r="M1450">
            <v>400</v>
          </cell>
        </row>
        <row r="1453">
          <cell r="M1453">
            <v>400</v>
          </cell>
          <cell r="N1453">
            <v>426</v>
          </cell>
        </row>
        <row r="1454">
          <cell r="M1454">
            <v>400</v>
          </cell>
          <cell r="N1454">
            <v>416</v>
          </cell>
        </row>
        <row r="1455">
          <cell r="N1455">
            <v>99</v>
          </cell>
        </row>
        <row r="1457">
          <cell r="M1457">
            <v>400</v>
          </cell>
        </row>
        <row r="1458">
          <cell r="M1458">
            <v>400</v>
          </cell>
        </row>
        <row r="1459">
          <cell r="M1459">
            <v>600</v>
          </cell>
        </row>
        <row r="1460">
          <cell r="M1460">
            <v>500</v>
          </cell>
        </row>
        <row r="1462">
          <cell r="M1462">
            <v>600</v>
          </cell>
        </row>
        <row r="1463">
          <cell r="M1463">
            <v>600</v>
          </cell>
        </row>
        <row r="1464">
          <cell r="M1464">
            <v>500</v>
          </cell>
          <cell r="N1464">
            <v>742</v>
          </cell>
        </row>
        <row r="1467">
          <cell r="M1467">
            <v>600</v>
          </cell>
          <cell r="N1467">
            <v>633</v>
          </cell>
        </row>
        <row r="1468">
          <cell r="M1468">
            <v>600</v>
          </cell>
          <cell r="N1468">
            <v>641</v>
          </cell>
        </row>
        <row r="1469">
          <cell r="M1469">
            <v>500</v>
          </cell>
          <cell r="N1469">
            <v>543</v>
          </cell>
        </row>
        <row r="1470">
          <cell r="N1470">
            <v>338</v>
          </cell>
        </row>
        <row r="1471">
          <cell r="M1471">
            <v>600</v>
          </cell>
        </row>
        <row r="1472">
          <cell r="M1472">
            <v>600</v>
          </cell>
        </row>
        <row r="1473">
          <cell r="M1473">
            <v>500</v>
          </cell>
        </row>
        <row r="1474">
          <cell r="M1474">
            <v>700</v>
          </cell>
        </row>
        <row r="1477">
          <cell r="M1477">
            <v>600</v>
          </cell>
        </row>
        <row r="1478">
          <cell r="M1478">
            <v>700</v>
          </cell>
        </row>
        <row r="1479">
          <cell r="M1479">
            <v>500</v>
          </cell>
        </row>
        <row r="1482">
          <cell r="M1482">
            <v>700</v>
          </cell>
        </row>
        <row r="1483">
          <cell r="M1483">
            <v>500</v>
          </cell>
        </row>
        <row r="1484">
          <cell r="M1484">
            <v>600</v>
          </cell>
        </row>
        <row r="1487">
          <cell r="M1487">
            <v>400</v>
          </cell>
        </row>
        <row r="1488">
          <cell r="M1488">
            <v>600</v>
          </cell>
        </row>
        <row r="1492">
          <cell r="M1492">
            <v>500</v>
          </cell>
          <cell r="N1492">
            <v>614</v>
          </cell>
        </row>
        <row r="1493">
          <cell r="N1493">
            <v>28</v>
          </cell>
        </row>
        <row r="1496">
          <cell r="M1496">
            <v>600</v>
          </cell>
          <cell r="N1496">
            <v>703</v>
          </cell>
        </row>
        <row r="1497">
          <cell r="N1497">
            <v>140</v>
          </cell>
        </row>
        <row r="1500">
          <cell r="M1500">
            <v>700</v>
          </cell>
        </row>
        <row r="1501">
          <cell r="M1501">
            <v>700</v>
          </cell>
        </row>
        <row r="1502">
          <cell r="M1502">
            <v>900</v>
          </cell>
        </row>
        <row r="1504">
          <cell r="M1504">
            <v>1300</v>
          </cell>
        </row>
        <row r="1505">
          <cell r="M1505">
            <v>700</v>
          </cell>
        </row>
        <row r="1506">
          <cell r="M1506">
            <v>900</v>
          </cell>
        </row>
        <row r="1507">
          <cell r="M1507">
            <v>600</v>
          </cell>
        </row>
        <row r="1510">
          <cell r="M1510">
            <v>1000</v>
          </cell>
        </row>
        <row r="1511">
          <cell r="M1511">
            <v>600</v>
          </cell>
        </row>
        <row r="1512">
          <cell r="M1512">
            <v>800</v>
          </cell>
        </row>
        <row r="1515">
          <cell r="M1515">
            <v>800</v>
          </cell>
        </row>
        <row r="1516">
          <cell r="M1516">
            <v>800</v>
          </cell>
        </row>
        <row r="1517">
          <cell r="M1517">
            <v>700</v>
          </cell>
        </row>
        <row r="1520">
          <cell r="M1520">
            <v>1300</v>
          </cell>
        </row>
        <row r="1521">
          <cell r="M1521">
            <v>700</v>
          </cell>
        </row>
        <row r="1525">
          <cell r="M1525">
            <v>800</v>
          </cell>
        </row>
        <row r="1529">
          <cell r="M1529">
            <v>900</v>
          </cell>
          <cell r="N1529">
            <v>2587</v>
          </cell>
        </row>
        <row r="1532">
          <cell r="M1532">
            <v>600</v>
          </cell>
          <cell r="N1532">
            <v>599</v>
          </cell>
        </row>
        <row r="1533">
          <cell r="M1533">
            <v>400</v>
          </cell>
          <cell r="N1533">
            <v>397</v>
          </cell>
        </row>
        <row r="1534">
          <cell r="N1534">
            <v>117</v>
          </cell>
        </row>
        <row r="1536">
          <cell r="M1536">
            <v>600</v>
          </cell>
          <cell r="N1536">
            <v>599</v>
          </cell>
        </row>
        <row r="1537">
          <cell r="M1537">
            <v>400</v>
          </cell>
          <cell r="N1537">
            <v>397</v>
          </cell>
        </row>
        <row r="1538">
          <cell r="N1538">
            <v>198</v>
          </cell>
        </row>
        <row r="1541">
          <cell r="M1541">
            <v>400</v>
          </cell>
          <cell r="N1541">
            <v>388</v>
          </cell>
        </row>
        <row r="1542">
          <cell r="N1542">
            <v>69</v>
          </cell>
        </row>
        <row r="1545">
          <cell r="M1545">
            <v>400</v>
          </cell>
          <cell r="N1545">
            <v>398</v>
          </cell>
        </row>
        <row r="1546">
          <cell r="N1546">
            <v>69</v>
          </cell>
        </row>
        <row r="1549">
          <cell r="M1549">
            <v>400</v>
          </cell>
        </row>
        <row r="1553">
          <cell r="M1553">
            <v>400</v>
          </cell>
        </row>
        <row r="1557">
          <cell r="M1557">
            <v>500</v>
          </cell>
        </row>
        <row r="1558">
          <cell r="M1558">
            <v>600</v>
          </cell>
        </row>
        <row r="1561">
          <cell r="M1561">
            <v>500</v>
          </cell>
        </row>
        <row r="1562">
          <cell r="M1562">
            <v>600</v>
          </cell>
          <cell r="N1562">
            <v>1559</v>
          </cell>
        </row>
        <row r="1565">
          <cell r="M1565">
            <v>400</v>
          </cell>
          <cell r="N1565">
            <v>389</v>
          </cell>
        </row>
        <row r="1566">
          <cell r="M1566">
            <v>336</v>
          </cell>
          <cell r="N1566">
            <v>1444</v>
          </cell>
        </row>
        <row r="1567">
          <cell r="N1567">
            <v>154</v>
          </cell>
        </row>
        <row r="1569">
          <cell r="M1569">
            <v>400</v>
          </cell>
        </row>
        <row r="1570">
          <cell r="M1570">
            <v>500</v>
          </cell>
        </row>
        <row r="1571">
          <cell r="M1571">
            <v>700</v>
          </cell>
        </row>
        <row r="1572">
          <cell r="M1572">
            <v>600</v>
          </cell>
        </row>
        <row r="1574">
          <cell r="M1574">
            <v>700</v>
          </cell>
        </row>
        <row r="1575">
          <cell r="M1575">
            <v>700</v>
          </cell>
        </row>
        <row r="1576">
          <cell r="M1576">
            <v>600</v>
          </cell>
        </row>
        <row r="1577">
          <cell r="M1577">
            <v>600</v>
          </cell>
        </row>
        <row r="1580">
          <cell r="M1580">
            <v>600</v>
          </cell>
        </row>
        <row r="1581">
          <cell r="M1581">
            <v>600</v>
          </cell>
        </row>
        <row r="1582">
          <cell r="M1582">
            <v>500</v>
          </cell>
        </row>
        <row r="1583">
          <cell r="M1583">
            <v>700</v>
          </cell>
        </row>
        <row r="1585">
          <cell r="M1585">
            <v>600</v>
          </cell>
        </row>
        <row r="1586">
          <cell r="M1586">
            <v>500</v>
          </cell>
        </row>
        <row r="1587">
          <cell r="M1587">
            <v>700</v>
          </cell>
        </row>
        <row r="1588">
          <cell r="M1588">
            <v>500</v>
          </cell>
        </row>
        <row r="1591">
          <cell r="M1591">
            <v>500</v>
          </cell>
        </row>
        <row r="1592">
          <cell r="M1592">
            <v>500</v>
          </cell>
        </row>
        <row r="1596">
          <cell r="M1596">
            <v>450</v>
          </cell>
          <cell r="N1596">
            <v>706</v>
          </cell>
        </row>
        <row r="1599">
          <cell r="M1599">
            <v>350</v>
          </cell>
        </row>
        <row r="1603">
          <cell r="M1603">
            <v>350</v>
          </cell>
        </row>
        <row r="1606">
          <cell r="M1606">
            <v>500</v>
          </cell>
          <cell r="N1606">
            <v>490</v>
          </cell>
        </row>
        <row r="1607">
          <cell r="M1607">
            <v>400</v>
          </cell>
          <cell r="N1607">
            <v>373</v>
          </cell>
        </row>
        <row r="1608">
          <cell r="N1608">
            <v>121</v>
          </cell>
        </row>
        <row r="1610">
          <cell r="M1610">
            <v>500</v>
          </cell>
          <cell r="N1610">
            <v>490</v>
          </cell>
        </row>
        <row r="1611">
          <cell r="M1611">
            <v>400</v>
          </cell>
          <cell r="N1611">
            <v>373</v>
          </cell>
        </row>
        <row r="1612">
          <cell r="M1612">
            <v>500</v>
          </cell>
          <cell r="N1612">
            <v>863</v>
          </cell>
        </row>
        <row r="1613">
          <cell r="M1613">
            <v>400</v>
          </cell>
          <cell r="N1613">
            <v>389</v>
          </cell>
        </row>
        <row r="1614">
          <cell r="N1614">
            <v>1611</v>
          </cell>
        </row>
        <row r="1615">
          <cell r="M1615">
            <v>600</v>
          </cell>
        </row>
        <row r="1616">
          <cell r="M1616">
            <v>500</v>
          </cell>
        </row>
        <row r="1617">
          <cell r="M1617">
            <v>400</v>
          </cell>
        </row>
        <row r="1618">
          <cell r="M1618">
            <v>700</v>
          </cell>
        </row>
        <row r="1619">
          <cell r="M1619">
            <v>700</v>
          </cell>
        </row>
        <row r="1621">
          <cell r="M1621">
            <v>900</v>
          </cell>
        </row>
        <row r="1622">
          <cell r="M1622">
            <v>700</v>
          </cell>
        </row>
        <row r="1623">
          <cell r="M1623">
            <v>700</v>
          </cell>
        </row>
        <row r="1624">
          <cell r="M1624">
            <v>600</v>
          </cell>
        </row>
        <row r="1627">
          <cell r="M1627">
            <v>600</v>
          </cell>
        </row>
        <row r="1628">
          <cell r="M1628">
            <v>600</v>
          </cell>
        </row>
        <row r="1632">
          <cell r="M1632">
            <v>700</v>
          </cell>
        </row>
        <row r="1633">
          <cell r="M1633">
            <v>500</v>
          </cell>
        </row>
        <row r="1636">
          <cell r="M1636">
            <v>500</v>
          </cell>
        </row>
        <row r="1637">
          <cell r="M1637">
            <v>500</v>
          </cell>
          <cell r="N1637">
            <v>740</v>
          </cell>
        </row>
        <row r="1640">
          <cell r="M1640">
            <v>350</v>
          </cell>
          <cell r="N1640">
            <v>350</v>
          </cell>
        </row>
        <row r="1641">
          <cell r="M1641">
            <v>863</v>
          </cell>
          <cell r="N1641">
            <v>400</v>
          </cell>
        </row>
        <row r="1642">
          <cell r="N1642">
            <v>74</v>
          </cell>
        </row>
        <row r="1644">
          <cell r="M1644">
            <v>350</v>
          </cell>
        </row>
        <row r="1645">
          <cell r="M1645">
            <v>400</v>
          </cell>
        </row>
        <row r="1646">
          <cell r="M1646">
            <v>1000</v>
          </cell>
        </row>
        <row r="1647">
          <cell r="M1647">
            <v>1000</v>
          </cell>
        </row>
        <row r="1649">
          <cell r="M1649">
            <v>800</v>
          </cell>
        </row>
        <row r="1650">
          <cell r="M1650">
            <v>1000</v>
          </cell>
        </row>
        <row r="1651">
          <cell r="M1651">
            <v>1000</v>
          </cell>
          <cell r="N1651">
            <v>674</v>
          </cell>
        </row>
        <row r="1654">
          <cell r="M1654">
            <v>5285</v>
          </cell>
          <cell r="N1654">
            <v>10314</v>
          </cell>
        </row>
        <row r="1657">
          <cell r="M1657">
            <v>11946</v>
          </cell>
          <cell r="N1657">
            <v>19482</v>
          </cell>
        </row>
        <row r="1658">
          <cell r="M1658">
            <v>4355</v>
          </cell>
          <cell r="N1658">
            <v>4257</v>
          </cell>
        </row>
        <row r="1660">
          <cell r="N1660">
            <v>367950</v>
          </cell>
        </row>
        <row r="1661">
          <cell r="M1661">
            <v>10617</v>
          </cell>
          <cell r="N1661">
            <v>7006</v>
          </cell>
        </row>
        <row r="1664">
          <cell r="N1664">
            <v>367950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FW"/>
      <sheetName val="DB"/>
      <sheetName val="DB2"/>
      <sheetName val="참조"/>
      <sheetName val="회사정보"/>
    </sheetNames>
    <sheetDataSet>
      <sheetData sheetId="0"/>
      <sheetData sheetId="1">
        <row r="3">
          <cell r="A3" t="str">
            <v>Y</v>
          </cell>
          <cell r="Q3">
            <v>33936408</v>
          </cell>
          <cell r="R3">
            <v>247572000</v>
          </cell>
          <cell r="W3">
            <v>1876</v>
          </cell>
          <cell r="AA3">
            <v>146328000</v>
          </cell>
          <cell r="AB3">
            <v>68361185</v>
          </cell>
          <cell r="AC3">
            <v>52729333</v>
          </cell>
        </row>
        <row r="4">
          <cell r="A4" t="str">
            <v>Y</v>
          </cell>
          <cell r="Q4">
            <v>14229571</v>
          </cell>
          <cell r="R4">
            <v>134458000</v>
          </cell>
          <cell r="W4">
            <v>263</v>
          </cell>
          <cell r="AA4">
            <v>41554000</v>
          </cell>
          <cell r="AB4">
            <v>19487300</v>
          </cell>
          <cell r="AC4">
            <v>14746812</v>
          </cell>
        </row>
        <row r="5">
          <cell r="A5" t="str">
            <v>Y</v>
          </cell>
          <cell r="Q5">
            <v>13999104</v>
          </cell>
          <cell r="R5">
            <v>120832000</v>
          </cell>
          <cell r="W5">
            <v>167</v>
          </cell>
          <cell r="AA5">
            <v>19706000</v>
          </cell>
          <cell r="AB5">
            <v>9171050</v>
          </cell>
          <cell r="AC5">
            <v>6956631</v>
          </cell>
        </row>
        <row r="6">
          <cell r="A6" t="str">
            <v>Y</v>
          </cell>
          <cell r="Q6">
            <v>15906000</v>
          </cell>
          <cell r="R6">
            <v>152312000</v>
          </cell>
          <cell r="W6">
            <v>320</v>
          </cell>
          <cell r="AA6">
            <v>50560000</v>
          </cell>
          <cell r="AB6">
            <v>23378240</v>
          </cell>
          <cell r="AC6">
            <v>17627365</v>
          </cell>
        </row>
        <row r="7">
          <cell r="A7" t="str">
            <v>Y</v>
          </cell>
          <cell r="Q7">
            <v>13241968</v>
          </cell>
          <cell r="R7">
            <v>133856000</v>
          </cell>
          <cell r="W7">
            <v>253</v>
          </cell>
          <cell r="AA7">
            <v>45034000</v>
          </cell>
          <cell r="AB7">
            <v>21000900</v>
          </cell>
          <cell r="AC7">
            <v>15812630</v>
          </cell>
        </row>
        <row r="8">
          <cell r="A8" t="str">
            <v>Y</v>
          </cell>
          <cell r="Q8">
            <v>15611400</v>
          </cell>
          <cell r="R8">
            <v>154840000</v>
          </cell>
          <cell r="W8">
            <v>482</v>
          </cell>
          <cell r="AA8">
            <v>76156000</v>
          </cell>
          <cell r="AB8">
            <v>35294050</v>
          </cell>
          <cell r="AC8">
            <v>26791485</v>
          </cell>
        </row>
        <row r="9">
          <cell r="A9" t="str">
            <v>Y</v>
          </cell>
          <cell r="Q9">
            <v>8135856</v>
          </cell>
          <cell r="R9">
            <v>68256000</v>
          </cell>
          <cell r="W9">
            <v>40</v>
          </cell>
          <cell r="AA9">
            <v>6320000</v>
          </cell>
          <cell r="AB9">
            <v>2725200</v>
          </cell>
          <cell r="AC9">
            <v>2077450</v>
          </cell>
        </row>
        <row r="10">
          <cell r="A10" t="str">
            <v>Y</v>
          </cell>
          <cell r="Q10">
            <v>7207704</v>
          </cell>
          <cell r="R10">
            <v>62652000</v>
          </cell>
          <cell r="W10">
            <v>106</v>
          </cell>
          <cell r="AA10">
            <v>14628000</v>
          </cell>
          <cell r="AB10">
            <v>6558500</v>
          </cell>
          <cell r="AC10">
            <v>5049834</v>
          </cell>
        </row>
        <row r="11">
          <cell r="A11" t="str">
            <v>Y</v>
          </cell>
          <cell r="Q11">
            <v>9865709</v>
          </cell>
          <cell r="R11">
            <v>81006000</v>
          </cell>
          <cell r="W11">
            <v>89</v>
          </cell>
          <cell r="AA11">
            <v>12282000</v>
          </cell>
          <cell r="AB11">
            <v>5340500</v>
          </cell>
          <cell r="AC11">
            <v>4061644</v>
          </cell>
        </row>
        <row r="12">
          <cell r="A12" t="str">
            <v>Y</v>
          </cell>
          <cell r="Q12">
            <v>17923071</v>
          </cell>
          <cell r="R12">
            <v>188694000</v>
          </cell>
          <cell r="W12">
            <v>375</v>
          </cell>
          <cell r="AA12">
            <v>74250000</v>
          </cell>
          <cell r="AB12">
            <v>34381190</v>
          </cell>
          <cell r="AC12">
            <v>25744937</v>
          </cell>
        </row>
        <row r="13">
          <cell r="A13" t="str">
            <v>Y</v>
          </cell>
          <cell r="Q13">
            <v>18103635</v>
          </cell>
          <cell r="R13">
            <v>175230000</v>
          </cell>
          <cell r="W13">
            <v>1005</v>
          </cell>
          <cell r="AA13">
            <v>118590000</v>
          </cell>
          <cell r="AB13">
            <v>55340300</v>
          </cell>
          <cell r="AC13">
            <v>42341085</v>
          </cell>
        </row>
        <row r="14">
          <cell r="A14" t="str">
            <v>Y</v>
          </cell>
          <cell r="Q14">
            <v>14334842</v>
          </cell>
          <cell r="R14">
            <v>123556000</v>
          </cell>
          <cell r="W14">
            <v>263</v>
          </cell>
          <cell r="AA14">
            <v>41554000</v>
          </cell>
          <cell r="AB14">
            <v>19564200</v>
          </cell>
          <cell r="AC14">
            <v>15100732</v>
          </cell>
        </row>
        <row r="15">
          <cell r="A15" t="str">
            <v>Y</v>
          </cell>
          <cell r="Q15">
            <v>24396504</v>
          </cell>
          <cell r="R15">
            <v>224388000</v>
          </cell>
          <cell r="W15">
            <v>229</v>
          </cell>
          <cell r="AA15">
            <v>31602000</v>
          </cell>
          <cell r="AB15">
            <v>14945800</v>
          </cell>
          <cell r="AC15">
            <v>11339184</v>
          </cell>
        </row>
        <row r="16">
          <cell r="A16" t="str">
            <v>Y</v>
          </cell>
          <cell r="Q16">
            <v>17508970</v>
          </cell>
          <cell r="R16">
            <v>150890000</v>
          </cell>
          <cell r="W16">
            <v>184</v>
          </cell>
          <cell r="AA16">
            <v>29072000</v>
          </cell>
          <cell r="AB16">
            <v>12999800</v>
          </cell>
          <cell r="AC16">
            <v>9806136</v>
          </cell>
        </row>
        <row r="17">
          <cell r="A17" t="str">
            <v>Y</v>
          </cell>
          <cell r="Q17">
            <v>23405460</v>
          </cell>
          <cell r="R17">
            <v>171236000</v>
          </cell>
          <cell r="W17">
            <v>93</v>
          </cell>
          <cell r="AA17">
            <v>16554000</v>
          </cell>
          <cell r="AB17">
            <v>7402200</v>
          </cell>
          <cell r="AC17">
            <v>5565416</v>
          </cell>
        </row>
        <row r="18">
          <cell r="A18" t="str">
            <v>Y</v>
          </cell>
          <cell r="Q18">
            <v>13464000</v>
          </cell>
          <cell r="R18">
            <v>113850000</v>
          </cell>
          <cell r="W18">
            <v>232</v>
          </cell>
          <cell r="AA18">
            <v>32016000</v>
          </cell>
          <cell r="AB18">
            <v>15255300</v>
          </cell>
          <cell r="AC18">
            <v>11583237</v>
          </cell>
        </row>
        <row r="19">
          <cell r="A19" t="str">
            <v>Y</v>
          </cell>
          <cell r="Q19">
            <v>8143545</v>
          </cell>
          <cell r="R19">
            <v>73470000</v>
          </cell>
          <cell r="W19">
            <v>222</v>
          </cell>
          <cell r="AA19">
            <v>35076000</v>
          </cell>
          <cell r="AB19">
            <v>16666210</v>
          </cell>
          <cell r="AC19">
            <v>12564381</v>
          </cell>
        </row>
        <row r="20">
          <cell r="A20" t="str">
            <v>Y</v>
          </cell>
          <cell r="Q20">
            <v>19778628</v>
          </cell>
          <cell r="R20">
            <v>215736000</v>
          </cell>
          <cell r="W20">
            <v>546</v>
          </cell>
          <cell r="AA20">
            <v>97188000</v>
          </cell>
          <cell r="AB20">
            <v>45615300</v>
          </cell>
          <cell r="AC20">
            <v>34769274</v>
          </cell>
        </row>
        <row r="21">
          <cell r="A21" t="str">
            <v>Y</v>
          </cell>
          <cell r="Q21">
            <v>23114843</v>
          </cell>
          <cell r="R21">
            <v>193446000</v>
          </cell>
          <cell r="W21">
            <v>231</v>
          </cell>
          <cell r="AA21">
            <v>45738000</v>
          </cell>
          <cell r="AB21">
            <v>20935300</v>
          </cell>
          <cell r="AC21">
            <v>16017903</v>
          </cell>
        </row>
        <row r="22">
          <cell r="A22" t="str">
            <v>Y</v>
          </cell>
          <cell r="Q22">
            <v>17489160</v>
          </cell>
          <cell r="R22">
            <v>168468000</v>
          </cell>
          <cell r="W22">
            <v>133</v>
          </cell>
          <cell r="AA22">
            <v>36974000</v>
          </cell>
          <cell r="AB22">
            <v>17143300</v>
          </cell>
          <cell r="AC22">
            <v>12877238</v>
          </cell>
        </row>
        <row r="23">
          <cell r="A23" t="str">
            <v>Y</v>
          </cell>
          <cell r="Q23">
            <v>28530552</v>
          </cell>
          <cell r="R23">
            <v>223554000</v>
          </cell>
          <cell r="W23">
            <v>219</v>
          </cell>
          <cell r="AA23">
            <v>69642000</v>
          </cell>
          <cell r="AB23">
            <v>31989800</v>
          </cell>
          <cell r="AC23">
            <v>23935463</v>
          </cell>
        </row>
        <row r="24">
          <cell r="A24" t="str">
            <v>Y</v>
          </cell>
          <cell r="Q24">
            <v>21413010</v>
          </cell>
          <cell r="R24">
            <v>165390000</v>
          </cell>
          <cell r="W24">
            <v>152</v>
          </cell>
          <cell r="AA24">
            <v>45296000</v>
          </cell>
          <cell r="AB24">
            <v>20725900</v>
          </cell>
          <cell r="AC24">
            <v>15359740</v>
          </cell>
        </row>
        <row r="25">
          <cell r="A25" t="str">
            <v>Y</v>
          </cell>
          <cell r="Q25">
            <v>9024428</v>
          </cell>
          <cell r="R25">
            <v>85526000</v>
          </cell>
          <cell r="W25">
            <v>49</v>
          </cell>
          <cell r="AA25">
            <v>14602000</v>
          </cell>
          <cell r="AB25">
            <v>6779500</v>
          </cell>
          <cell r="AC25">
            <v>5018842</v>
          </cell>
        </row>
        <row r="26">
          <cell r="A26" t="str">
            <v>Y</v>
          </cell>
          <cell r="Q26">
            <v>17096328</v>
          </cell>
          <cell r="R26">
            <v>131386000</v>
          </cell>
          <cell r="W26">
            <v>104</v>
          </cell>
          <cell r="AA26">
            <v>37232000</v>
          </cell>
          <cell r="AB26">
            <v>16883400</v>
          </cell>
          <cell r="AC26">
            <v>12739520</v>
          </cell>
        </row>
        <row r="27">
          <cell r="A27" t="str">
            <v>Y</v>
          </cell>
          <cell r="Q27">
            <v>6382700</v>
          </cell>
          <cell r="R27">
            <v>52456000</v>
          </cell>
          <cell r="W27">
            <v>131</v>
          </cell>
          <cell r="AA27">
            <v>20698000</v>
          </cell>
          <cell r="AB27">
            <v>9576500</v>
          </cell>
          <cell r="AC27">
            <v>7339969</v>
          </cell>
        </row>
        <row r="28">
          <cell r="A28" t="str">
            <v>Y</v>
          </cell>
          <cell r="Q28">
            <v>7780397</v>
          </cell>
          <cell r="R28">
            <v>69362000</v>
          </cell>
          <cell r="W28">
            <v>193</v>
          </cell>
          <cell r="AA28">
            <v>30494000</v>
          </cell>
          <cell r="AB28">
            <v>14187500</v>
          </cell>
          <cell r="AC28">
            <v>10638338</v>
          </cell>
        </row>
        <row r="29">
          <cell r="A29" t="str">
            <v>Y</v>
          </cell>
          <cell r="Q29">
            <v>8923425</v>
          </cell>
          <cell r="R29">
            <v>85974000</v>
          </cell>
          <cell r="W29">
            <v>94</v>
          </cell>
          <cell r="AA29">
            <v>16732000</v>
          </cell>
          <cell r="AB29">
            <v>7661900</v>
          </cell>
          <cell r="AC29">
            <v>5708638</v>
          </cell>
        </row>
        <row r="30">
          <cell r="A30" t="str">
            <v>Y</v>
          </cell>
          <cell r="Q30">
            <v>10965510</v>
          </cell>
          <cell r="R30">
            <v>90780000</v>
          </cell>
          <cell r="W30">
            <v>220</v>
          </cell>
          <cell r="AA30">
            <v>39160000</v>
          </cell>
          <cell r="AB30">
            <v>18007570</v>
          </cell>
          <cell r="AC30">
            <v>13560850</v>
          </cell>
        </row>
        <row r="31">
          <cell r="A31" t="str">
            <v>Y</v>
          </cell>
          <cell r="Q31">
            <v>6212520</v>
          </cell>
          <cell r="R31">
            <v>64080000</v>
          </cell>
          <cell r="W31">
            <v>74</v>
          </cell>
          <cell r="AA31">
            <v>13172000</v>
          </cell>
          <cell r="AB31">
            <v>5999800</v>
          </cell>
          <cell r="AC31">
            <v>4577804</v>
          </cell>
        </row>
        <row r="32">
          <cell r="A32" t="str">
            <v>Y</v>
          </cell>
          <cell r="Q32">
            <v>24682208</v>
          </cell>
          <cell r="R32">
            <v>237712000</v>
          </cell>
          <cell r="W32">
            <v>286</v>
          </cell>
          <cell r="AA32">
            <v>102388000</v>
          </cell>
          <cell r="AB32">
            <v>47215550</v>
          </cell>
          <cell r="AC32">
            <v>35491494</v>
          </cell>
        </row>
        <row r="33">
          <cell r="A33" t="str">
            <v>Y</v>
          </cell>
          <cell r="Q33">
            <v>24096839</v>
          </cell>
          <cell r="R33">
            <v>168734000</v>
          </cell>
          <cell r="W33">
            <v>151</v>
          </cell>
          <cell r="AA33">
            <v>72178000</v>
          </cell>
          <cell r="AB33">
            <v>33362200</v>
          </cell>
          <cell r="AC33">
            <v>25160964</v>
          </cell>
        </row>
        <row r="34">
          <cell r="A34" t="str">
            <v>Y</v>
          </cell>
          <cell r="Q34">
            <v>15752520</v>
          </cell>
          <cell r="R34">
            <v>120456000</v>
          </cell>
          <cell r="W34">
            <v>129</v>
          </cell>
          <cell r="AA34">
            <v>61662000</v>
          </cell>
          <cell r="AB34">
            <v>28289300</v>
          </cell>
          <cell r="AC34">
            <v>21060919</v>
          </cell>
        </row>
        <row r="35">
          <cell r="A35" t="str">
            <v>Y</v>
          </cell>
          <cell r="Q35">
            <v>17534880</v>
          </cell>
          <cell r="R35">
            <v>144540000</v>
          </cell>
          <cell r="W35">
            <v>69</v>
          </cell>
          <cell r="AA35">
            <v>30222000</v>
          </cell>
          <cell r="AB35">
            <v>13862700</v>
          </cell>
          <cell r="AC35">
            <v>10345889</v>
          </cell>
        </row>
        <row r="36">
          <cell r="A36" t="str">
            <v>Y</v>
          </cell>
          <cell r="Q36">
            <v>42575310</v>
          </cell>
          <cell r="R36">
            <v>364140000</v>
          </cell>
          <cell r="W36">
            <v>474</v>
          </cell>
          <cell r="AA36">
            <v>112812000</v>
          </cell>
          <cell r="AB36">
            <v>52263860</v>
          </cell>
          <cell r="AC36">
            <v>40064568</v>
          </cell>
        </row>
        <row r="37">
          <cell r="A37" t="str">
            <v>Y</v>
          </cell>
          <cell r="Q37">
            <v>29305005</v>
          </cell>
          <cell r="R37">
            <v>281430000</v>
          </cell>
          <cell r="W37">
            <v>326</v>
          </cell>
          <cell r="AA37">
            <v>103668000</v>
          </cell>
          <cell r="AB37">
            <v>47770800</v>
          </cell>
          <cell r="AC37">
            <v>36615315</v>
          </cell>
        </row>
        <row r="38">
          <cell r="A38" t="str">
            <v>Y</v>
          </cell>
          <cell r="Q38">
            <v>40809473</v>
          </cell>
          <cell r="R38">
            <v>310042000</v>
          </cell>
          <cell r="W38">
            <v>313</v>
          </cell>
          <cell r="AA38">
            <v>124574000</v>
          </cell>
          <cell r="AB38">
            <v>57192300</v>
          </cell>
          <cell r="AC38">
            <v>42875545</v>
          </cell>
        </row>
        <row r="39">
          <cell r="A39" t="str">
            <v>Y</v>
          </cell>
          <cell r="Q39">
            <v>27522752</v>
          </cell>
          <cell r="R39">
            <v>260064000</v>
          </cell>
          <cell r="W39">
            <v>60</v>
          </cell>
          <cell r="AA39">
            <v>22680000</v>
          </cell>
          <cell r="AB39">
            <v>9452700</v>
          </cell>
          <cell r="AC39">
            <v>7152149</v>
          </cell>
        </row>
        <row r="40">
          <cell r="A40" t="str">
            <v>Y</v>
          </cell>
          <cell r="Q40">
            <v>81030000</v>
          </cell>
          <cell r="R40">
            <v>697296000</v>
          </cell>
          <cell r="W40">
            <v>313</v>
          </cell>
          <cell r="AA40">
            <v>124574000</v>
          </cell>
          <cell r="AB40">
            <v>54575600</v>
          </cell>
          <cell r="AC40">
            <v>40999252</v>
          </cell>
        </row>
        <row r="41">
          <cell r="A41" t="str">
            <v>Y</v>
          </cell>
          <cell r="Q41">
            <v>26493882</v>
          </cell>
          <cell r="R41">
            <v>244956000</v>
          </cell>
          <cell r="W41">
            <v>438</v>
          </cell>
          <cell r="AA41">
            <v>130524000</v>
          </cell>
          <cell r="AB41">
            <v>59236100</v>
          </cell>
          <cell r="AC41">
            <v>48257077</v>
          </cell>
        </row>
        <row r="42">
          <cell r="A42" t="str">
            <v>Y</v>
          </cell>
          <cell r="Q42">
            <v>23425101</v>
          </cell>
          <cell r="R42">
            <v>187866000</v>
          </cell>
          <cell r="W42">
            <v>61</v>
          </cell>
          <cell r="AA42">
            <v>23058000</v>
          </cell>
          <cell r="AB42">
            <v>10741900</v>
          </cell>
          <cell r="AC42">
            <v>8154783</v>
          </cell>
        </row>
        <row r="43">
          <cell r="A43" t="str">
            <v>Y</v>
          </cell>
          <cell r="Q43">
            <v>29864100</v>
          </cell>
          <cell r="R43">
            <v>250600000</v>
          </cell>
          <cell r="W43">
            <v>171</v>
          </cell>
          <cell r="AA43">
            <v>61218000</v>
          </cell>
          <cell r="AB43">
            <v>28287300</v>
          </cell>
          <cell r="AC43">
            <v>21375285</v>
          </cell>
        </row>
        <row r="44">
          <cell r="A44" t="str">
            <v>Y</v>
          </cell>
          <cell r="Q44">
            <v>34445543</v>
          </cell>
          <cell r="R44">
            <v>317206000</v>
          </cell>
          <cell r="W44">
            <v>31</v>
          </cell>
          <cell r="AA44">
            <v>12338000</v>
          </cell>
          <cell r="AB44">
            <v>5512300</v>
          </cell>
          <cell r="AC44">
            <v>4177607</v>
          </cell>
        </row>
        <row r="45">
          <cell r="A45" t="str">
            <v>Y</v>
          </cell>
          <cell r="Q45">
            <v>29039400</v>
          </cell>
          <cell r="R45">
            <v>205400000</v>
          </cell>
          <cell r="W45">
            <v>172</v>
          </cell>
          <cell r="AA45">
            <v>27176000</v>
          </cell>
          <cell r="AB45">
            <v>12885800</v>
          </cell>
          <cell r="AC45">
            <v>9739275</v>
          </cell>
        </row>
        <row r="46">
          <cell r="A46" t="str">
            <v>Y</v>
          </cell>
          <cell r="Q46">
            <v>56694880</v>
          </cell>
          <cell r="R46">
            <v>473440000</v>
          </cell>
          <cell r="W46">
            <v>294</v>
          </cell>
          <cell r="AA46">
            <v>158172000</v>
          </cell>
          <cell r="AB46">
            <v>72267650</v>
          </cell>
          <cell r="AC46">
            <v>55075608</v>
          </cell>
        </row>
        <row r="47">
          <cell r="A47" t="str">
            <v>Y</v>
          </cell>
          <cell r="Q47">
            <v>41692785</v>
          </cell>
          <cell r="R47">
            <v>383590000</v>
          </cell>
          <cell r="W47">
            <v>715</v>
          </cell>
          <cell r="AA47">
            <v>127270000</v>
          </cell>
          <cell r="AB47">
            <v>59180740</v>
          </cell>
          <cell r="AC47">
            <v>45069306</v>
          </cell>
        </row>
        <row r="48">
          <cell r="A48" t="str">
            <v>Y</v>
          </cell>
          <cell r="Q48">
            <v>27953280</v>
          </cell>
          <cell r="R48">
            <v>291456000</v>
          </cell>
          <cell r="W48">
            <v>458</v>
          </cell>
          <cell r="AA48">
            <v>90684000</v>
          </cell>
          <cell r="AB48">
            <v>42448500</v>
          </cell>
          <cell r="AC48">
            <v>32107631</v>
          </cell>
        </row>
        <row r="49">
          <cell r="A49" t="str">
            <v>Y</v>
          </cell>
          <cell r="Q49">
            <v>31194034</v>
          </cell>
          <cell r="R49">
            <v>271062000</v>
          </cell>
          <cell r="W49">
            <v>178</v>
          </cell>
          <cell r="AA49">
            <v>35244000</v>
          </cell>
          <cell r="AB49">
            <v>14867500</v>
          </cell>
          <cell r="AC49">
            <v>11158239</v>
          </cell>
        </row>
        <row r="50">
          <cell r="A50" t="str">
            <v>Y</v>
          </cell>
          <cell r="Q50">
            <v>40557475</v>
          </cell>
          <cell r="R50">
            <v>358610000</v>
          </cell>
          <cell r="W50">
            <v>646</v>
          </cell>
          <cell r="AA50">
            <v>140828000</v>
          </cell>
          <cell r="AB50">
            <v>64870900</v>
          </cell>
          <cell r="AC50">
            <v>48946886</v>
          </cell>
        </row>
        <row r="51">
          <cell r="A51" t="str">
            <v>Y</v>
          </cell>
          <cell r="Q51">
            <v>35105929</v>
          </cell>
          <cell r="R51">
            <v>328766000</v>
          </cell>
          <cell r="W51">
            <v>670</v>
          </cell>
          <cell r="AA51">
            <v>119260000</v>
          </cell>
          <cell r="AB51">
            <v>56098710</v>
          </cell>
          <cell r="AC51">
            <v>42720973</v>
          </cell>
        </row>
        <row r="52">
          <cell r="A52" t="str">
            <v>Y</v>
          </cell>
          <cell r="Q52">
            <v>20150070</v>
          </cell>
          <cell r="R52">
            <v>233358000</v>
          </cell>
          <cell r="W52">
            <v>272</v>
          </cell>
          <cell r="AA52">
            <v>48416000</v>
          </cell>
          <cell r="AB52">
            <v>22563800</v>
          </cell>
          <cell r="AC52">
            <v>17061745</v>
          </cell>
        </row>
        <row r="53">
          <cell r="A53" t="str">
            <v>Y</v>
          </cell>
          <cell r="Q53">
            <v>26291124</v>
          </cell>
          <cell r="R53">
            <v>253242000</v>
          </cell>
          <cell r="W53">
            <v>235</v>
          </cell>
          <cell r="AA53">
            <v>46530000</v>
          </cell>
          <cell r="AB53">
            <v>19625600</v>
          </cell>
          <cell r="AC53">
            <v>14671666</v>
          </cell>
        </row>
        <row r="54">
          <cell r="A54" t="str">
            <v>Y</v>
          </cell>
          <cell r="Q54">
            <v>32983962</v>
          </cell>
          <cell r="R54">
            <v>248292000</v>
          </cell>
          <cell r="W54">
            <v>386</v>
          </cell>
          <cell r="AA54">
            <v>76428000</v>
          </cell>
          <cell r="AB54">
            <v>35201600</v>
          </cell>
          <cell r="AC54">
            <v>26472501</v>
          </cell>
        </row>
        <row r="55">
          <cell r="A55" t="str">
            <v>Y</v>
          </cell>
          <cell r="Q55">
            <v>25702351</v>
          </cell>
          <cell r="R55">
            <v>197574000</v>
          </cell>
          <cell r="W55">
            <v>1028</v>
          </cell>
          <cell r="AA55">
            <v>80184000</v>
          </cell>
          <cell r="AB55">
            <v>37173195</v>
          </cell>
          <cell r="AC55">
            <v>28313234</v>
          </cell>
        </row>
        <row r="56">
          <cell r="A56" t="str">
            <v>Y</v>
          </cell>
          <cell r="Q56">
            <v>12241416</v>
          </cell>
          <cell r="R56">
            <v>115522000</v>
          </cell>
          <cell r="W56">
            <v>125</v>
          </cell>
          <cell r="AA56">
            <v>14750000</v>
          </cell>
          <cell r="AB56">
            <v>6148750</v>
          </cell>
          <cell r="AC56">
            <v>4546923</v>
          </cell>
        </row>
        <row r="57">
          <cell r="A57" t="str">
            <v>Y</v>
          </cell>
          <cell r="Q57">
            <v>12833436</v>
          </cell>
          <cell r="R57">
            <v>145992000</v>
          </cell>
          <cell r="W57">
            <v>133</v>
          </cell>
          <cell r="AA57">
            <v>21014000</v>
          </cell>
          <cell r="AB57">
            <v>8725600</v>
          </cell>
          <cell r="AC57">
            <v>6637939</v>
          </cell>
        </row>
        <row r="58">
          <cell r="A58" t="str">
            <v>Y</v>
          </cell>
          <cell r="Q58">
            <v>12977876</v>
          </cell>
          <cell r="R58">
            <v>136828000</v>
          </cell>
          <cell r="W58">
            <v>166</v>
          </cell>
          <cell r="AA58">
            <v>26228000</v>
          </cell>
          <cell r="AB58">
            <v>11885300</v>
          </cell>
          <cell r="AC58">
            <v>9016665</v>
          </cell>
        </row>
        <row r="59">
          <cell r="A59" t="str">
            <v>Y</v>
          </cell>
          <cell r="Q59">
            <v>9684536</v>
          </cell>
          <cell r="R59">
            <v>95432000</v>
          </cell>
          <cell r="W59">
            <v>151</v>
          </cell>
          <cell r="AA59">
            <v>23858000</v>
          </cell>
          <cell r="AB59">
            <v>11190700</v>
          </cell>
          <cell r="AC59">
            <v>8496253</v>
          </cell>
        </row>
        <row r="60">
          <cell r="A60" t="str">
            <v>Y</v>
          </cell>
          <cell r="Q60">
            <v>14740641</v>
          </cell>
          <cell r="R60">
            <v>152154000</v>
          </cell>
          <cell r="W60">
            <v>268</v>
          </cell>
          <cell r="AA60">
            <v>42344000</v>
          </cell>
          <cell r="AB60">
            <v>19852800</v>
          </cell>
          <cell r="AC60">
            <v>14740531</v>
          </cell>
        </row>
        <row r="61">
          <cell r="A61" t="str">
            <v>Y</v>
          </cell>
          <cell r="Q61">
            <v>16908939</v>
          </cell>
          <cell r="R61">
            <v>134826000</v>
          </cell>
          <cell r="W61">
            <v>230</v>
          </cell>
          <cell r="AA61">
            <v>31740000</v>
          </cell>
          <cell r="AB61">
            <v>14777840</v>
          </cell>
          <cell r="AC61">
            <v>11312322</v>
          </cell>
        </row>
        <row r="62">
          <cell r="A62" t="str">
            <v>Y</v>
          </cell>
          <cell r="Q62">
            <v>15638007</v>
          </cell>
          <cell r="R62">
            <v>147098000</v>
          </cell>
          <cell r="W62">
            <v>273</v>
          </cell>
          <cell r="AA62">
            <v>43134000</v>
          </cell>
          <cell r="AB62">
            <v>19900700</v>
          </cell>
          <cell r="AC62">
            <v>14911685</v>
          </cell>
        </row>
        <row r="63">
          <cell r="A63" t="str">
            <v>Y</v>
          </cell>
          <cell r="Q63">
            <v>17681118</v>
          </cell>
          <cell r="R63">
            <v>160212000</v>
          </cell>
          <cell r="W63">
            <v>630</v>
          </cell>
          <cell r="AA63">
            <v>99540000</v>
          </cell>
          <cell r="AB63">
            <v>45804400</v>
          </cell>
          <cell r="AC63">
            <v>33455434</v>
          </cell>
        </row>
        <row r="64">
          <cell r="A64" t="str">
            <v>Y</v>
          </cell>
          <cell r="Q64">
            <v>7727244</v>
          </cell>
          <cell r="R64">
            <v>74102000</v>
          </cell>
          <cell r="W64">
            <v>130</v>
          </cell>
          <cell r="AA64">
            <v>20540000</v>
          </cell>
          <cell r="AB64">
            <v>9723400</v>
          </cell>
          <cell r="AC64">
            <v>7218704</v>
          </cell>
        </row>
        <row r="65">
          <cell r="A65" t="str">
            <v>Y</v>
          </cell>
          <cell r="Q65">
            <v>15326825</v>
          </cell>
          <cell r="R65">
            <v>123082000</v>
          </cell>
          <cell r="W65">
            <v>69</v>
          </cell>
          <cell r="AA65">
            <v>10902000</v>
          </cell>
          <cell r="AB65">
            <v>5004670</v>
          </cell>
          <cell r="AC65">
            <v>3697642</v>
          </cell>
        </row>
        <row r="66">
          <cell r="A66" t="str">
            <v>Y</v>
          </cell>
          <cell r="Q66">
            <v>4353020</v>
          </cell>
          <cell r="R66">
            <v>33320000</v>
          </cell>
          <cell r="W66">
            <v>117</v>
          </cell>
          <cell r="AA66">
            <v>11466000</v>
          </cell>
          <cell r="AB66">
            <v>5355700</v>
          </cell>
          <cell r="AC66">
            <v>4096082</v>
          </cell>
        </row>
        <row r="67">
          <cell r="A67" t="str">
            <v>Y</v>
          </cell>
          <cell r="Q67">
            <v>7318641</v>
          </cell>
          <cell r="R67">
            <v>63894000</v>
          </cell>
          <cell r="W67">
            <v>28</v>
          </cell>
          <cell r="AA67">
            <v>3864000</v>
          </cell>
          <cell r="AB67">
            <v>1385100</v>
          </cell>
          <cell r="AC67">
            <v>1038859</v>
          </cell>
        </row>
        <row r="68">
          <cell r="A68" t="str">
            <v>Y</v>
          </cell>
          <cell r="Q68">
            <v>6931204</v>
          </cell>
          <cell r="R68">
            <v>80738000</v>
          </cell>
          <cell r="W68">
            <v>167</v>
          </cell>
          <cell r="AA68">
            <v>26386000</v>
          </cell>
          <cell r="AB68">
            <v>12122900</v>
          </cell>
          <cell r="AC68">
            <v>9010148</v>
          </cell>
        </row>
        <row r="69">
          <cell r="A69" t="str">
            <v>Y</v>
          </cell>
          <cell r="Q69">
            <v>28029248</v>
          </cell>
          <cell r="R69">
            <v>239304000</v>
          </cell>
          <cell r="W69">
            <v>911</v>
          </cell>
          <cell r="AA69">
            <v>71058000</v>
          </cell>
          <cell r="AB69">
            <v>33144800</v>
          </cell>
          <cell r="AC69">
            <v>25004031</v>
          </cell>
        </row>
        <row r="70">
          <cell r="A70" t="str">
            <v>Y</v>
          </cell>
          <cell r="Q70">
            <v>5762745</v>
          </cell>
          <cell r="R70">
            <v>55890000</v>
          </cell>
          <cell r="W70">
            <v>97</v>
          </cell>
          <cell r="AA70">
            <v>13386000</v>
          </cell>
          <cell r="AB70">
            <v>6229700</v>
          </cell>
          <cell r="AC70">
            <v>4816787</v>
          </cell>
        </row>
        <row r="71">
          <cell r="A71" t="str">
            <v>Y</v>
          </cell>
          <cell r="Q71">
            <v>6634755</v>
          </cell>
          <cell r="R71">
            <v>58374000</v>
          </cell>
          <cell r="W71">
            <v>37</v>
          </cell>
          <cell r="AA71">
            <v>5106000</v>
          </cell>
          <cell r="AB71">
            <v>2329200</v>
          </cell>
          <cell r="AC71">
            <v>1819610</v>
          </cell>
        </row>
        <row r="72">
          <cell r="A72" t="str">
            <v>Y</v>
          </cell>
          <cell r="Q72">
            <v>8348800</v>
          </cell>
          <cell r="R72">
            <v>78400000</v>
          </cell>
          <cell r="W72">
            <v>637</v>
          </cell>
          <cell r="AA72">
            <v>62426000</v>
          </cell>
          <cell r="AB72">
            <v>29871300</v>
          </cell>
          <cell r="AC72">
            <v>22682492</v>
          </cell>
        </row>
        <row r="73">
          <cell r="A73" t="str">
            <v>Y</v>
          </cell>
          <cell r="Q73">
            <v>25919586</v>
          </cell>
          <cell r="R73">
            <v>192654000</v>
          </cell>
          <cell r="W73">
            <v>88</v>
          </cell>
          <cell r="AA73">
            <v>24464000</v>
          </cell>
          <cell r="AB73">
            <v>10666400</v>
          </cell>
          <cell r="AC73">
            <v>8052460</v>
          </cell>
        </row>
        <row r="74">
          <cell r="A74" t="str">
            <v>Y</v>
          </cell>
          <cell r="Q74">
            <v>17193897</v>
          </cell>
          <cell r="R74">
            <v>170694000</v>
          </cell>
          <cell r="W74">
            <v>247</v>
          </cell>
          <cell r="AA74">
            <v>53846000</v>
          </cell>
          <cell r="AB74">
            <v>24782000</v>
          </cell>
          <cell r="AC74">
            <v>18688868</v>
          </cell>
        </row>
        <row r="75">
          <cell r="A75" t="str">
            <v>Y</v>
          </cell>
          <cell r="Q75">
            <v>28622160</v>
          </cell>
          <cell r="R75">
            <v>225180000</v>
          </cell>
          <cell r="W75">
            <v>309</v>
          </cell>
          <cell r="AA75">
            <v>85902000</v>
          </cell>
          <cell r="AB75">
            <v>39918600</v>
          </cell>
          <cell r="AC75">
            <v>29724525</v>
          </cell>
        </row>
        <row r="76">
          <cell r="A76" t="str">
            <v>Y</v>
          </cell>
          <cell r="Q76">
            <v>14623193</v>
          </cell>
          <cell r="R76">
            <v>107042000</v>
          </cell>
          <cell r="W76">
            <v>29</v>
          </cell>
          <cell r="AA76">
            <v>10382000</v>
          </cell>
          <cell r="AB76">
            <v>4475700</v>
          </cell>
          <cell r="AC76">
            <v>3271116</v>
          </cell>
        </row>
        <row r="77">
          <cell r="A77" t="str">
            <v>Y</v>
          </cell>
          <cell r="Q77">
            <v>20205852</v>
          </cell>
          <cell r="R77">
            <v>177288000</v>
          </cell>
          <cell r="W77">
            <v>213</v>
          </cell>
          <cell r="AA77">
            <v>37914000</v>
          </cell>
          <cell r="AB77">
            <v>18254300</v>
          </cell>
          <cell r="AC77">
            <v>13708092</v>
          </cell>
        </row>
        <row r="78">
          <cell r="A78" t="str">
            <v>Y</v>
          </cell>
          <cell r="Q78">
            <v>8508969</v>
          </cell>
          <cell r="R78">
            <v>76626000</v>
          </cell>
          <cell r="W78">
            <v>125</v>
          </cell>
          <cell r="AA78">
            <v>24750000</v>
          </cell>
          <cell r="AB78">
            <v>11917200</v>
          </cell>
          <cell r="AC78">
            <v>9022712</v>
          </cell>
        </row>
        <row r="79">
          <cell r="A79" t="str">
            <v>Y</v>
          </cell>
          <cell r="Q79">
            <v>12619439</v>
          </cell>
          <cell r="R79">
            <v>94486000</v>
          </cell>
          <cell r="W79">
            <v>240</v>
          </cell>
          <cell r="AA79">
            <v>57120000</v>
          </cell>
          <cell r="AB79">
            <v>27350400</v>
          </cell>
          <cell r="AC79">
            <v>20328116</v>
          </cell>
        </row>
        <row r="80">
          <cell r="A80" t="str">
            <v>Y</v>
          </cell>
          <cell r="Q80">
            <v>10460114</v>
          </cell>
          <cell r="R80">
            <v>91996000</v>
          </cell>
          <cell r="W80">
            <v>109</v>
          </cell>
          <cell r="AA80">
            <v>23762000</v>
          </cell>
          <cell r="AB80">
            <v>10988800</v>
          </cell>
          <cell r="AC80">
            <v>8369783</v>
          </cell>
        </row>
        <row r="81">
          <cell r="A81" t="str">
            <v>Y</v>
          </cell>
          <cell r="Q81">
            <v>11330583</v>
          </cell>
          <cell r="R81">
            <v>85674000</v>
          </cell>
          <cell r="W81">
            <v>143</v>
          </cell>
          <cell r="AA81">
            <v>31174000</v>
          </cell>
          <cell r="AB81">
            <v>14438700</v>
          </cell>
          <cell r="AC81">
            <v>11037667</v>
          </cell>
        </row>
        <row r="82">
          <cell r="A82" t="str">
            <v>Y</v>
          </cell>
          <cell r="Q82">
            <v>15496965</v>
          </cell>
          <cell r="R82">
            <v>107910000</v>
          </cell>
          <cell r="W82">
            <v>113</v>
          </cell>
          <cell r="AA82">
            <v>24634000</v>
          </cell>
          <cell r="AB82">
            <v>11322300</v>
          </cell>
          <cell r="AC82">
            <v>8366295</v>
          </cell>
        </row>
        <row r="83">
          <cell r="A83" t="str">
            <v>Y</v>
          </cell>
          <cell r="Q83">
            <v>28095876</v>
          </cell>
          <cell r="R83">
            <v>232824000</v>
          </cell>
          <cell r="W83">
            <v>385</v>
          </cell>
          <cell r="AA83">
            <v>83930000</v>
          </cell>
          <cell r="AB83">
            <v>38622700</v>
          </cell>
          <cell r="AC83">
            <v>29200882</v>
          </cell>
        </row>
        <row r="84">
          <cell r="A84" t="str">
            <v>Y</v>
          </cell>
          <cell r="Q84">
            <v>36883308</v>
          </cell>
          <cell r="R84">
            <v>291684000</v>
          </cell>
          <cell r="W84">
            <v>237</v>
          </cell>
          <cell r="AA84">
            <v>51666000</v>
          </cell>
          <cell r="AB84">
            <v>24021700</v>
          </cell>
          <cell r="AC84">
            <v>18024840</v>
          </cell>
        </row>
        <row r="85">
          <cell r="A85" t="str">
            <v>Y</v>
          </cell>
          <cell r="Q85">
            <v>34027026</v>
          </cell>
          <cell r="R85">
            <v>284394000</v>
          </cell>
          <cell r="W85">
            <v>531</v>
          </cell>
          <cell r="AA85">
            <v>147618000</v>
          </cell>
          <cell r="AB85">
            <v>70263800</v>
          </cell>
          <cell r="AC85">
            <v>53091432</v>
          </cell>
        </row>
        <row r="86">
          <cell r="A86" t="str">
            <v>Y</v>
          </cell>
          <cell r="Q86">
            <v>19456272</v>
          </cell>
          <cell r="R86">
            <v>157608000</v>
          </cell>
          <cell r="W86">
            <v>179</v>
          </cell>
          <cell r="AA86">
            <v>71242000</v>
          </cell>
          <cell r="AB86">
            <v>33769700</v>
          </cell>
          <cell r="AC86">
            <v>25091910</v>
          </cell>
        </row>
        <row r="87">
          <cell r="A87" t="str">
            <v>Y</v>
          </cell>
          <cell r="Q87">
            <v>34712436</v>
          </cell>
          <cell r="R87">
            <v>297704000</v>
          </cell>
          <cell r="W87">
            <v>240</v>
          </cell>
          <cell r="AA87">
            <v>95520000</v>
          </cell>
          <cell r="AB87">
            <v>44077700</v>
          </cell>
          <cell r="AC87">
            <v>32855995</v>
          </cell>
        </row>
        <row r="88">
          <cell r="A88" t="str">
            <v>Y</v>
          </cell>
          <cell r="Q88">
            <v>20048088</v>
          </cell>
          <cell r="R88">
            <v>186576000</v>
          </cell>
          <cell r="W88">
            <v>91</v>
          </cell>
          <cell r="AA88">
            <v>30758000</v>
          </cell>
          <cell r="AB88">
            <v>13976300</v>
          </cell>
          <cell r="AC88">
            <v>10151323</v>
          </cell>
        </row>
        <row r="89">
          <cell r="A89" t="str">
            <v>Y</v>
          </cell>
          <cell r="Q89">
            <v>28681046</v>
          </cell>
          <cell r="R89">
            <v>267756000</v>
          </cell>
          <cell r="W89">
            <v>72</v>
          </cell>
          <cell r="AA89">
            <v>22896000</v>
          </cell>
          <cell r="AB89">
            <v>10220000</v>
          </cell>
          <cell r="AC89">
            <v>7635294</v>
          </cell>
        </row>
        <row r="90">
          <cell r="A90" t="str">
            <v>Y</v>
          </cell>
          <cell r="Q90">
            <v>34235210</v>
          </cell>
          <cell r="R90">
            <v>308954000</v>
          </cell>
          <cell r="W90">
            <v>145</v>
          </cell>
          <cell r="AA90">
            <v>51910000</v>
          </cell>
          <cell r="AB90">
            <v>24285600</v>
          </cell>
          <cell r="AC90">
            <v>18045169</v>
          </cell>
        </row>
        <row r="91">
          <cell r="A91" t="str">
            <v>Y</v>
          </cell>
          <cell r="Q91">
            <v>73978731</v>
          </cell>
          <cell r="R91">
            <v>676620000</v>
          </cell>
          <cell r="W91">
            <v>257</v>
          </cell>
          <cell r="AA91">
            <v>107940000</v>
          </cell>
          <cell r="AB91">
            <v>47487000</v>
          </cell>
          <cell r="AC91">
            <v>35059185</v>
          </cell>
        </row>
        <row r="92">
          <cell r="A92" t="str">
            <v>Y</v>
          </cell>
          <cell r="Q92">
            <v>38737360</v>
          </cell>
          <cell r="R92">
            <v>349444000</v>
          </cell>
          <cell r="W92">
            <v>783</v>
          </cell>
          <cell r="AA92">
            <v>311634000</v>
          </cell>
          <cell r="AB92">
            <v>144358920</v>
          </cell>
          <cell r="AC92">
            <v>108555579</v>
          </cell>
        </row>
        <row r="93">
          <cell r="A93" t="str">
            <v>Y</v>
          </cell>
          <cell r="Q93">
            <v>30193152</v>
          </cell>
          <cell r="R93">
            <v>244224000</v>
          </cell>
          <cell r="W93">
            <v>152</v>
          </cell>
          <cell r="AA93">
            <v>48336000</v>
          </cell>
          <cell r="AB93">
            <v>22285400</v>
          </cell>
          <cell r="AC93">
            <v>16446642</v>
          </cell>
        </row>
        <row r="94">
          <cell r="A94" t="str">
            <v>Y</v>
          </cell>
          <cell r="Q94">
            <v>20536800</v>
          </cell>
          <cell r="R94">
            <v>178800000</v>
          </cell>
          <cell r="W94">
            <v>91</v>
          </cell>
          <cell r="AA94">
            <v>27118000</v>
          </cell>
          <cell r="AB94">
            <v>10890400</v>
          </cell>
          <cell r="AC94">
            <v>8121847</v>
          </cell>
        </row>
        <row r="95">
          <cell r="A95" t="str">
            <v>Y</v>
          </cell>
          <cell r="Q95">
            <v>26111250</v>
          </cell>
          <cell r="R95">
            <v>223500000</v>
          </cell>
          <cell r="W95">
            <v>95</v>
          </cell>
          <cell r="AA95">
            <v>28310000</v>
          </cell>
          <cell r="AB95">
            <v>13046700</v>
          </cell>
          <cell r="AC95">
            <v>9874007</v>
          </cell>
        </row>
        <row r="96">
          <cell r="A96" t="str">
            <v>Y</v>
          </cell>
          <cell r="Q96">
            <v>30844638</v>
          </cell>
          <cell r="R96">
            <v>317196000</v>
          </cell>
          <cell r="W96">
            <v>456</v>
          </cell>
          <cell r="AA96">
            <v>81168000</v>
          </cell>
          <cell r="AB96">
            <v>37396100</v>
          </cell>
          <cell r="AC96">
            <v>28463135</v>
          </cell>
        </row>
        <row r="97">
          <cell r="A97" t="str">
            <v>Y</v>
          </cell>
          <cell r="Q97">
            <v>23670914</v>
          </cell>
          <cell r="R97">
            <v>214236000</v>
          </cell>
          <cell r="W97">
            <v>305</v>
          </cell>
          <cell r="AA97">
            <v>60390000</v>
          </cell>
          <cell r="AB97">
            <v>28054800</v>
          </cell>
          <cell r="AC97">
            <v>20990970</v>
          </cell>
        </row>
        <row r="98">
          <cell r="A98" t="str">
            <v>Y</v>
          </cell>
          <cell r="Q98">
            <v>18069696</v>
          </cell>
          <cell r="R98">
            <v>171072000</v>
          </cell>
          <cell r="W98">
            <v>169</v>
          </cell>
          <cell r="AA98">
            <v>33462000</v>
          </cell>
          <cell r="AB98">
            <v>15769300</v>
          </cell>
          <cell r="AC98">
            <v>11686059</v>
          </cell>
        </row>
        <row r="99">
          <cell r="A99" t="str">
            <v>Y</v>
          </cell>
          <cell r="Q99">
            <v>28298403</v>
          </cell>
          <cell r="R99">
            <v>215586000</v>
          </cell>
          <cell r="W99">
            <v>565</v>
          </cell>
          <cell r="AA99">
            <v>66670000</v>
          </cell>
          <cell r="AB99">
            <v>31076530</v>
          </cell>
          <cell r="AC99">
            <v>23679336</v>
          </cell>
        </row>
        <row r="100">
          <cell r="A100" t="str">
            <v>Y</v>
          </cell>
          <cell r="Q100">
            <v>21121962</v>
          </cell>
          <cell r="R100">
            <v>230332000</v>
          </cell>
          <cell r="W100">
            <v>31</v>
          </cell>
          <cell r="AA100">
            <v>5518000</v>
          </cell>
          <cell r="AB100">
            <v>2371100</v>
          </cell>
          <cell r="AC100">
            <v>1813640</v>
          </cell>
        </row>
        <row r="101">
          <cell r="A101" t="str">
            <v>Y</v>
          </cell>
          <cell r="Q101">
            <v>27112224</v>
          </cell>
          <cell r="R101">
            <v>190096000</v>
          </cell>
          <cell r="W101">
            <v>336</v>
          </cell>
          <cell r="AA101">
            <v>73248000</v>
          </cell>
          <cell r="AB101">
            <v>30459100</v>
          </cell>
          <cell r="AC101">
            <v>22767851</v>
          </cell>
        </row>
        <row r="102">
          <cell r="A102" t="str">
            <v>Y</v>
          </cell>
          <cell r="Q102">
            <v>16049142</v>
          </cell>
          <cell r="R102">
            <v>169812000</v>
          </cell>
          <cell r="W102">
            <v>135</v>
          </cell>
          <cell r="AA102">
            <v>24030000</v>
          </cell>
          <cell r="AB102">
            <v>10054000</v>
          </cell>
          <cell r="AC102">
            <v>7641981</v>
          </cell>
        </row>
        <row r="103">
          <cell r="A103" t="str">
            <v>Y</v>
          </cell>
          <cell r="Q103">
            <v>8159133</v>
          </cell>
          <cell r="R103">
            <v>83838000</v>
          </cell>
          <cell r="W103">
            <v>17</v>
          </cell>
          <cell r="AA103">
            <v>3026000</v>
          </cell>
          <cell r="AB103">
            <v>1285200</v>
          </cell>
          <cell r="AC103">
            <v>991633</v>
          </cell>
        </row>
        <row r="104">
          <cell r="A104" t="str">
            <v>Y</v>
          </cell>
          <cell r="Q104">
            <v>11845902</v>
          </cell>
          <cell r="R104">
            <v>121572000</v>
          </cell>
          <cell r="W104">
            <v>346</v>
          </cell>
          <cell r="AA104">
            <v>68508000</v>
          </cell>
          <cell r="AB104">
            <v>32569900</v>
          </cell>
          <cell r="AC104">
            <v>24258515</v>
          </cell>
        </row>
        <row r="105">
          <cell r="A105" t="str">
            <v>Y</v>
          </cell>
          <cell r="Q105">
            <v>14164514</v>
          </cell>
          <cell r="R105">
            <v>138204000</v>
          </cell>
          <cell r="W105">
            <v>44</v>
          </cell>
          <cell r="AA105">
            <v>8712000</v>
          </cell>
          <cell r="AB105">
            <v>3846500</v>
          </cell>
          <cell r="AC105">
            <v>2779768</v>
          </cell>
        </row>
        <row r="106">
          <cell r="A106" t="str">
            <v>Y</v>
          </cell>
          <cell r="Q106">
            <v>20905482</v>
          </cell>
          <cell r="R106">
            <v>199004000</v>
          </cell>
          <cell r="W106">
            <v>98</v>
          </cell>
          <cell r="AA106">
            <v>17444000</v>
          </cell>
          <cell r="AB106">
            <v>7197900</v>
          </cell>
          <cell r="AC106">
            <v>5568214</v>
          </cell>
        </row>
        <row r="107">
          <cell r="A107" t="str">
            <v>Y</v>
          </cell>
          <cell r="Q107">
            <v>10450908</v>
          </cell>
          <cell r="R107">
            <v>108504000</v>
          </cell>
          <cell r="W107">
            <v>58</v>
          </cell>
          <cell r="AA107">
            <v>11484000</v>
          </cell>
          <cell r="AB107">
            <v>5147100</v>
          </cell>
          <cell r="AC107">
            <v>3918470</v>
          </cell>
        </row>
        <row r="108">
          <cell r="A108" t="str">
            <v>Y</v>
          </cell>
          <cell r="Q108">
            <v>15742320</v>
          </cell>
          <cell r="R108">
            <v>174240000</v>
          </cell>
          <cell r="W108">
            <v>56</v>
          </cell>
          <cell r="AA108">
            <v>11088000</v>
          </cell>
          <cell r="AB108">
            <v>4635700</v>
          </cell>
          <cell r="AC108">
            <v>3474528</v>
          </cell>
        </row>
        <row r="109">
          <cell r="A109" t="str">
            <v>Y</v>
          </cell>
          <cell r="Q109">
            <v>6043590</v>
          </cell>
          <cell r="R109">
            <v>52470000</v>
          </cell>
          <cell r="W109">
            <v>68</v>
          </cell>
          <cell r="AA109">
            <v>13464000</v>
          </cell>
          <cell r="AB109">
            <v>6246600</v>
          </cell>
          <cell r="AC109">
            <v>4731260</v>
          </cell>
        </row>
        <row r="110">
          <cell r="A110" t="str">
            <v>Y</v>
          </cell>
          <cell r="Q110">
            <v>30470720</v>
          </cell>
          <cell r="R110">
            <v>264320000</v>
          </cell>
          <cell r="W110">
            <v>752</v>
          </cell>
          <cell r="AA110">
            <v>88736000</v>
          </cell>
          <cell r="AB110">
            <v>42139525</v>
          </cell>
          <cell r="AC110">
            <v>32120174</v>
          </cell>
        </row>
        <row r="111">
          <cell r="A111" t="str">
            <v>Y</v>
          </cell>
          <cell r="Q111">
            <v>41796540</v>
          </cell>
          <cell r="R111">
            <v>389988000</v>
          </cell>
          <cell r="W111">
            <v>466</v>
          </cell>
          <cell r="AA111">
            <v>64308000</v>
          </cell>
          <cell r="AB111">
            <v>28986390</v>
          </cell>
          <cell r="AC111">
            <v>22178891</v>
          </cell>
        </row>
        <row r="112">
          <cell r="A112" t="str">
            <v>Y</v>
          </cell>
          <cell r="Q112">
            <v>23827608</v>
          </cell>
          <cell r="R112">
            <v>217566000</v>
          </cell>
          <cell r="W112">
            <v>137</v>
          </cell>
          <cell r="AA112">
            <v>21646000</v>
          </cell>
          <cell r="AB112">
            <v>10154000</v>
          </cell>
          <cell r="AC112">
            <v>7677497</v>
          </cell>
        </row>
        <row r="113">
          <cell r="A113" t="str">
            <v>Y</v>
          </cell>
          <cell r="Q113">
            <v>32921700</v>
          </cell>
          <cell r="R113">
            <v>325740000</v>
          </cell>
          <cell r="W113">
            <v>657</v>
          </cell>
          <cell r="AA113">
            <v>116946000</v>
          </cell>
          <cell r="AB113">
            <v>56923295</v>
          </cell>
          <cell r="AC113">
            <v>43423376</v>
          </cell>
        </row>
        <row r="114">
          <cell r="A114" t="str">
            <v>Y</v>
          </cell>
          <cell r="Q114">
            <v>45202845</v>
          </cell>
          <cell r="R114">
            <v>323730000</v>
          </cell>
          <cell r="W114">
            <v>453</v>
          </cell>
          <cell r="AA114">
            <v>89694000</v>
          </cell>
          <cell r="AB114">
            <v>42228680</v>
          </cell>
          <cell r="AC114">
            <v>31902437</v>
          </cell>
        </row>
        <row r="115">
          <cell r="A115" t="str">
            <v>Y</v>
          </cell>
          <cell r="Q115">
            <v>33640770</v>
          </cell>
          <cell r="R115">
            <v>241980000</v>
          </cell>
          <cell r="W115">
            <v>302</v>
          </cell>
          <cell r="AA115">
            <v>65836000</v>
          </cell>
          <cell r="AB115">
            <v>31338100</v>
          </cell>
          <cell r="AC115">
            <v>23627630</v>
          </cell>
        </row>
        <row r="116">
          <cell r="A116" t="str">
            <v>Y</v>
          </cell>
          <cell r="Q116">
            <v>34962240</v>
          </cell>
          <cell r="R116">
            <v>247744000</v>
          </cell>
          <cell r="W116">
            <v>1352</v>
          </cell>
          <cell r="AA116">
            <v>132496000</v>
          </cell>
          <cell r="AB116">
            <v>61936675</v>
          </cell>
          <cell r="AC116">
            <v>47251772</v>
          </cell>
        </row>
        <row r="117">
          <cell r="A117" t="str">
            <v>Y</v>
          </cell>
          <cell r="Q117">
            <v>29748390</v>
          </cell>
          <cell r="R117">
            <v>279660000</v>
          </cell>
          <cell r="W117">
            <v>377</v>
          </cell>
          <cell r="AA117">
            <v>59566000</v>
          </cell>
          <cell r="AB117">
            <v>27805345</v>
          </cell>
          <cell r="AC117">
            <v>21134968</v>
          </cell>
        </row>
        <row r="118">
          <cell r="A118" t="str">
            <v>Y</v>
          </cell>
          <cell r="Q118">
            <v>18935492</v>
          </cell>
          <cell r="R118">
            <v>151048000</v>
          </cell>
          <cell r="W118">
            <v>119</v>
          </cell>
          <cell r="AA118">
            <v>18802000</v>
          </cell>
          <cell r="AB118">
            <v>8246600</v>
          </cell>
          <cell r="AC118">
            <v>6236204</v>
          </cell>
        </row>
        <row r="119">
          <cell r="A119" t="str">
            <v>Y</v>
          </cell>
          <cell r="Q119">
            <v>26955256</v>
          </cell>
          <cell r="R119">
            <v>208932000</v>
          </cell>
          <cell r="W119">
            <v>330</v>
          </cell>
          <cell r="AA119">
            <v>45540000</v>
          </cell>
          <cell r="AB119">
            <v>20295860</v>
          </cell>
          <cell r="AC119">
            <v>15424150</v>
          </cell>
        </row>
        <row r="120">
          <cell r="A120" t="str">
            <v>Y</v>
          </cell>
          <cell r="Q120">
            <v>32512908</v>
          </cell>
          <cell r="R120">
            <v>284444000</v>
          </cell>
          <cell r="W120">
            <v>544</v>
          </cell>
          <cell r="AA120">
            <v>96832000</v>
          </cell>
          <cell r="AB120">
            <v>45776670</v>
          </cell>
          <cell r="AC120">
            <v>35102581</v>
          </cell>
        </row>
        <row r="121">
          <cell r="A121" t="str">
            <v>Y</v>
          </cell>
          <cell r="Q121">
            <v>40565460</v>
          </cell>
          <cell r="R121">
            <v>353330000</v>
          </cell>
          <cell r="W121">
            <v>373</v>
          </cell>
          <cell r="AA121">
            <v>66394000</v>
          </cell>
          <cell r="AB121">
            <v>31107120</v>
          </cell>
          <cell r="AC121">
            <v>23831549</v>
          </cell>
        </row>
        <row r="122">
          <cell r="A122" t="str">
            <v>Y</v>
          </cell>
          <cell r="Q122">
            <v>35569140</v>
          </cell>
          <cell r="R122">
            <v>308484000</v>
          </cell>
          <cell r="W122">
            <v>32</v>
          </cell>
          <cell r="AA122">
            <v>6336000</v>
          </cell>
          <cell r="AB122">
            <v>3038900</v>
          </cell>
          <cell r="AC122">
            <v>2252052</v>
          </cell>
        </row>
        <row r="123">
          <cell r="A123" t="str">
            <v>Y</v>
          </cell>
          <cell r="Q123">
            <v>28980744</v>
          </cell>
          <cell r="R123">
            <v>249168000</v>
          </cell>
          <cell r="W123">
            <v>99</v>
          </cell>
          <cell r="AA123">
            <v>35442000</v>
          </cell>
          <cell r="AB123">
            <v>16515400</v>
          </cell>
          <cell r="AC123">
            <v>12265886</v>
          </cell>
        </row>
        <row r="124">
          <cell r="A124" t="str">
            <v>Y</v>
          </cell>
          <cell r="Q124">
            <v>40756000</v>
          </cell>
          <cell r="R124">
            <v>317188000</v>
          </cell>
          <cell r="W124">
            <v>176</v>
          </cell>
          <cell r="AA124">
            <v>63008000</v>
          </cell>
          <cell r="AB124">
            <v>29623000</v>
          </cell>
          <cell r="AC124">
            <v>22346718</v>
          </cell>
        </row>
        <row r="125">
          <cell r="A125" t="str">
            <v>Y</v>
          </cell>
          <cell r="Q125">
            <v>51976384</v>
          </cell>
          <cell r="R125">
            <v>394144000</v>
          </cell>
          <cell r="W125">
            <v>387</v>
          </cell>
          <cell r="AA125">
            <v>84366000</v>
          </cell>
          <cell r="AB125">
            <v>39795700</v>
          </cell>
          <cell r="AC125">
            <v>29578834</v>
          </cell>
        </row>
        <row r="126">
          <cell r="A126" t="str">
            <v>Y</v>
          </cell>
          <cell r="Q126">
            <v>49454160</v>
          </cell>
          <cell r="R126">
            <v>366240000</v>
          </cell>
          <cell r="W126">
            <v>539</v>
          </cell>
          <cell r="AA126">
            <v>117502000</v>
          </cell>
          <cell r="AB126">
            <v>55168980</v>
          </cell>
          <cell r="AC126">
            <v>41659336</v>
          </cell>
        </row>
        <row r="127">
          <cell r="A127" t="str">
            <v>Y</v>
          </cell>
          <cell r="Q127">
            <v>49933399</v>
          </cell>
          <cell r="R127">
            <v>348146000</v>
          </cell>
          <cell r="W127">
            <v>277</v>
          </cell>
          <cell r="AA127">
            <v>60386000</v>
          </cell>
          <cell r="AB127">
            <v>28174420</v>
          </cell>
          <cell r="AC127">
            <v>20975403</v>
          </cell>
        </row>
        <row r="128">
          <cell r="A128" t="str">
            <v>Y</v>
          </cell>
          <cell r="Q128">
            <v>38068450</v>
          </cell>
          <cell r="R128">
            <v>288190000</v>
          </cell>
          <cell r="W128">
            <v>46</v>
          </cell>
          <cell r="AA128">
            <v>16468000</v>
          </cell>
          <cell r="AB128">
            <v>7089700</v>
          </cell>
          <cell r="AC128">
            <v>5075094</v>
          </cell>
        </row>
        <row r="129">
          <cell r="A129" t="str">
            <v>Y</v>
          </cell>
          <cell r="Q129">
            <v>32449560</v>
          </cell>
          <cell r="R129">
            <v>279240000</v>
          </cell>
          <cell r="W129">
            <v>53</v>
          </cell>
          <cell r="AA129">
            <v>18974000</v>
          </cell>
          <cell r="AB129">
            <v>8333200</v>
          </cell>
          <cell r="AC129">
            <v>6100756</v>
          </cell>
        </row>
        <row r="130">
          <cell r="A130" t="str">
            <v>Y</v>
          </cell>
          <cell r="Q130">
            <v>39326400</v>
          </cell>
          <cell r="R130">
            <v>318400000</v>
          </cell>
          <cell r="W130">
            <v>98</v>
          </cell>
          <cell r="AA130">
            <v>39004000</v>
          </cell>
          <cell r="AB130">
            <v>17438000</v>
          </cell>
          <cell r="AC130">
            <v>13113370</v>
          </cell>
        </row>
        <row r="131">
          <cell r="A131" t="str">
            <v>Y</v>
          </cell>
          <cell r="Q131">
            <v>15618161</v>
          </cell>
          <cell r="R131">
            <v>107914000</v>
          </cell>
          <cell r="W131">
            <v>225</v>
          </cell>
          <cell r="AA131">
            <v>35550000</v>
          </cell>
          <cell r="AB131">
            <v>16814500</v>
          </cell>
          <cell r="AC131">
            <v>12744715</v>
          </cell>
        </row>
        <row r="132">
          <cell r="A132" t="str">
            <v>Y</v>
          </cell>
          <cell r="Q132">
            <v>17119520</v>
          </cell>
          <cell r="R132">
            <v>126380000</v>
          </cell>
          <cell r="W132">
            <v>234</v>
          </cell>
          <cell r="AA132">
            <v>41652000</v>
          </cell>
          <cell r="AB132">
            <v>20007300</v>
          </cell>
          <cell r="AC132">
            <v>15174011</v>
          </cell>
        </row>
        <row r="133">
          <cell r="A133" t="str">
            <v>Y</v>
          </cell>
          <cell r="Q133">
            <v>56693600</v>
          </cell>
          <cell r="R133">
            <v>430400000</v>
          </cell>
          <cell r="W133">
            <v>209</v>
          </cell>
          <cell r="AA133">
            <v>112442000</v>
          </cell>
          <cell r="AB133">
            <v>52941300</v>
          </cell>
          <cell r="AC133">
            <v>39713546</v>
          </cell>
        </row>
        <row r="134">
          <cell r="A134" t="str">
            <v>Y</v>
          </cell>
          <cell r="Q134">
            <v>18265380</v>
          </cell>
          <cell r="R134">
            <v>131852000</v>
          </cell>
          <cell r="W134">
            <v>116</v>
          </cell>
          <cell r="AA134">
            <v>27608000</v>
          </cell>
          <cell r="AB134">
            <v>12751700</v>
          </cell>
          <cell r="AC134">
            <v>9678826</v>
          </cell>
        </row>
        <row r="135">
          <cell r="A135" t="str">
            <v>Y</v>
          </cell>
          <cell r="Q135">
            <v>48520830</v>
          </cell>
          <cell r="R135">
            <v>389580000</v>
          </cell>
          <cell r="W135">
            <v>184</v>
          </cell>
          <cell r="AA135">
            <v>47472000</v>
          </cell>
          <cell r="AB135">
            <v>18473100</v>
          </cell>
          <cell r="AC135">
            <v>13919502</v>
          </cell>
        </row>
        <row r="136">
          <cell r="A136" t="str">
            <v>Y</v>
          </cell>
          <cell r="Q136">
            <v>8218760</v>
          </cell>
          <cell r="R136">
            <v>69520000</v>
          </cell>
          <cell r="W136">
            <v>192</v>
          </cell>
          <cell r="AA136">
            <v>30336000</v>
          </cell>
          <cell r="AB136">
            <v>14188200</v>
          </cell>
          <cell r="AC136">
            <v>10840025</v>
          </cell>
        </row>
        <row r="137">
          <cell r="A137" t="str">
            <v>Y</v>
          </cell>
          <cell r="Q137">
            <v>7019051</v>
          </cell>
          <cell r="R137">
            <v>63674000</v>
          </cell>
          <cell r="W137">
            <v>65</v>
          </cell>
          <cell r="AA137">
            <v>10270000</v>
          </cell>
          <cell r="AB137">
            <v>4823900</v>
          </cell>
          <cell r="AC137">
            <v>3775709</v>
          </cell>
        </row>
        <row r="138">
          <cell r="A138" t="str">
            <v>Y</v>
          </cell>
          <cell r="Q138">
            <v>8034400</v>
          </cell>
          <cell r="R138">
            <v>73870000</v>
          </cell>
          <cell r="W138">
            <v>72</v>
          </cell>
          <cell r="AA138">
            <v>12816000</v>
          </cell>
          <cell r="AB138">
            <v>6110100</v>
          </cell>
          <cell r="AC138">
            <v>4465925</v>
          </cell>
        </row>
        <row r="139">
          <cell r="A139" t="str">
            <v>Y</v>
          </cell>
          <cell r="Q139">
            <v>10386156</v>
          </cell>
          <cell r="R139">
            <v>90068000</v>
          </cell>
          <cell r="W139">
            <v>313</v>
          </cell>
          <cell r="AA139">
            <v>55714000</v>
          </cell>
          <cell r="AB139">
            <v>26931900</v>
          </cell>
          <cell r="AC139">
            <v>20165086</v>
          </cell>
        </row>
        <row r="140">
          <cell r="A140" t="str">
            <v>Y</v>
          </cell>
          <cell r="Q140">
            <v>21632060</v>
          </cell>
          <cell r="R140">
            <v>188696000</v>
          </cell>
          <cell r="W140">
            <v>123</v>
          </cell>
          <cell r="AA140">
            <v>56334000</v>
          </cell>
          <cell r="AB140">
            <v>26505900</v>
          </cell>
          <cell r="AC140">
            <v>19761899</v>
          </cell>
        </row>
        <row r="141">
          <cell r="A141" t="str">
            <v>Y</v>
          </cell>
          <cell r="Q141">
            <v>25357799</v>
          </cell>
          <cell r="R141">
            <v>217626000</v>
          </cell>
          <cell r="W141">
            <v>119</v>
          </cell>
          <cell r="AA141">
            <v>59262000</v>
          </cell>
          <cell r="AB141">
            <v>27877600</v>
          </cell>
          <cell r="AC141">
            <v>20626040</v>
          </cell>
        </row>
        <row r="142">
          <cell r="A142" t="str">
            <v>Y</v>
          </cell>
          <cell r="Q142">
            <v>57926670</v>
          </cell>
          <cell r="R142">
            <v>489164000</v>
          </cell>
          <cell r="W142">
            <v>154</v>
          </cell>
          <cell r="AA142">
            <v>92092000</v>
          </cell>
          <cell r="AB142">
            <v>41869600</v>
          </cell>
          <cell r="AC142">
            <v>31030519</v>
          </cell>
        </row>
        <row r="143">
          <cell r="A143" t="str">
            <v>Y</v>
          </cell>
          <cell r="Q143">
            <v>78144080</v>
          </cell>
          <cell r="R143">
            <v>635440000</v>
          </cell>
          <cell r="W143">
            <v>280</v>
          </cell>
          <cell r="AA143">
            <v>94640000</v>
          </cell>
          <cell r="AB143">
            <v>40294800</v>
          </cell>
          <cell r="AC143">
            <v>30717271</v>
          </cell>
        </row>
        <row r="144">
          <cell r="A144" t="str">
            <v>Y</v>
          </cell>
          <cell r="Q144">
            <v>40600658</v>
          </cell>
          <cell r="R144">
            <v>326876000</v>
          </cell>
          <cell r="W144">
            <v>571</v>
          </cell>
          <cell r="AA144">
            <v>238678000</v>
          </cell>
          <cell r="AB144">
            <v>112617900</v>
          </cell>
          <cell r="AC144">
            <v>84205757</v>
          </cell>
        </row>
        <row r="145">
          <cell r="A145" t="str">
            <v>Y</v>
          </cell>
          <cell r="Q145">
            <v>48099128</v>
          </cell>
          <cell r="R145">
            <v>393918000</v>
          </cell>
          <cell r="W145">
            <v>157</v>
          </cell>
          <cell r="AA145">
            <v>78186000</v>
          </cell>
          <cell r="AB145">
            <v>36054200</v>
          </cell>
          <cell r="AC145">
            <v>26762147</v>
          </cell>
        </row>
        <row r="146">
          <cell r="A146" t="str">
            <v>Y</v>
          </cell>
          <cell r="Q146">
            <v>71372873</v>
          </cell>
          <cell r="R146">
            <v>621082000</v>
          </cell>
          <cell r="W146">
            <v>116</v>
          </cell>
          <cell r="AA146">
            <v>60088000</v>
          </cell>
          <cell r="AB146">
            <v>26959600</v>
          </cell>
          <cell r="AC146">
            <v>19962555</v>
          </cell>
        </row>
        <row r="147">
          <cell r="A147" t="str">
            <v>Y</v>
          </cell>
          <cell r="Q147">
            <v>51168759</v>
          </cell>
          <cell r="R147">
            <v>429862000</v>
          </cell>
          <cell r="W147">
            <v>187</v>
          </cell>
          <cell r="AA147">
            <v>100606000</v>
          </cell>
          <cell r="AB147">
            <v>47109500</v>
          </cell>
          <cell r="AC147">
            <v>34817208</v>
          </cell>
        </row>
        <row r="148">
          <cell r="A148" t="str">
            <v>Y</v>
          </cell>
          <cell r="Q148">
            <v>42905744</v>
          </cell>
          <cell r="R148">
            <v>361192000</v>
          </cell>
          <cell r="W148">
            <v>169</v>
          </cell>
          <cell r="AA148">
            <v>101062000</v>
          </cell>
          <cell r="AB148">
            <v>46512250</v>
          </cell>
          <cell r="AC148">
            <v>34748591</v>
          </cell>
        </row>
        <row r="149">
          <cell r="A149" t="str">
            <v>Y</v>
          </cell>
          <cell r="Q149">
            <v>36295953</v>
          </cell>
          <cell r="R149">
            <v>303066000</v>
          </cell>
          <cell r="W149">
            <v>86</v>
          </cell>
          <cell r="AA149">
            <v>58308000</v>
          </cell>
          <cell r="AB149">
            <v>26864400</v>
          </cell>
          <cell r="AC149">
            <v>20338305</v>
          </cell>
        </row>
        <row r="150">
          <cell r="A150" t="str">
            <v>Y</v>
          </cell>
          <cell r="Q150">
            <v>76286887</v>
          </cell>
          <cell r="R150">
            <v>667702000</v>
          </cell>
          <cell r="W150">
            <v>257</v>
          </cell>
          <cell r="AA150">
            <v>133126000</v>
          </cell>
          <cell r="AB150">
            <v>61033550</v>
          </cell>
          <cell r="AC150">
            <v>46166447</v>
          </cell>
        </row>
        <row r="151">
          <cell r="A151" t="str">
            <v>Y</v>
          </cell>
          <cell r="Q151">
            <v>84823908</v>
          </cell>
          <cell r="R151">
            <v>626106000</v>
          </cell>
          <cell r="W151">
            <v>166</v>
          </cell>
          <cell r="AA151">
            <v>115868000</v>
          </cell>
          <cell r="AB151">
            <v>52200000</v>
          </cell>
          <cell r="AC151">
            <v>39497377</v>
          </cell>
        </row>
        <row r="152">
          <cell r="A152" t="str">
            <v>Y</v>
          </cell>
          <cell r="Q152">
            <v>98539448</v>
          </cell>
          <cell r="R152">
            <v>956536000</v>
          </cell>
          <cell r="W152">
            <v>81</v>
          </cell>
          <cell r="AA152">
            <v>95418000</v>
          </cell>
          <cell r="AB152">
            <v>40834100</v>
          </cell>
          <cell r="AC152">
            <v>30751717</v>
          </cell>
        </row>
        <row r="153">
          <cell r="A153" t="str">
            <v>Y</v>
          </cell>
          <cell r="Q153">
            <v>64771200</v>
          </cell>
          <cell r="R153">
            <v>478400000</v>
          </cell>
          <cell r="W153">
            <v>212</v>
          </cell>
          <cell r="AA153">
            <v>126776000</v>
          </cell>
          <cell r="AB153">
            <v>53949750</v>
          </cell>
          <cell r="AC153">
            <v>43942923</v>
          </cell>
        </row>
        <row r="154">
          <cell r="A154" t="str">
            <v>Y</v>
          </cell>
          <cell r="Q154">
            <v>59044335</v>
          </cell>
          <cell r="R154">
            <v>561890000</v>
          </cell>
          <cell r="W154">
            <v>83</v>
          </cell>
          <cell r="AA154">
            <v>57934000</v>
          </cell>
          <cell r="AB154">
            <v>24985800</v>
          </cell>
          <cell r="AC154">
            <v>18702398</v>
          </cell>
        </row>
        <row r="155">
          <cell r="A155" t="str">
            <v>Y</v>
          </cell>
          <cell r="Q155">
            <v>29398508</v>
          </cell>
          <cell r="R155">
            <v>272918000</v>
          </cell>
          <cell r="W155">
            <v>115</v>
          </cell>
          <cell r="AA155">
            <v>80270000</v>
          </cell>
          <cell r="AB155">
            <v>36036600</v>
          </cell>
          <cell r="AC155">
            <v>27122012</v>
          </cell>
        </row>
        <row r="156">
          <cell r="A156" t="str">
            <v>Y</v>
          </cell>
          <cell r="Q156">
            <v>66869974</v>
          </cell>
          <cell r="R156">
            <v>488102000</v>
          </cell>
          <cell r="W156">
            <v>783</v>
          </cell>
          <cell r="AA156">
            <v>170694000</v>
          </cell>
          <cell r="AB156">
            <v>75106650</v>
          </cell>
          <cell r="AC156">
            <v>56795825</v>
          </cell>
        </row>
        <row r="157">
          <cell r="A157" t="str">
            <v>Y</v>
          </cell>
          <cell r="Q157">
            <v>31638932</v>
          </cell>
          <cell r="R157">
            <v>247736000</v>
          </cell>
          <cell r="W157">
            <v>217</v>
          </cell>
          <cell r="AA157">
            <v>77686000</v>
          </cell>
          <cell r="AB157">
            <v>34454280</v>
          </cell>
          <cell r="AC157">
            <v>26174740</v>
          </cell>
        </row>
        <row r="158">
          <cell r="A158" t="str">
            <v>Y</v>
          </cell>
          <cell r="Q158">
            <v>28428840</v>
          </cell>
          <cell r="R158">
            <v>235224000</v>
          </cell>
          <cell r="W158">
            <v>365</v>
          </cell>
          <cell r="AA158">
            <v>72270000</v>
          </cell>
          <cell r="AB158">
            <v>31004950</v>
          </cell>
          <cell r="AC158">
            <v>23686167</v>
          </cell>
        </row>
        <row r="159">
          <cell r="A159" t="str">
            <v>Y</v>
          </cell>
          <cell r="Q159">
            <v>44962456</v>
          </cell>
          <cell r="R159">
            <v>468496000</v>
          </cell>
          <cell r="W159">
            <v>350</v>
          </cell>
          <cell r="AA159">
            <v>62300000</v>
          </cell>
          <cell r="AB159">
            <v>29301770</v>
          </cell>
          <cell r="AC159">
            <v>22114710</v>
          </cell>
        </row>
        <row r="160">
          <cell r="A160" t="str">
            <v>Y</v>
          </cell>
          <cell r="Q160">
            <v>27943580</v>
          </cell>
          <cell r="R160">
            <v>256710000</v>
          </cell>
          <cell r="W160">
            <v>300</v>
          </cell>
          <cell r="AA160">
            <v>77400000</v>
          </cell>
          <cell r="AB160">
            <v>36090300</v>
          </cell>
          <cell r="AC160">
            <v>26791301</v>
          </cell>
        </row>
        <row r="161">
          <cell r="A161" t="str">
            <v>Y</v>
          </cell>
          <cell r="Q161">
            <v>26813486</v>
          </cell>
          <cell r="R161">
            <v>232468000</v>
          </cell>
          <cell r="W161">
            <v>217</v>
          </cell>
          <cell r="AA161">
            <v>38626000</v>
          </cell>
          <cell r="AB161">
            <v>18369800</v>
          </cell>
          <cell r="AC161">
            <v>13807727</v>
          </cell>
        </row>
        <row r="162">
          <cell r="A162" t="str">
            <v>Y</v>
          </cell>
          <cell r="Q162">
            <v>42452361</v>
          </cell>
          <cell r="R162">
            <v>386694000</v>
          </cell>
          <cell r="W162">
            <v>222</v>
          </cell>
          <cell r="AA162">
            <v>43956000</v>
          </cell>
          <cell r="AB162">
            <v>19405500</v>
          </cell>
          <cell r="AC162">
            <v>14655826</v>
          </cell>
        </row>
        <row r="163">
          <cell r="A163" t="str">
            <v>Y</v>
          </cell>
          <cell r="Q163">
            <v>38322664</v>
          </cell>
          <cell r="R163">
            <v>367984000</v>
          </cell>
          <cell r="W163">
            <v>317</v>
          </cell>
          <cell r="AA163">
            <v>69106000</v>
          </cell>
          <cell r="AB163">
            <v>32387680</v>
          </cell>
          <cell r="AC163">
            <v>24152318</v>
          </cell>
        </row>
        <row r="164">
          <cell r="A164" t="str">
            <v>Y</v>
          </cell>
          <cell r="Q164">
            <v>44558100</v>
          </cell>
          <cell r="R164">
            <v>417960000</v>
          </cell>
          <cell r="W164">
            <v>429</v>
          </cell>
          <cell r="AA164">
            <v>110682000</v>
          </cell>
          <cell r="AB164">
            <v>51360600</v>
          </cell>
          <cell r="AC164">
            <v>38065772</v>
          </cell>
        </row>
        <row r="165">
          <cell r="A165" t="str">
            <v>Y</v>
          </cell>
          <cell r="Q165">
            <v>30775140</v>
          </cell>
          <cell r="R165">
            <v>297672000</v>
          </cell>
          <cell r="W165">
            <v>416</v>
          </cell>
          <cell r="AA165">
            <v>65728000</v>
          </cell>
          <cell r="AB165">
            <v>31392665</v>
          </cell>
          <cell r="AC165">
            <v>23767628</v>
          </cell>
        </row>
        <row r="166">
          <cell r="A166" t="str">
            <v>Y</v>
          </cell>
          <cell r="Q166">
            <v>26506590</v>
          </cell>
          <cell r="R166">
            <v>279180000</v>
          </cell>
          <cell r="W166">
            <v>784</v>
          </cell>
          <cell r="AA166">
            <v>155232000</v>
          </cell>
          <cell r="AB166">
            <v>73311800</v>
          </cell>
          <cell r="AC166">
            <v>55758681</v>
          </cell>
        </row>
        <row r="167">
          <cell r="A167" t="str">
            <v>Y</v>
          </cell>
          <cell r="Q167">
            <v>35011863</v>
          </cell>
          <cell r="R167">
            <v>318978000</v>
          </cell>
          <cell r="W167">
            <v>237</v>
          </cell>
          <cell r="AA167">
            <v>46926000</v>
          </cell>
          <cell r="AB167">
            <v>22135600</v>
          </cell>
          <cell r="AC167">
            <v>16818071</v>
          </cell>
        </row>
        <row r="168">
          <cell r="A168" t="str">
            <v>Y</v>
          </cell>
          <cell r="Q168">
            <v>39602651</v>
          </cell>
          <cell r="R168">
            <v>353378000</v>
          </cell>
          <cell r="W168">
            <v>464</v>
          </cell>
          <cell r="AA168">
            <v>101152000</v>
          </cell>
          <cell r="AB168">
            <v>47032795</v>
          </cell>
          <cell r="AC168">
            <v>35113162</v>
          </cell>
        </row>
        <row r="169">
          <cell r="A169" t="str">
            <v>Y</v>
          </cell>
          <cell r="Q169">
            <v>25375616</v>
          </cell>
          <cell r="R169">
            <v>212296000</v>
          </cell>
          <cell r="W169">
            <v>410</v>
          </cell>
          <cell r="AA169">
            <v>97580000</v>
          </cell>
          <cell r="AB169">
            <v>45754630</v>
          </cell>
          <cell r="AC169">
            <v>34253554</v>
          </cell>
        </row>
        <row r="170">
          <cell r="A170" t="str">
            <v>Y</v>
          </cell>
          <cell r="Q170">
            <v>21458433</v>
          </cell>
          <cell r="R170">
            <v>172002000</v>
          </cell>
          <cell r="W170">
            <v>380</v>
          </cell>
          <cell r="AA170">
            <v>82840000</v>
          </cell>
          <cell r="AB170">
            <v>38964400</v>
          </cell>
          <cell r="AC170">
            <v>29174068</v>
          </cell>
        </row>
        <row r="171">
          <cell r="A171" t="str">
            <v>Y</v>
          </cell>
          <cell r="Q171">
            <v>27681750</v>
          </cell>
          <cell r="R171">
            <v>265500000</v>
          </cell>
          <cell r="W171">
            <v>1451</v>
          </cell>
          <cell r="AA171">
            <v>171218000</v>
          </cell>
          <cell r="AB171">
            <v>81674832</v>
          </cell>
          <cell r="AC171">
            <v>62946565</v>
          </cell>
        </row>
        <row r="172">
          <cell r="A172" t="str">
            <v>Y</v>
          </cell>
          <cell r="Q172">
            <v>36542904</v>
          </cell>
          <cell r="R172">
            <v>326096000</v>
          </cell>
          <cell r="W172">
            <v>803</v>
          </cell>
          <cell r="AA172">
            <v>142934000</v>
          </cell>
          <cell r="AB172">
            <v>67993060</v>
          </cell>
          <cell r="AC172">
            <v>50919282</v>
          </cell>
        </row>
        <row r="173">
          <cell r="A173" t="str">
            <v>Y</v>
          </cell>
          <cell r="Q173">
            <v>24970162</v>
          </cell>
          <cell r="R173">
            <v>233366000</v>
          </cell>
          <cell r="W173">
            <v>229</v>
          </cell>
          <cell r="AA173">
            <v>36182000</v>
          </cell>
          <cell r="AB173">
            <v>16726500</v>
          </cell>
          <cell r="AC173">
            <v>12880396</v>
          </cell>
        </row>
        <row r="174">
          <cell r="A174" t="str">
            <v>Y</v>
          </cell>
          <cell r="Q174">
            <v>16067492</v>
          </cell>
          <cell r="R174">
            <v>170168000</v>
          </cell>
          <cell r="W174">
            <v>71</v>
          </cell>
          <cell r="AA174">
            <v>12638000</v>
          </cell>
          <cell r="AB174">
            <v>5849900</v>
          </cell>
          <cell r="AC174">
            <v>4400629</v>
          </cell>
        </row>
        <row r="175">
          <cell r="A175" t="str">
            <v>Y</v>
          </cell>
          <cell r="Q175">
            <v>19445699</v>
          </cell>
          <cell r="R175">
            <v>205946000</v>
          </cell>
          <cell r="W175">
            <v>196</v>
          </cell>
          <cell r="AA175">
            <v>34888000</v>
          </cell>
          <cell r="AB175">
            <v>16226700</v>
          </cell>
          <cell r="AC175">
            <v>12000859</v>
          </cell>
        </row>
        <row r="176">
          <cell r="A176" t="str">
            <v>Y</v>
          </cell>
          <cell r="Q176">
            <v>37581840</v>
          </cell>
          <cell r="R176">
            <v>298704000</v>
          </cell>
          <cell r="W176">
            <v>780</v>
          </cell>
          <cell r="AA176">
            <v>76440000</v>
          </cell>
          <cell r="AB176">
            <v>37040020</v>
          </cell>
          <cell r="AC176">
            <v>28339837</v>
          </cell>
        </row>
        <row r="177">
          <cell r="A177" t="str">
            <v>Y</v>
          </cell>
          <cell r="Q177">
            <v>31917956</v>
          </cell>
          <cell r="R177">
            <v>270468000</v>
          </cell>
          <cell r="W177">
            <v>68</v>
          </cell>
          <cell r="AA177">
            <v>13464000</v>
          </cell>
          <cell r="AB177">
            <v>6394900</v>
          </cell>
          <cell r="AC177">
            <v>4838130</v>
          </cell>
        </row>
        <row r="178">
          <cell r="A178" t="str">
            <v>Y</v>
          </cell>
          <cell r="Q178">
            <v>12796652</v>
          </cell>
          <cell r="R178">
            <v>115368000</v>
          </cell>
          <cell r="W178">
            <v>109</v>
          </cell>
          <cell r="AA178">
            <v>15042000</v>
          </cell>
          <cell r="AB178">
            <v>5822175</v>
          </cell>
          <cell r="AC178">
            <v>4502363</v>
          </cell>
        </row>
        <row r="179">
          <cell r="A179" t="str">
            <v>Y</v>
          </cell>
          <cell r="Q179">
            <v>12877769</v>
          </cell>
          <cell r="R179">
            <v>105386000</v>
          </cell>
          <cell r="W179">
            <v>77</v>
          </cell>
          <cell r="AA179">
            <v>12166000</v>
          </cell>
          <cell r="AB179">
            <v>5367600</v>
          </cell>
          <cell r="AC179">
            <v>4155056</v>
          </cell>
        </row>
        <row r="180">
          <cell r="A180" t="str">
            <v>Y</v>
          </cell>
          <cell r="Q180">
            <v>35714736</v>
          </cell>
          <cell r="R180">
            <v>313102000</v>
          </cell>
          <cell r="W180">
            <v>402</v>
          </cell>
          <cell r="AA180">
            <v>71556000</v>
          </cell>
          <cell r="AB180">
            <v>33170500</v>
          </cell>
          <cell r="AC180">
            <v>25406660</v>
          </cell>
        </row>
        <row r="181">
          <cell r="A181" t="str">
            <v>Y</v>
          </cell>
          <cell r="Q181">
            <v>25049607</v>
          </cell>
          <cell r="R181">
            <v>276606000</v>
          </cell>
          <cell r="W181">
            <v>175</v>
          </cell>
          <cell r="AA181">
            <v>34650000</v>
          </cell>
          <cell r="AB181">
            <v>16019400</v>
          </cell>
          <cell r="AC181">
            <v>12265973</v>
          </cell>
        </row>
        <row r="182">
          <cell r="A182" t="str">
            <v>Y</v>
          </cell>
          <cell r="Q182">
            <v>16249343</v>
          </cell>
          <cell r="R182">
            <v>189926000</v>
          </cell>
          <cell r="W182">
            <v>91</v>
          </cell>
          <cell r="AA182">
            <v>16198000</v>
          </cell>
          <cell r="AB182">
            <v>7406500</v>
          </cell>
          <cell r="AC182">
            <v>5583491</v>
          </cell>
        </row>
        <row r="183">
          <cell r="A183" t="str">
            <v>Y</v>
          </cell>
          <cell r="Q183">
            <v>20711505</v>
          </cell>
          <cell r="R183">
            <v>168774000</v>
          </cell>
          <cell r="W183">
            <v>234</v>
          </cell>
          <cell r="AA183">
            <v>32292000</v>
          </cell>
          <cell r="AB183">
            <v>15368950</v>
          </cell>
          <cell r="AC183">
            <v>11495155</v>
          </cell>
        </row>
        <row r="184">
          <cell r="A184" t="str">
            <v>Y</v>
          </cell>
          <cell r="Q184">
            <v>9935973</v>
          </cell>
          <cell r="R184">
            <v>90882000</v>
          </cell>
          <cell r="W184">
            <v>95</v>
          </cell>
          <cell r="AA184">
            <v>18810000</v>
          </cell>
          <cell r="AB184">
            <v>8833880</v>
          </cell>
          <cell r="AC184">
            <v>6596478</v>
          </cell>
        </row>
        <row r="185">
          <cell r="A185" t="str">
            <v>Y</v>
          </cell>
          <cell r="Q185">
            <v>39569058</v>
          </cell>
          <cell r="R185">
            <v>340366000</v>
          </cell>
          <cell r="W185">
            <v>112</v>
          </cell>
          <cell r="AA185">
            <v>37856000</v>
          </cell>
          <cell r="AB185">
            <v>17147500</v>
          </cell>
          <cell r="AC185">
            <v>12855001</v>
          </cell>
        </row>
        <row r="186">
          <cell r="A186" t="str">
            <v>Y</v>
          </cell>
          <cell r="Q186">
            <v>35155200</v>
          </cell>
          <cell r="R186">
            <v>270400000</v>
          </cell>
          <cell r="W186">
            <v>139</v>
          </cell>
          <cell r="AA186">
            <v>46982000</v>
          </cell>
          <cell r="AB186">
            <v>22245600</v>
          </cell>
          <cell r="AC186">
            <v>16305965</v>
          </cell>
        </row>
        <row r="187">
          <cell r="A187" t="str">
            <v>Y</v>
          </cell>
          <cell r="Q187">
            <v>31719330</v>
          </cell>
          <cell r="R187">
            <v>232290000</v>
          </cell>
          <cell r="W187">
            <v>226</v>
          </cell>
          <cell r="AA187">
            <v>40228000</v>
          </cell>
          <cell r="AB187">
            <v>18642200</v>
          </cell>
          <cell r="AC187">
            <v>13808136</v>
          </cell>
        </row>
        <row r="188">
          <cell r="A188" t="str">
            <v>Y</v>
          </cell>
          <cell r="Q188">
            <v>28851222</v>
          </cell>
          <cell r="R188">
            <v>211286000</v>
          </cell>
          <cell r="W188">
            <v>90</v>
          </cell>
          <cell r="AA188">
            <v>16020000</v>
          </cell>
          <cell r="AB188">
            <v>7234300</v>
          </cell>
          <cell r="AC188">
            <v>5420411</v>
          </cell>
        </row>
        <row r="189">
          <cell r="A189" t="str">
            <v>Y</v>
          </cell>
          <cell r="Q189">
            <v>14818926</v>
          </cell>
          <cell r="R189">
            <v>91868000</v>
          </cell>
          <cell r="W189">
            <v>236</v>
          </cell>
          <cell r="AA189">
            <v>56168000</v>
          </cell>
          <cell r="AB189">
            <v>26565500</v>
          </cell>
          <cell r="AC189">
            <v>19745968</v>
          </cell>
        </row>
        <row r="190">
          <cell r="A190" t="str">
            <v>Y</v>
          </cell>
          <cell r="Q190">
            <v>23702393</v>
          </cell>
          <cell r="R190">
            <v>180774000</v>
          </cell>
          <cell r="W190">
            <v>128</v>
          </cell>
          <cell r="AA190">
            <v>25344000</v>
          </cell>
          <cell r="AB190">
            <v>11456400</v>
          </cell>
          <cell r="AC190">
            <v>8564608</v>
          </cell>
        </row>
        <row r="191">
          <cell r="A191" t="str">
            <v>Y</v>
          </cell>
          <cell r="Q191">
            <v>14569482</v>
          </cell>
          <cell r="R191">
            <v>115068000</v>
          </cell>
          <cell r="W191">
            <v>47</v>
          </cell>
          <cell r="AA191">
            <v>12126000</v>
          </cell>
          <cell r="AB191">
            <v>5166600</v>
          </cell>
          <cell r="AC191">
            <v>3785241</v>
          </cell>
        </row>
        <row r="192">
          <cell r="A192" t="str">
            <v>Y</v>
          </cell>
          <cell r="Q192">
            <v>16953534</v>
          </cell>
          <cell r="R192">
            <v>136422000</v>
          </cell>
          <cell r="W192">
            <v>84</v>
          </cell>
          <cell r="AA192">
            <v>16632000</v>
          </cell>
          <cell r="AB192">
            <v>7667500</v>
          </cell>
          <cell r="AC192">
            <v>5718833</v>
          </cell>
        </row>
        <row r="193">
          <cell r="A193" t="str">
            <v>Y</v>
          </cell>
          <cell r="Q193">
            <v>19401390</v>
          </cell>
          <cell r="R193">
            <v>142990000</v>
          </cell>
          <cell r="W193">
            <v>103</v>
          </cell>
          <cell r="AA193">
            <v>16274000</v>
          </cell>
          <cell r="AB193">
            <v>7191600</v>
          </cell>
          <cell r="AC193">
            <v>5325032</v>
          </cell>
        </row>
        <row r="194">
          <cell r="A194" t="str">
            <v>Y</v>
          </cell>
          <cell r="Q194">
            <v>26964420</v>
          </cell>
          <cell r="R194">
            <v>212114000</v>
          </cell>
          <cell r="W194">
            <v>85</v>
          </cell>
          <cell r="AA194">
            <v>23630000</v>
          </cell>
          <cell r="AB194">
            <v>11025300</v>
          </cell>
          <cell r="AC194">
            <v>8277482</v>
          </cell>
        </row>
        <row r="195">
          <cell r="A195" t="str">
            <v>Y</v>
          </cell>
          <cell r="Q195">
            <v>25255388</v>
          </cell>
          <cell r="R195">
            <v>197604000</v>
          </cell>
          <cell r="W195">
            <v>92</v>
          </cell>
          <cell r="AA195">
            <v>18216000</v>
          </cell>
          <cell r="AB195">
            <v>8519760</v>
          </cell>
          <cell r="AC195">
            <v>6336782</v>
          </cell>
        </row>
        <row r="196">
          <cell r="A196" t="str">
            <v>Y</v>
          </cell>
          <cell r="Q196">
            <v>38965680</v>
          </cell>
          <cell r="R196">
            <v>327888000</v>
          </cell>
          <cell r="W196">
            <v>229</v>
          </cell>
          <cell r="AA196">
            <v>45342000</v>
          </cell>
          <cell r="AB196">
            <v>21096200</v>
          </cell>
          <cell r="AC196">
            <v>15782173</v>
          </cell>
        </row>
        <row r="197">
          <cell r="A197" t="str">
            <v>Y</v>
          </cell>
          <cell r="Q197">
            <v>43449948</v>
          </cell>
          <cell r="R197">
            <v>342468000</v>
          </cell>
          <cell r="W197">
            <v>108</v>
          </cell>
          <cell r="AA197">
            <v>40824000</v>
          </cell>
          <cell r="AB197">
            <v>18468930</v>
          </cell>
          <cell r="AC197">
            <v>13806170</v>
          </cell>
        </row>
        <row r="198">
          <cell r="A198" t="str">
            <v>Y</v>
          </cell>
          <cell r="Q198">
            <v>21710702</v>
          </cell>
          <cell r="R198">
            <v>182546000</v>
          </cell>
          <cell r="W198">
            <v>67</v>
          </cell>
          <cell r="AA198">
            <v>15946000</v>
          </cell>
          <cell r="AB198">
            <v>7657800</v>
          </cell>
          <cell r="AC198">
            <v>5731610</v>
          </cell>
        </row>
        <row r="199">
          <cell r="A199" t="str">
            <v>Y</v>
          </cell>
          <cell r="Q199">
            <v>14703753</v>
          </cell>
          <cell r="R199">
            <v>98814000</v>
          </cell>
          <cell r="W199">
            <v>137</v>
          </cell>
          <cell r="AA199">
            <v>35346000</v>
          </cell>
          <cell r="AB199">
            <v>16942500</v>
          </cell>
          <cell r="AC199">
            <v>12598205</v>
          </cell>
        </row>
        <row r="200">
          <cell r="A200" t="str">
            <v>Y</v>
          </cell>
          <cell r="Q200">
            <v>31488928</v>
          </cell>
          <cell r="R200">
            <v>241984000</v>
          </cell>
          <cell r="W200">
            <v>119</v>
          </cell>
          <cell r="AA200">
            <v>47362000</v>
          </cell>
          <cell r="AB200">
            <v>22207700</v>
          </cell>
          <cell r="AC200">
            <v>16557895</v>
          </cell>
        </row>
        <row r="201">
          <cell r="A201" t="str">
            <v>Y</v>
          </cell>
          <cell r="Q201">
            <v>22745985</v>
          </cell>
          <cell r="R201">
            <v>162870000</v>
          </cell>
          <cell r="W201">
            <v>31</v>
          </cell>
          <cell r="AA201">
            <v>5518000</v>
          </cell>
          <cell r="AB201">
            <v>2505500</v>
          </cell>
          <cell r="AC201">
            <v>1886298</v>
          </cell>
        </row>
        <row r="202">
          <cell r="A202" t="str">
            <v>Y</v>
          </cell>
          <cell r="Q202">
            <v>84480480</v>
          </cell>
          <cell r="R202">
            <v>705744000</v>
          </cell>
          <cell r="W202">
            <v>721</v>
          </cell>
          <cell r="AA202">
            <v>243698000</v>
          </cell>
          <cell r="AB202">
            <v>114139446</v>
          </cell>
          <cell r="AC202">
            <v>85075553</v>
          </cell>
        </row>
        <row r="203">
          <cell r="A203" t="str">
            <v>Y</v>
          </cell>
          <cell r="Q203">
            <v>45584650</v>
          </cell>
          <cell r="R203">
            <v>389300000</v>
          </cell>
          <cell r="W203">
            <v>282</v>
          </cell>
          <cell r="AA203">
            <v>129156000</v>
          </cell>
          <cell r="AB203">
            <v>60637200</v>
          </cell>
          <cell r="AC203">
            <v>45098802</v>
          </cell>
        </row>
        <row r="204">
          <cell r="A204" t="str">
            <v>Y</v>
          </cell>
          <cell r="Q204">
            <v>51439431</v>
          </cell>
          <cell r="R204">
            <v>409446000</v>
          </cell>
          <cell r="W204">
            <v>344</v>
          </cell>
          <cell r="AA204">
            <v>88752000</v>
          </cell>
          <cell r="AB204">
            <v>39314030</v>
          </cell>
          <cell r="AC204">
            <v>29403647</v>
          </cell>
        </row>
        <row r="205">
          <cell r="A205" t="str">
            <v>Y</v>
          </cell>
          <cell r="Q205">
            <v>115181888</v>
          </cell>
          <cell r="R205">
            <v>895104000</v>
          </cell>
          <cell r="W205">
            <v>601</v>
          </cell>
          <cell r="AA205">
            <v>227178000</v>
          </cell>
          <cell r="AB205">
            <v>101828639</v>
          </cell>
          <cell r="AC205">
            <v>75966491</v>
          </cell>
        </row>
        <row r="206">
          <cell r="A206" t="str">
            <v>Y</v>
          </cell>
          <cell r="Q206">
            <v>112154900</v>
          </cell>
          <cell r="R206">
            <v>868780000</v>
          </cell>
          <cell r="W206">
            <v>550</v>
          </cell>
          <cell r="AA206">
            <v>394900000</v>
          </cell>
          <cell r="AB206">
            <v>180664030</v>
          </cell>
          <cell r="AC206">
            <v>134503834</v>
          </cell>
        </row>
        <row r="207">
          <cell r="A207" t="str">
            <v>Y</v>
          </cell>
          <cell r="Q207">
            <v>54272108</v>
          </cell>
          <cell r="R207">
            <v>445324000</v>
          </cell>
          <cell r="W207">
            <v>35</v>
          </cell>
          <cell r="AA207">
            <v>24430000</v>
          </cell>
          <cell r="AB207">
            <v>10551400</v>
          </cell>
          <cell r="AC207">
            <v>7862185</v>
          </cell>
        </row>
        <row r="208">
          <cell r="A208" t="str">
            <v>Y</v>
          </cell>
          <cell r="Q208">
            <v>56557567</v>
          </cell>
          <cell r="R208">
            <v>410338000</v>
          </cell>
          <cell r="W208">
            <v>155</v>
          </cell>
          <cell r="AA208">
            <v>61690000</v>
          </cell>
          <cell r="AB208">
            <v>28597100</v>
          </cell>
          <cell r="AC208">
            <v>21359005</v>
          </cell>
        </row>
        <row r="209">
          <cell r="A209" t="str">
            <v>Y</v>
          </cell>
          <cell r="Q209">
            <v>101920546</v>
          </cell>
          <cell r="R209">
            <v>823942000</v>
          </cell>
          <cell r="W209">
            <v>402</v>
          </cell>
          <cell r="AA209">
            <v>184116000</v>
          </cell>
          <cell r="AB209">
            <v>81365070</v>
          </cell>
          <cell r="AC209">
            <v>63825298</v>
          </cell>
        </row>
        <row r="210">
          <cell r="A210" t="str">
            <v>Y</v>
          </cell>
          <cell r="Q210">
            <v>102994668</v>
          </cell>
          <cell r="R210">
            <v>835506000</v>
          </cell>
          <cell r="W210">
            <v>179</v>
          </cell>
          <cell r="AA210">
            <v>124942000</v>
          </cell>
          <cell r="AB210">
            <v>56828580</v>
          </cell>
          <cell r="AC210">
            <v>42003652</v>
          </cell>
        </row>
        <row r="211">
          <cell r="A211" t="str">
            <v>Y</v>
          </cell>
          <cell r="Q211">
            <v>163327815</v>
          </cell>
          <cell r="R211">
            <v>1286334000</v>
          </cell>
          <cell r="W211">
            <v>324</v>
          </cell>
          <cell r="AA211">
            <v>239112000</v>
          </cell>
          <cell r="AB211">
            <v>107996800</v>
          </cell>
          <cell r="AC211">
            <v>80398540</v>
          </cell>
        </row>
        <row r="212">
          <cell r="A212" t="str">
            <v>Y</v>
          </cell>
          <cell r="Q212">
            <v>81228220</v>
          </cell>
          <cell r="R212">
            <v>674920000</v>
          </cell>
          <cell r="W212">
            <v>235</v>
          </cell>
          <cell r="AA212">
            <v>168730000</v>
          </cell>
          <cell r="AB212">
            <v>76322900</v>
          </cell>
          <cell r="AC212">
            <v>57044562</v>
          </cell>
        </row>
        <row r="213">
          <cell r="A213" t="str">
            <v>Y</v>
          </cell>
          <cell r="Q213">
            <v>52299204</v>
          </cell>
          <cell r="R213">
            <v>398712000</v>
          </cell>
          <cell r="W213">
            <v>108</v>
          </cell>
          <cell r="AA213">
            <v>96984000</v>
          </cell>
          <cell r="AB213">
            <v>44595500</v>
          </cell>
          <cell r="AC213">
            <v>33371252</v>
          </cell>
        </row>
        <row r="214">
          <cell r="A214" t="str">
            <v>Y</v>
          </cell>
          <cell r="Q214">
            <v>57183812</v>
          </cell>
          <cell r="R214">
            <v>453628000</v>
          </cell>
          <cell r="W214">
            <v>893</v>
          </cell>
          <cell r="AA214">
            <v>212534000</v>
          </cell>
          <cell r="AB214">
            <v>92870403</v>
          </cell>
          <cell r="AC214">
            <v>69650610</v>
          </cell>
        </row>
        <row r="215">
          <cell r="A215" t="str">
            <v>Y</v>
          </cell>
          <cell r="Q215">
            <v>77369478</v>
          </cell>
          <cell r="R215">
            <v>585766000</v>
          </cell>
          <cell r="W215">
            <v>552</v>
          </cell>
          <cell r="AA215">
            <v>120336000</v>
          </cell>
          <cell r="AB215">
            <v>51849842</v>
          </cell>
          <cell r="AC215">
            <v>38764900</v>
          </cell>
        </row>
        <row r="216">
          <cell r="A216" t="str">
            <v>Y</v>
          </cell>
          <cell r="Q216">
            <v>48035288</v>
          </cell>
          <cell r="R216">
            <v>402992000</v>
          </cell>
          <cell r="W216">
            <v>345</v>
          </cell>
          <cell r="AA216">
            <v>61410000</v>
          </cell>
          <cell r="AB216">
            <v>27441230</v>
          </cell>
          <cell r="AC216">
            <v>20828225</v>
          </cell>
        </row>
        <row r="217">
          <cell r="A217" t="str">
            <v>Y</v>
          </cell>
          <cell r="Q217">
            <v>32949174</v>
          </cell>
          <cell r="R217">
            <v>288932000</v>
          </cell>
          <cell r="W217">
            <v>606</v>
          </cell>
          <cell r="AA217">
            <v>144228000</v>
          </cell>
          <cell r="AB217">
            <v>67243800</v>
          </cell>
          <cell r="AC217">
            <v>50533053</v>
          </cell>
        </row>
        <row r="218">
          <cell r="A218" t="str">
            <v>Y</v>
          </cell>
          <cell r="Q218">
            <v>33739992</v>
          </cell>
          <cell r="R218">
            <v>298584000</v>
          </cell>
          <cell r="W218">
            <v>273</v>
          </cell>
          <cell r="AA218">
            <v>54054000</v>
          </cell>
          <cell r="AB218">
            <v>25408605</v>
          </cell>
          <cell r="AC218">
            <v>19064405</v>
          </cell>
        </row>
        <row r="219">
          <cell r="A219" t="str">
            <v>Y</v>
          </cell>
          <cell r="Q219">
            <v>31354230</v>
          </cell>
          <cell r="R219">
            <v>260610000</v>
          </cell>
          <cell r="W219">
            <v>147</v>
          </cell>
          <cell r="AA219">
            <v>34986000</v>
          </cell>
          <cell r="AB219">
            <v>15390400</v>
          </cell>
          <cell r="AC219">
            <v>11343251</v>
          </cell>
        </row>
        <row r="220">
          <cell r="A220" t="str">
            <v>Y</v>
          </cell>
          <cell r="Q220">
            <v>16867165</v>
          </cell>
          <cell r="R220">
            <v>159390000</v>
          </cell>
          <cell r="W220">
            <v>255</v>
          </cell>
          <cell r="AA220">
            <v>50490000</v>
          </cell>
          <cell r="AB220">
            <v>23628920</v>
          </cell>
          <cell r="AC220">
            <v>17586932</v>
          </cell>
        </row>
        <row r="221">
          <cell r="A221" t="str">
            <v>Y</v>
          </cell>
          <cell r="Q221">
            <v>47189793</v>
          </cell>
          <cell r="R221">
            <v>456778000</v>
          </cell>
          <cell r="W221">
            <v>208</v>
          </cell>
          <cell r="AA221">
            <v>32864000</v>
          </cell>
          <cell r="AB221">
            <v>15380900</v>
          </cell>
          <cell r="AC221">
            <v>11696108</v>
          </cell>
        </row>
        <row r="222">
          <cell r="A222" t="str">
            <v>Y</v>
          </cell>
          <cell r="Q222">
            <v>37802632</v>
          </cell>
          <cell r="R222">
            <v>402222000</v>
          </cell>
          <cell r="W222">
            <v>574</v>
          </cell>
          <cell r="AA222">
            <v>148092000</v>
          </cell>
          <cell r="AB222">
            <v>69362903</v>
          </cell>
          <cell r="AC222">
            <v>51842299</v>
          </cell>
        </row>
        <row r="223">
          <cell r="A223" t="str">
            <v>Y</v>
          </cell>
          <cell r="Q223">
            <v>34710222</v>
          </cell>
          <cell r="R223">
            <v>321948000</v>
          </cell>
          <cell r="W223">
            <v>255</v>
          </cell>
          <cell r="AA223">
            <v>50490000</v>
          </cell>
          <cell r="AB223">
            <v>23618100</v>
          </cell>
          <cell r="AC223">
            <v>17658214</v>
          </cell>
        </row>
        <row r="224">
          <cell r="A224" t="str">
            <v>Y</v>
          </cell>
          <cell r="Q224">
            <v>32791544</v>
          </cell>
          <cell r="R224">
            <v>347688000</v>
          </cell>
          <cell r="W224">
            <v>296</v>
          </cell>
          <cell r="AA224">
            <v>58608000</v>
          </cell>
          <cell r="AB224">
            <v>27707600</v>
          </cell>
          <cell r="AC224">
            <v>20752578</v>
          </cell>
        </row>
        <row r="225">
          <cell r="A225" t="str">
            <v>Y</v>
          </cell>
          <cell r="Q225">
            <v>21217881</v>
          </cell>
          <cell r="R225">
            <v>172074000</v>
          </cell>
          <cell r="W225">
            <v>121</v>
          </cell>
          <cell r="AA225">
            <v>28798000</v>
          </cell>
          <cell r="AB225">
            <v>13362680</v>
          </cell>
          <cell r="AC225">
            <v>10129918</v>
          </cell>
        </row>
        <row r="226">
          <cell r="A226" t="str">
            <v>Y</v>
          </cell>
          <cell r="Q226">
            <v>13456418</v>
          </cell>
          <cell r="R226">
            <v>148698000</v>
          </cell>
          <cell r="W226">
            <v>113</v>
          </cell>
          <cell r="AA226">
            <v>22374000</v>
          </cell>
          <cell r="AB226">
            <v>10213200</v>
          </cell>
          <cell r="AC226">
            <v>7873718</v>
          </cell>
        </row>
        <row r="227">
          <cell r="A227" t="str">
            <v>Y</v>
          </cell>
          <cell r="Q227">
            <v>3181570</v>
          </cell>
          <cell r="R227">
            <v>14496000</v>
          </cell>
          <cell r="W227">
            <v>50</v>
          </cell>
          <cell r="AA227">
            <v>2400000</v>
          </cell>
          <cell r="AB227">
            <v>1850000</v>
          </cell>
          <cell r="AC227">
            <v>1455360</v>
          </cell>
        </row>
        <row r="228">
          <cell r="A228" t="str">
            <v>Y</v>
          </cell>
          <cell r="Q228">
            <v>2218035</v>
          </cell>
          <cell r="R228">
            <v>9648000</v>
          </cell>
          <cell r="W228">
            <v>93</v>
          </cell>
          <cell r="AA228">
            <v>4464000</v>
          </cell>
          <cell r="AB228">
            <v>3491200</v>
          </cell>
          <cell r="AC228">
            <v>2680320</v>
          </cell>
        </row>
        <row r="229">
          <cell r="A229" t="str">
            <v>Y</v>
          </cell>
          <cell r="Q229">
            <v>3412051</v>
          </cell>
          <cell r="R229">
            <v>20126000</v>
          </cell>
          <cell r="W229">
            <v>63</v>
          </cell>
          <cell r="AA229">
            <v>3654000</v>
          </cell>
          <cell r="AB229">
            <v>2923200</v>
          </cell>
          <cell r="AC229">
            <v>2195184</v>
          </cell>
        </row>
        <row r="230">
          <cell r="A230" t="str">
            <v>Y</v>
          </cell>
          <cell r="Q230">
            <v>2900374</v>
          </cell>
          <cell r="R230">
            <v>16124000</v>
          </cell>
          <cell r="W230">
            <v>102</v>
          </cell>
          <cell r="AA230">
            <v>5916000</v>
          </cell>
          <cell r="AB230">
            <v>4592800</v>
          </cell>
          <cell r="AC230">
            <v>3550296</v>
          </cell>
        </row>
        <row r="231">
          <cell r="A231" t="str">
            <v>Y</v>
          </cell>
          <cell r="Q231">
            <v>2414467</v>
          </cell>
          <cell r="R231">
            <v>11542000</v>
          </cell>
          <cell r="W231">
            <v>76</v>
          </cell>
          <cell r="AA231">
            <v>4408000</v>
          </cell>
          <cell r="AB231">
            <v>3526400</v>
          </cell>
          <cell r="AC231">
            <v>2668928</v>
          </cell>
        </row>
        <row r="232">
          <cell r="A232" t="str">
            <v>Y</v>
          </cell>
          <cell r="Q232">
            <v>3476550</v>
          </cell>
          <cell r="R232">
            <v>20300000</v>
          </cell>
          <cell r="W232">
            <v>196</v>
          </cell>
          <cell r="AA232">
            <v>11368000</v>
          </cell>
          <cell r="AB232">
            <v>9024400</v>
          </cell>
          <cell r="AC232">
            <v>6879496</v>
          </cell>
        </row>
        <row r="233">
          <cell r="A233" t="str">
            <v>Y</v>
          </cell>
          <cell r="Q233">
            <v>3215243</v>
          </cell>
          <cell r="R233">
            <v>15522000</v>
          </cell>
          <cell r="W233">
            <v>76</v>
          </cell>
          <cell r="AA233">
            <v>5928000</v>
          </cell>
          <cell r="AB233">
            <v>4722400</v>
          </cell>
          <cell r="AC233">
            <v>3582072</v>
          </cell>
        </row>
        <row r="234">
          <cell r="A234" t="str">
            <v>Y</v>
          </cell>
          <cell r="Q234">
            <v>3145617</v>
          </cell>
          <cell r="R234">
            <v>14442000</v>
          </cell>
          <cell r="W234">
            <v>122</v>
          </cell>
          <cell r="AA234">
            <v>7076000</v>
          </cell>
          <cell r="AB234">
            <v>5580800</v>
          </cell>
          <cell r="AC234">
            <v>4275064</v>
          </cell>
        </row>
        <row r="235">
          <cell r="A235" t="str">
            <v>Y</v>
          </cell>
          <cell r="Q235">
            <v>7586676</v>
          </cell>
          <cell r="R235">
            <v>31442000</v>
          </cell>
          <cell r="W235">
            <v>23</v>
          </cell>
          <cell r="AA235">
            <v>3634000</v>
          </cell>
          <cell r="AB235">
            <v>2857200</v>
          </cell>
          <cell r="AC235">
            <v>2156384</v>
          </cell>
        </row>
        <row r="236">
          <cell r="A236" t="str">
            <v>Y</v>
          </cell>
          <cell r="Q236">
            <v>3019634</v>
          </cell>
          <cell r="R236">
            <v>17284000</v>
          </cell>
          <cell r="W236">
            <v>145</v>
          </cell>
          <cell r="AA236">
            <v>8410000</v>
          </cell>
          <cell r="AB236">
            <v>6415200</v>
          </cell>
          <cell r="AC236">
            <v>5022800</v>
          </cell>
        </row>
        <row r="237">
          <cell r="A237" t="str">
            <v>Y</v>
          </cell>
          <cell r="Q237">
            <v>3526284</v>
          </cell>
          <cell r="R237">
            <v>20184000</v>
          </cell>
          <cell r="W237">
            <v>48</v>
          </cell>
          <cell r="AA237">
            <v>2784000</v>
          </cell>
          <cell r="AB237">
            <v>2064400</v>
          </cell>
          <cell r="AC237">
            <v>1584328</v>
          </cell>
        </row>
        <row r="238">
          <cell r="A238" t="str">
            <v>Y</v>
          </cell>
          <cell r="Q238">
            <v>5717284</v>
          </cell>
          <cell r="R238">
            <v>31784000</v>
          </cell>
          <cell r="W238">
            <v>77</v>
          </cell>
          <cell r="AA238">
            <v>4466000</v>
          </cell>
          <cell r="AB238">
            <v>3422800</v>
          </cell>
          <cell r="AC238">
            <v>2628792</v>
          </cell>
        </row>
        <row r="239">
          <cell r="A239" t="str">
            <v>Y</v>
          </cell>
          <cell r="Q239">
            <v>2115967</v>
          </cell>
          <cell r="R239">
            <v>11542000</v>
          </cell>
          <cell r="W239">
            <v>25</v>
          </cell>
          <cell r="AA239">
            <v>1450000</v>
          </cell>
          <cell r="AB239">
            <v>1120000</v>
          </cell>
          <cell r="AC239">
            <v>864664</v>
          </cell>
        </row>
        <row r="240">
          <cell r="A240" t="str">
            <v>Y</v>
          </cell>
          <cell r="Q240">
            <v>8794433</v>
          </cell>
          <cell r="R240">
            <v>40868000</v>
          </cell>
          <cell r="W240">
            <v>88</v>
          </cell>
          <cell r="AA240">
            <v>5984000</v>
          </cell>
          <cell r="AB240">
            <v>4395210</v>
          </cell>
          <cell r="AC240">
            <v>3446712</v>
          </cell>
        </row>
        <row r="241">
          <cell r="A241" t="str">
            <v>Y</v>
          </cell>
          <cell r="Q241">
            <v>3953033</v>
          </cell>
          <cell r="R241">
            <v>17458000</v>
          </cell>
          <cell r="W241">
            <v>90</v>
          </cell>
          <cell r="AA241">
            <v>5220000</v>
          </cell>
          <cell r="AB241">
            <v>4046000</v>
          </cell>
          <cell r="AC241">
            <v>3120864</v>
          </cell>
        </row>
        <row r="242">
          <cell r="A242" t="str">
            <v>Y</v>
          </cell>
          <cell r="Q242">
            <v>3783250</v>
          </cell>
          <cell r="R242">
            <v>17000000</v>
          </cell>
          <cell r="W242">
            <v>185</v>
          </cell>
          <cell r="AA242">
            <v>12580000</v>
          </cell>
          <cell r="AB242">
            <v>9764450</v>
          </cell>
          <cell r="AC242">
            <v>7565697</v>
          </cell>
        </row>
        <row r="243">
          <cell r="A243" t="str">
            <v>Y</v>
          </cell>
          <cell r="Q243">
            <v>9049534</v>
          </cell>
          <cell r="R243">
            <v>40664000</v>
          </cell>
          <cell r="W243">
            <v>190</v>
          </cell>
          <cell r="AA243">
            <v>12920000</v>
          </cell>
          <cell r="AB243">
            <v>9856000</v>
          </cell>
          <cell r="AC243">
            <v>7880656</v>
          </cell>
        </row>
        <row r="244">
          <cell r="A244" t="str">
            <v>Y</v>
          </cell>
          <cell r="Q244">
            <v>1184397</v>
          </cell>
          <cell r="R244">
            <v>5562000</v>
          </cell>
          <cell r="W244">
            <v>291</v>
          </cell>
          <cell r="AA244">
            <v>5238000</v>
          </cell>
          <cell r="AB244">
            <v>4178240</v>
          </cell>
          <cell r="AC244">
            <v>3088037</v>
          </cell>
        </row>
        <row r="245">
          <cell r="A245" t="str">
            <v>Y</v>
          </cell>
          <cell r="Q245">
            <v>1088572</v>
          </cell>
          <cell r="R245">
            <v>5112000</v>
          </cell>
          <cell r="W245">
            <v>301</v>
          </cell>
          <cell r="AA245">
            <v>5418000</v>
          </cell>
          <cell r="AB245">
            <v>4320230</v>
          </cell>
          <cell r="AC245">
            <v>3190933</v>
          </cell>
        </row>
        <row r="246">
          <cell r="A246" t="str">
            <v>Y</v>
          </cell>
          <cell r="Q246">
            <v>5641545</v>
          </cell>
          <cell r="R246">
            <v>24570000</v>
          </cell>
          <cell r="W246">
            <v>608</v>
          </cell>
          <cell r="AA246">
            <v>10944000</v>
          </cell>
          <cell r="AB246">
            <v>8725200</v>
          </cell>
          <cell r="AC246">
            <v>6380640</v>
          </cell>
        </row>
        <row r="247">
          <cell r="A247" t="str">
            <v>Y</v>
          </cell>
          <cell r="Q247">
            <v>3327065</v>
          </cell>
          <cell r="R247">
            <v>14490000</v>
          </cell>
          <cell r="W247">
            <v>283</v>
          </cell>
          <cell r="AA247">
            <v>5094000</v>
          </cell>
          <cell r="AB247">
            <v>4055200</v>
          </cell>
          <cell r="AC247">
            <v>2998512</v>
          </cell>
        </row>
        <row r="248">
          <cell r="A248" t="str">
            <v>Y</v>
          </cell>
          <cell r="Q248">
            <v>5411318</v>
          </cell>
          <cell r="R248">
            <v>30328000</v>
          </cell>
          <cell r="W248">
            <v>179</v>
          </cell>
          <cell r="AA248">
            <v>12172000</v>
          </cell>
          <cell r="AB248">
            <v>9467600</v>
          </cell>
          <cell r="AC248">
            <v>7256960</v>
          </cell>
        </row>
        <row r="249">
          <cell r="A249" t="str">
            <v>Y</v>
          </cell>
          <cell r="Q249">
            <v>5455917</v>
          </cell>
          <cell r="R249">
            <v>23732000</v>
          </cell>
          <cell r="W249">
            <v>81</v>
          </cell>
          <cell r="AA249">
            <v>5508000</v>
          </cell>
          <cell r="AB249">
            <v>4226400</v>
          </cell>
          <cell r="AC249">
            <v>3316768</v>
          </cell>
        </row>
        <row r="250">
          <cell r="A250" t="str">
            <v>Y</v>
          </cell>
          <cell r="Q250">
            <v>5147334</v>
          </cell>
          <cell r="R250">
            <v>27064000</v>
          </cell>
          <cell r="W250">
            <v>171</v>
          </cell>
          <cell r="AA250">
            <v>11628000</v>
          </cell>
          <cell r="AB250">
            <v>8932400</v>
          </cell>
          <cell r="AC250">
            <v>7031200</v>
          </cell>
        </row>
        <row r="251">
          <cell r="A251" t="str">
            <v>Y</v>
          </cell>
          <cell r="Q251">
            <v>7487121</v>
          </cell>
          <cell r="R251">
            <v>34086000</v>
          </cell>
          <cell r="W251">
            <v>48</v>
          </cell>
          <cell r="AA251">
            <v>3744000</v>
          </cell>
          <cell r="AB251">
            <v>2875200</v>
          </cell>
          <cell r="AC251">
            <v>2238288</v>
          </cell>
        </row>
        <row r="252">
          <cell r="A252" t="str">
            <v>Y</v>
          </cell>
          <cell r="Q252">
            <v>6808175</v>
          </cell>
          <cell r="R252">
            <v>32300000</v>
          </cell>
          <cell r="W252">
            <v>141</v>
          </cell>
          <cell r="AA252">
            <v>9588000</v>
          </cell>
          <cell r="AB252">
            <v>7505020</v>
          </cell>
          <cell r="AC252">
            <v>5814172</v>
          </cell>
        </row>
        <row r="253">
          <cell r="A253" t="str">
            <v>Y</v>
          </cell>
          <cell r="Q253">
            <v>3591368</v>
          </cell>
          <cell r="R253">
            <v>17168000</v>
          </cell>
          <cell r="W253">
            <v>76</v>
          </cell>
          <cell r="AA253">
            <v>4408000</v>
          </cell>
          <cell r="AB253">
            <v>3456400</v>
          </cell>
          <cell r="AC253">
            <v>2671944</v>
          </cell>
        </row>
        <row r="254">
          <cell r="A254" t="str">
            <v>Y</v>
          </cell>
          <cell r="Q254">
            <v>4583417</v>
          </cell>
          <cell r="R254">
            <v>20242000</v>
          </cell>
          <cell r="W254">
            <v>93</v>
          </cell>
          <cell r="AA254">
            <v>5394000</v>
          </cell>
          <cell r="AB254">
            <v>4275200</v>
          </cell>
          <cell r="AC254">
            <v>3273752</v>
          </cell>
        </row>
        <row r="255">
          <cell r="A255" t="str">
            <v>Y</v>
          </cell>
          <cell r="Q255">
            <v>2462999</v>
          </cell>
          <cell r="R255">
            <v>13804000</v>
          </cell>
          <cell r="W255">
            <v>66</v>
          </cell>
          <cell r="AA255">
            <v>4488000</v>
          </cell>
          <cell r="AB255">
            <v>3470400</v>
          </cell>
          <cell r="AC255">
            <v>2729248</v>
          </cell>
        </row>
        <row r="256">
          <cell r="A256" t="str">
            <v>Y</v>
          </cell>
          <cell r="Q256">
            <v>2778534</v>
          </cell>
          <cell r="R256">
            <v>13464000</v>
          </cell>
          <cell r="W256">
            <v>60</v>
          </cell>
          <cell r="AA256">
            <v>4080000</v>
          </cell>
          <cell r="AB256">
            <v>3234000</v>
          </cell>
          <cell r="AC256">
            <v>2496960</v>
          </cell>
        </row>
        <row r="257">
          <cell r="A257" t="str">
            <v>Y</v>
          </cell>
          <cell r="Q257">
            <v>8283234</v>
          </cell>
          <cell r="R257">
            <v>38844000</v>
          </cell>
          <cell r="W257">
            <v>65</v>
          </cell>
          <cell r="AA257">
            <v>5070000</v>
          </cell>
          <cell r="AB257">
            <v>3946000</v>
          </cell>
          <cell r="AC257">
            <v>3026088</v>
          </cell>
        </row>
        <row r="258">
          <cell r="A258" t="str">
            <v>Y</v>
          </cell>
          <cell r="Q258">
            <v>5448984</v>
          </cell>
          <cell r="R258">
            <v>23664000</v>
          </cell>
          <cell r="W258">
            <v>74</v>
          </cell>
          <cell r="AA258">
            <v>5032000</v>
          </cell>
          <cell r="AB258">
            <v>3885600</v>
          </cell>
          <cell r="AC258">
            <v>3022192</v>
          </cell>
        </row>
        <row r="259">
          <cell r="A259" t="str">
            <v>Y</v>
          </cell>
          <cell r="Q259">
            <v>4811800</v>
          </cell>
          <cell r="R259">
            <v>19600000</v>
          </cell>
          <cell r="W259">
            <v>12</v>
          </cell>
          <cell r="AA259">
            <v>1176000</v>
          </cell>
          <cell r="AB259">
            <v>950600</v>
          </cell>
          <cell r="AC259">
            <v>729708</v>
          </cell>
        </row>
        <row r="260">
          <cell r="A260" t="str">
            <v>Y</v>
          </cell>
          <cell r="Q260">
            <v>4787741</v>
          </cell>
          <cell r="R260">
            <v>19502000</v>
          </cell>
          <cell r="W260">
            <v>15</v>
          </cell>
          <cell r="AA260">
            <v>1470000</v>
          </cell>
          <cell r="AB260">
            <v>1106000</v>
          </cell>
          <cell r="AC260">
            <v>873376</v>
          </cell>
        </row>
        <row r="261">
          <cell r="A261" t="str">
            <v>Y</v>
          </cell>
          <cell r="Q261">
            <v>5851817</v>
          </cell>
          <cell r="R261">
            <v>30532000</v>
          </cell>
          <cell r="W261">
            <v>105</v>
          </cell>
          <cell r="AA261">
            <v>7140000</v>
          </cell>
          <cell r="AB261">
            <v>5692000</v>
          </cell>
          <cell r="AC261">
            <v>4347920</v>
          </cell>
        </row>
        <row r="262">
          <cell r="A262" t="str">
            <v>Y</v>
          </cell>
          <cell r="Q262">
            <v>6341334</v>
          </cell>
          <cell r="R262">
            <v>27064000</v>
          </cell>
          <cell r="W262">
            <v>101</v>
          </cell>
          <cell r="AA262">
            <v>6868000</v>
          </cell>
          <cell r="AB262">
            <v>5184400</v>
          </cell>
          <cell r="AC262">
            <v>4101488</v>
          </cell>
        </row>
        <row r="263">
          <cell r="A263" t="str">
            <v>Y</v>
          </cell>
          <cell r="Q263">
            <v>2006334</v>
          </cell>
          <cell r="R263">
            <v>9504000</v>
          </cell>
          <cell r="W263">
            <v>152</v>
          </cell>
          <cell r="AA263">
            <v>7296000</v>
          </cell>
          <cell r="AB263">
            <v>5576400</v>
          </cell>
          <cell r="AC263">
            <v>4269504</v>
          </cell>
        </row>
        <row r="264">
          <cell r="A264" t="str">
            <v>Y</v>
          </cell>
          <cell r="Q264">
            <v>6789234</v>
          </cell>
          <cell r="R264">
            <v>33864000</v>
          </cell>
          <cell r="W264">
            <v>45</v>
          </cell>
          <cell r="AA264">
            <v>3060000</v>
          </cell>
          <cell r="AB264">
            <v>2388000</v>
          </cell>
          <cell r="AC264">
            <v>1838176</v>
          </cell>
        </row>
        <row r="265">
          <cell r="A265" t="str">
            <v>Y</v>
          </cell>
          <cell r="Q265">
            <v>5316500</v>
          </cell>
          <cell r="R265">
            <v>29000000</v>
          </cell>
          <cell r="W265">
            <v>53</v>
          </cell>
          <cell r="AA265">
            <v>3074000</v>
          </cell>
          <cell r="AB265">
            <v>2389200</v>
          </cell>
          <cell r="AC265">
            <v>1828624</v>
          </cell>
        </row>
        <row r="266">
          <cell r="A266" t="str">
            <v>Y</v>
          </cell>
          <cell r="Q266">
            <v>9193100</v>
          </cell>
          <cell r="R266">
            <v>47600000</v>
          </cell>
          <cell r="W266">
            <v>96</v>
          </cell>
          <cell r="AA266">
            <v>6528000</v>
          </cell>
          <cell r="AB266">
            <v>5062400</v>
          </cell>
          <cell r="AC266">
            <v>3913264</v>
          </cell>
        </row>
        <row r="267">
          <cell r="A267" t="str">
            <v>Y</v>
          </cell>
          <cell r="Q267">
            <v>4567500</v>
          </cell>
          <cell r="R267">
            <v>23664000</v>
          </cell>
          <cell r="W267">
            <v>145</v>
          </cell>
          <cell r="AA267">
            <v>9860000</v>
          </cell>
          <cell r="AB267">
            <v>7628000</v>
          </cell>
          <cell r="AC267">
            <v>5985904</v>
          </cell>
        </row>
        <row r="268">
          <cell r="A268" t="str">
            <v>Y</v>
          </cell>
          <cell r="Q268">
            <v>6107584</v>
          </cell>
          <cell r="R268">
            <v>30464000</v>
          </cell>
          <cell r="W268">
            <v>83</v>
          </cell>
          <cell r="AA268">
            <v>5644000</v>
          </cell>
          <cell r="AB268">
            <v>4445200</v>
          </cell>
          <cell r="AC268">
            <v>3431552</v>
          </cell>
        </row>
        <row r="269">
          <cell r="A269" t="str">
            <v>Y</v>
          </cell>
          <cell r="Q269">
            <v>7536234</v>
          </cell>
          <cell r="R269">
            <v>33864000</v>
          </cell>
          <cell r="W269">
            <v>210</v>
          </cell>
          <cell r="AA269">
            <v>14280000</v>
          </cell>
          <cell r="AB269">
            <v>11080800</v>
          </cell>
          <cell r="AC269">
            <v>8614308</v>
          </cell>
        </row>
        <row r="270">
          <cell r="A270" t="str">
            <v>Y</v>
          </cell>
          <cell r="Q270">
            <v>6779584</v>
          </cell>
          <cell r="R270">
            <v>30464000</v>
          </cell>
          <cell r="W270">
            <v>101</v>
          </cell>
          <cell r="AA270">
            <v>6868000</v>
          </cell>
          <cell r="AB270">
            <v>5344400</v>
          </cell>
          <cell r="AC270">
            <v>4162144</v>
          </cell>
        </row>
        <row r="271">
          <cell r="A271" t="str">
            <v>Y</v>
          </cell>
          <cell r="Q271">
            <v>1858900</v>
          </cell>
          <cell r="R271">
            <v>10440000</v>
          </cell>
          <cell r="W271">
            <v>65</v>
          </cell>
          <cell r="AA271">
            <v>1170000</v>
          </cell>
          <cell r="AB271">
            <v>936000</v>
          </cell>
          <cell r="AC271">
            <v>679608</v>
          </cell>
        </row>
        <row r="272">
          <cell r="A272" t="str">
            <v>Y</v>
          </cell>
          <cell r="Q272">
            <v>8292884</v>
          </cell>
          <cell r="R272">
            <v>37264000</v>
          </cell>
          <cell r="W272">
            <v>126</v>
          </cell>
          <cell r="AA272">
            <v>8568000</v>
          </cell>
          <cell r="AB272">
            <v>6436240</v>
          </cell>
          <cell r="AC272">
            <v>4934733</v>
          </cell>
        </row>
        <row r="273">
          <cell r="A273" t="str">
            <v>Y</v>
          </cell>
          <cell r="Q273">
            <v>2641018</v>
          </cell>
          <cell r="R273">
            <v>13148000</v>
          </cell>
          <cell r="W273">
            <v>116</v>
          </cell>
          <cell r="AA273">
            <v>4408000</v>
          </cell>
          <cell r="AB273">
            <v>3416400</v>
          </cell>
          <cell r="AC273">
            <v>2690008</v>
          </cell>
        </row>
        <row r="274">
          <cell r="A274" t="str">
            <v>Y</v>
          </cell>
          <cell r="Q274">
            <v>7067700</v>
          </cell>
          <cell r="R274">
            <v>29400000</v>
          </cell>
          <cell r="W274">
            <v>35</v>
          </cell>
          <cell r="AA274">
            <v>3430000</v>
          </cell>
          <cell r="AB274">
            <v>2614000</v>
          </cell>
          <cell r="AC274">
            <v>2022328</v>
          </cell>
        </row>
        <row r="275">
          <cell r="A275" t="str">
            <v>Y</v>
          </cell>
          <cell r="Q275">
            <v>34917885</v>
          </cell>
          <cell r="R275">
            <v>695682000</v>
          </cell>
          <cell r="W275">
            <v>6156</v>
          </cell>
          <cell r="AA275">
            <v>480168000</v>
          </cell>
          <cell r="AB275">
            <v>116734890</v>
          </cell>
          <cell r="AC275">
            <v>93469779</v>
          </cell>
        </row>
        <row r="276">
          <cell r="A276" t="str">
            <v>Y</v>
          </cell>
          <cell r="Q276">
            <v>26264004</v>
          </cell>
          <cell r="R276">
            <v>349752000</v>
          </cell>
          <cell r="W276">
            <v>1643</v>
          </cell>
          <cell r="AA276">
            <v>193874000</v>
          </cell>
          <cell r="AB276">
            <v>47635284</v>
          </cell>
          <cell r="AC276">
            <v>36929288</v>
          </cell>
        </row>
        <row r="277">
          <cell r="A277" t="str">
            <v>Y</v>
          </cell>
          <cell r="Q277">
            <v>69800808</v>
          </cell>
          <cell r="R277">
            <v>974556000</v>
          </cell>
          <cell r="W277">
            <v>4024</v>
          </cell>
          <cell r="AA277">
            <v>555312000</v>
          </cell>
          <cell r="AB277">
            <v>156795556</v>
          </cell>
          <cell r="AC277">
            <v>120535002</v>
          </cell>
        </row>
        <row r="278">
          <cell r="A278" t="str">
            <v>Y</v>
          </cell>
          <cell r="Q278">
            <v>55309788</v>
          </cell>
          <cell r="R278">
            <v>638952000</v>
          </cell>
          <cell r="W278">
            <v>1079</v>
          </cell>
          <cell r="AA278">
            <v>170482000</v>
          </cell>
          <cell r="AB278">
            <v>42389500</v>
          </cell>
          <cell r="AC278">
            <v>34032815</v>
          </cell>
        </row>
        <row r="279">
          <cell r="A279" t="str">
            <v>Y</v>
          </cell>
          <cell r="Q279">
            <v>42412377</v>
          </cell>
          <cell r="R279">
            <v>489958000</v>
          </cell>
          <cell r="W279">
            <v>637</v>
          </cell>
          <cell r="AA279">
            <v>100646000</v>
          </cell>
          <cell r="AB279">
            <v>25686740</v>
          </cell>
          <cell r="AC279">
            <v>20462692</v>
          </cell>
        </row>
        <row r="280">
          <cell r="A280" t="str">
            <v>X</v>
          </cell>
          <cell r="Q280">
            <v>28051257</v>
          </cell>
          <cell r="R280">
            <v>169494000</v>
          </cell>
          <cell r="W280">
            <v>1538</v>
          </cell>
          <cell r="AA280">
            <v>119964000</v>
          </cell>
          <cell r="AB280">
            <v>55448345</v>
          </cell>
          <cell r="AC280">
            <v>43423608</v>
          </cell>
        </row>
        <row r="281">
          <cell r="A281" t="str">
            <v>X</v>
          </cell>
          <cell r="Q281">
            <v>12765498</v>
          </cell>
          <cell r="R281">
            <v>103638000</v>
          </cell>
          <cell r="W281">
            <v>407</v>
          </cell>
          <cell r="AA281">
            <v>56166000</v>
          </cell>
          <cell r="AB281">
            <v>25882950</v>
          </cell>
          <cell r="AC281">
            <v>20134028</v>
          </cell>
        </row>
        <row r="282">
          <cell r="A282" t="str">
            <v>X</v>
          </cell>
          <cell r="Q282">
            <v>13583424</v>
          </cell>
          <cell r="R282">
            <v>108882000</v>
          </cell>
          <cell r="W282">
            <v>661</v>
          </cell>
          <cell r="AA282">
            <v>91218000</v>
          </cell>
          <cell r="AB282">
            <v>34681700</v>
          </cell>
          <cell r="AC282">
            <v>26777386</v>
          </cell>
        </row>
        <row r="283">
          <cell r="A283" t="str">
            <v>X</v>
          </cell>
          <cell r="Q283">
            <v>7371390</v>
          </cell>
          <cell r="R283">
            <v>64780000</v>
          </cell>
          <cell r="W283">
            <v>109</v>
          </cell>
          <cell r="AA283">
            <v>17222000</v>
          </cell>
          <cell r="AB283">
            <v>7900245</v>
          </cell>
          <cell r="AC283">
            <v>6115746</v>
          </cell>
        </row>
        <row r="284">
          <cell r="A284" t="str">
            <v>X</v>
          </cell>
          <cell r="Q284">
            <v>18194380</v>
          </cell>
          <cell r="R284">
            <v>134458000</v>
          </cell>
          <cell r="W284">
            <v>270</v>
          </cell>
          <cell r="AA284">
            <v>42660000</v>
          </cell>
          <cell r="AB284">
            <v>17908500</v>
          </cell>
          <cell r="AC284">
            <v>14020576</v>
          </cell>
        </row>
        <row r="285">
          <cell r="A285" t="str">
            <v>X</v>
          </cell>
          <cell r="Q285">
            <v>10135000</v>
          </cell>
          <cell r="R285">
            <v>86250000</v>
          </cell>
          <cell r="W285">
            <v>248</v>
          </cell>
          <cell r="AA285">
            <v>34224000</v>
          </cell>
          <cell r="AB285">
            <v>15912600</v>
          </cell>
          <cell r="AC285">
            <v>12310980</v>
          </cell>
        </row>
        <row r="286">
          <cell r="A286" t="str">
            <v>X</v>
          </cell>
          <cell r="Q286">
            <v>15412212</v>
          </cell>
          <cell r="R286">
            <v>135636000</v>
          </cell>
          <cell r="W286">
            <v>463</v>
          </cell>
          <cell r="AA286">
            <v>82414000</v>
          </cell>
          <cell r="AB286">
            <v>37105940</v>
          </cell>
          <cell r="AC286">
            <v>28505944</v>
          </cell>
        </row>
        <row r="287">
          <cell r="A287" t="str">
            <v>X</v>
          </cell>
          <cell r="Q287">
            <v>14652422</v>
          </cell>
          <cell r="R287">
            <v>123532000</v>
          </cell>
          <cell r="W287">
            <v>145</v>
          </cell>
          <cell r="AA287">
            <v>25810000</v>
          </cell>
          <cell r="AB287">
            <v>11656000</v>
          </cell>
          <cell r="AC287">
            <v>9098070</v>
          </cell>
        </row>
        <row r="288">
          <cell r="A288" t="str">
            <v>X</v>
          </cell>
          <cell r="Q288">
            <v>13843944</v>
          </cell>
          <cell r="R288">
            <v>116748000</v>
          </cell>
          <cell r="W288">
            <v>538</v>
          </cell>
          <cell r="AA288">
            <v>74244000</v>
          </cell>
          <cell r="AB288">
            <v>34722690</v>
          </cell>
          <cell r="AC288">
            <v>26701103</v>
          </cell>
        </row>
        <row r="289">
          <cell r="A289" t="str">
            <v>X</v>
          </cell>
          <cell r="Q289">
            <v>14769680</v>
          </cell>
          <cell r="R289">
            <v>110284000</v>
          </cell>
          <cell r="W289">
            <v>373</v>
          </cell>
          <cell r="AA289">
            <v>58934000</v>
          </cell>
          <cell r="AB289">
            <v>26805700</v>
          </cell>
          <cell r="AC289">
            <v>20809311</v>
          </cell>
        </row>
        <row r="290">
          <cell r="A290" t="str">
            <v>X</v>
          </cell>
          <cell r="Q290">
            <v>14626378</v>
          </cell>
          <cell r="R290">
            <v>113444000</v>
          </cell>
          <cell r="W290">
            <v>252</v>
          </cell>
          <cell r="AA290">
            <v>39816000</v>
          </cell>
          <cell r="AB290">
            <v>18169100</v>
          </cell>
          <cell r="AC290">
            <v>14061250</v>
          </cell>
        </row>
        <row r="291">
          <cell r="A291" t="str">
            <v>X</v>
          </cell>
          <cell r="Q291">
            <v>14607264</v>
          </cell>
          <cell r="R291">
            <v>119616000</v>
          </cell>
          <cell r="W291">
            <v>521</v>
          </cell>
          <cell r="AA291">
            <v>92738000</v>
          </cell>
          <cell r="AB291">
            <v>42361995</v>
          </cell>
          <cell r="AC291">
            <v>32567494</v>
          </cell>
        </row>
        <row r="292">
          <cell r="A292" t="str">
            <v>X</v>
          </cell>
          <cell r="Q292">
            <v>15987816</v>
          </cell>
          <cell r="R292">
            <v>147312000</v>
          </cell>
          <cell r="W292">
            <v>388</v>
          </cell>
          <cell r="AA292">
            <v>76824000</v>
          </cell>
          <cell r="AB292">
            <v>34438845</v>
          </cell>
          <cell r="AC292">
            <v>26552825</v>
          </cell>
        </row>
        <row r="293">
          <cell r="A293" t="str">
            <v>X</v>
          </cell>
          <cell r="Q293">
            <v>11470190</v>
          </cell>
          <cell r="R293">
            <v>93220000</v>
          </cell>
          <cell r="W293">
            <v>179</v>
          </cell>
          <cell r="AA293">
            <v>28282000</v>
          </cell>
          <cell r="AB293">
            <v>11883300</v>
          </cell>
          <cell r="AC293">
            <v>9183855</v>
          </cell>
        </row>
        <row r="294">
          <cell r="A294" t="str">
            <v>X</v>
          </cell>
          <cell r="Q294">
            <v>20684084</v>
          </cell>
          <cell r="R294">
            <v>155572000</v>
          </cell>
          <cell r="W294">
            <v>716</v>
          </cell>
          <cell r="AA294">
            <v>127448000</v>
          </cell>
          <cell r="AB294">
            <v>57813995</v>
          </cell>
          <cell r="AC294">
            <v>45071233</v>
          </cell>
        </row>
        <row r="295">
          <cell r="A295" t="str">
            <v>X</v>
          </cell>
          <cell r="Q295">
            <v>13458836</v>
          </cell>
          <cell r="R295">
            <v>121912000</v>
          </cell>
          <cell r="W295">
            <v>655</v>
          </cell>
          <cell r="AA295">
            <v>64190000</v>
          </cell>
          <cell r="AB295">
            <v>30158425</v>
          </cell>
          <cell r="AC295">
            <v>23116799</v>
          </cell>
        </row>
        <row r="296">
          <cell r="A296" t="str">
            <v>X</v>
          </cell>
          <cell r="Q296">
            <v>12612753</v>
          </cell>
          <cell r="R296">
            <v>98766000</v>
          </cell>
          <cell r="W296">
            <v>414</v>
          </cell>
          <cell r="AA296">
            <v>48852000</v>
          </cell>
          <cell r="AB296">
            <v>22796850</v>
          </cell>
          <cell r="AC296">
            <v>18244187</v>
          </cell>
        </row>
        <row r="297">
          <cell r="A297" t="str">
            <v>X</v>
          </cell>
          <cell r="Q297">
            <v>28459354</v>
          </cell>
          <cell r="R297">
            <v>225526000</v>
          </cell>
          <cell r="W297">
            <v>919</v>
          </cell>
          <cell r="AA297">
            <v>163582000</v>
          </cell>
          <cell r="AB297">
            <v>77764520</v>
          </cell>
          <cell r="AC297">
            <v>59613224</v>
          </cell>
        </row>
        <row r="298">
          <cell r="A298" t="str">
            <v>X</v>
          </cell>
          <cell r="Q298">
            <v>20876560</v>
          </cell>
          <cell r="R298">
            <v>168032000</v>
          </cell>
          <cell r="W298">
            <v>388</v>
          </cell>
          <cell r="AA298">
            <v>69064000</v>
          </cell>
          <cell r="AB298">
            <v>26472700</v>
          </cell>
          <cell r="AC298">
            <v>20285012</v>
          </cell>
        </row>
        <row r="299">
          <cell r="A299" t="str">
            <v>X</v>
          </cell>
          <cell r="Q299">
            <v>15674894</v>
          </cell>
          <cell r="R299">
            <v>137594000</v>
          </cell>
          <cell r="W299">
            <v>381</v>
          </cell>
          <cell r="AA299">
            <v>67818000</v>
          </cell>
          <cell r="AB299">
            <v>31674500</v>
          </cell>
          <cell r="AC299">
            <v>24415593</v>
          </cell>
        </row>
        <row r="300">
          <cell r="A300" t="str">
            <v>X</v>
          </cell>
          <cell r="Q300">
            <v>23328575</v>
          </cell>
          <cell r="R300">
            <v>191350000</v>
          </cell>
          <cell r="W300">
            <v>465</v>
          </cell>
          <cell r="AA300">
            <v>82770000</v>
          </cell>
          <cell r="AB300">
            <v>38992500</v>
          </cell>
          <cell r="AC300">
            <v>29858566</v>
          </cell>
        </row>
        <row r="301">
          <cell r="A301" t="str">
            <v>X</v>
          </cell>
          <cell r="Q301">
            <v>24880180</v>
          </cell>
          <cell r="R301">
            <v>196690000</v>
          </cell>
          <cell r="W301">
            <v>309</v>
          </cell>
          <cell r="AA301">
            <v>55002000</v>
          </cell>
          <cell r="AB301">
            <v>25534600</v>
          </cell>
          <cell r="AC301">
            <v>19527010</v>
          </cell>
        </row>
        <row r="302">
          <cell r="A302" t="str">
            <v>X</v>
          </cell>
          <cell r="Q302">
            <v>15453516</v>
          </cell>
          <cell r="R302">
            <v>103368000</v>
          </cell>
          <cell r="W302">
            <v>266</v>
          </cell>
          <cell r="AA302">
            <v>31388000</v>
          </cell>
          <cell r="AB302">
            <v>11069400</v>
          </cell>
          <cell r="AC302">
            <v>8412697</v>
          </cell>
        </row>
        <row r="303">
          <cell r="A303" t="str">
            <v>X</v>
          </cell>
          <cell r="Q303">
            <v>15661128</v>
          </cell>
          <cell r="R303">
            <v>115632000</v>
          </cell>
          <cell r="W303">
            <v>380</v>
          </cell>
          <cell r="AA303">
            <v>75240000</v>
          </cell>
          <cell r="AB303">
            <v>34494335</v>
          </cell>
          <cell r="AC303">
            <v>26278426</v>
          </cell>
        </row>
        <row r="304">
          <cell r="A304" t="str">
            <v>X</v>
          </cell>
          <cell r="Q304">
            <v>20656029</v>
          </cell>
          <cell r="R304">
            <v>177246000</v>
          </cell>
          <cell r="W304">
            <v>106</v>
          </cell>
          <cell r="AA304">
            <v>27348000</v>
          </cell>
          <cell r="AB304">
            <v>11308200</v>
          </cell>
          <cell r="AC304">
            <v>8542704</v>
          </cell>
        </row>
        <row r="305">
          <cell r="A305" t="str">
            <v>X</v>
          </cell>
          <cell r="Q305">
            <v>22269722</v>
          </cell>
          <cell r="R305">
            <v>165914000</v>
          </cell>
          <cell r="W305">
            <v>1206</v>
          </cell>
          <cell r="AA305">
            <v>118188000</v>
          </cell>
          <cell r="AB305">
            <v>49293200</v>
          </cell>
          <cell r="AC305">
            <v>37649063</v>
          </cell>
        </row>
        <row r="306">
          <cell r="A306" t="str">
            <v>X</v>
          </cell>
          <cell r="Q306">
            <v>35682700</v>
          </cell>
          <cell r="R306">
            <v>234220000</v>
          </cell>
          <cell r="W306">
            <v>1209</v>
          </cell>
          <cell r="AA306">
            <v>118482000</v>
          </cell>
          <cell r="AB306">
            <v>48725550</v>
          </cell>
          <cell r="AC306">
            <v>37388932</v>
          </cell>
        </row>
        <row r="307">
          <cell r="A307" t="str">
            <v>X</v>
          </cell>
          <cell r="Q307">
            <v>23644137</v>
          </cell>
          <cell r="R307">
            <v>211578000</v>
          </cell>
          <cell r="W307">
            <v>239</v>
          </cell>
          <cell r="AA307">
            <v>85562000</v>
          </cell>
          <cell r="AB307">
            <v>39142600</v>
          </cell>
          <cell r="AC307">
            <v>29094929</v>
          </cell>
        </row>
        <row r="308">
          <cell r="A308" t="str">
            <v>X</v>
          </cell>
          <cell r="Q308">
            <v>41167300</v>
          </cell>
          <cell r="R308">
            <v>264100000</v>
          </cell>
          <cell r="W308">
            <v>322</v>
          </cell>
          <cell r="AA308">
            <v>89516000</v>
          </cell>
          <cell r="AB308">
            <v>41982600</v>
          </cell>
          <cell r="AC308">
            <v>31890492</v>
          </cell>
        </row>
        <row r="309">
          <cell r="A309" t="str">
            <v>X</v>
          </cell>
          <cell r="Q309">
            <v>29803830</v>
          </cell>
          <cell r="R309">
            <v>248452000</v>
          </cell>
          <cell r="W309">
            <v>193</v>
          </cell>
          <cell r="AA309">
            <v>69094000</v>
          </cell>
          <cell r="AB309">
            <v>31554600</v>
          </cell>
          <cell r="AC309">
            <v>23910283</v>
          </cell>
        </row>
        <row r="310">
          <cell r="A310" t="str">
            <v>X</v>
          </cell>
          <cell r="Q310">
            <v>17787669</v>
          </cell>
          <cell r="R310">
            <v>148482000</v>
          </cell>
          <cell r="W310">
            <v>173</v>
          </cell>
          <cell r="AA310">
            <v>75774000</v>
          </cell>
          <cell r="AB310">
            <v>34672080</v>
          </cell>
          <cell r="AC310">
            <v>26028457</v>
          </cell>
        </row>
        <row r="311">
          <cell r="A311" t="str">
            <v>X</v>
          </cell>
          <cell r="Q311">
            <v>20083600</v>
          </cell>
          <cell r="R311">
            <v>159200000</v>
          </cell>
          <cell r="W311">
            <v>86</v>
          </cell>
          <cell r="AA311">
            <v>34228000</v>
          </cell>
          <cell r="AB311">
            <v>15370460</v>
          </cell>
          <cell r="AC311">
            <v>11869435</v>
          </cell>
        </row>
        <row r="312">
          <cell r="A312" t="str">
            <v>X</v>
          </cell>
          <cell r="Q312">
            <v>38898444</v>
          </cell>
          <cell r="R312">
            <v>332038000</v>
          </cell>
          <cell r="W312">
            <v>88</v>
          </cell>
          <cell r="AA312">
            <v>45584000</v>
          </cell>
          <cell r="AB312">
            <v>20612300</v>
          </cell>
          <cell r="AC312">
            <v>15850282</v>
          </cell>
        </row>
        <row r="313">
          <cell r="A313" t="str">
            <v>X</v>
          </cell>
          <cell r="Q313">
            <v>59172988</v>
          </cell>
          <cell r="R313">
            <v>491176000</v>
          </cell>
          <cell r="W313">
            <v>118</v>
          </cell>
          <cell r="AA313">
            <v>42244000</v>
          </cell>
          <cell r="AB313">
            <v>19407300</v>
          </cell>
          <cell r="AC313">
            <v>14788622</v>
          </cell>
        </row>
        <row r="314">
          <cell r="A314" t="str">
            <v>X</v>
          </cell>
          <cell r="Q314">
            <v>34103968</v>
          </cell>
          <cell r="R314">
            <v>286378000</v>
          </cell>
          <cell r="W314">
            <v>528</v>
          </cell>
          <cell r="AA314">
            <v>157344000</v>
          </cell>
          <cell r="AB314">
            <v>70216515</v>
          </cell>
          <cell r="AC314">
            <v>56856977</v>
          </cell>
        </row>
        <row r="315">
          <cell r="A315" t="str">
            <v>X</v>
          </cell>
          <cell r="Q315">
            <v>15613405</v>
          </cell>
          <cell r="R315">
            <v>145326000</v>
          </cell>
          <cell r="W315">
            <v>366</v>
          </cell>
          <cell r="AA315">
            <v>116388000</v>
          </cell>
          <cell r="AB315">
            <v>55830150</v>
          </cell>
          <cell r="AC315">
            <v>42597372</v>
          </cell>
        </row>
        <row r="316">
          <cell r="A316" t="str">
            <v>X</v>
          </cell>
          <cell r="Q316">
            <v>60299565</v>
          </cell>
          <cell r="R316">
            <v>462690000</v>
          </cell>
          <cell r="W316">
            <v>1064</v>
          </cell>
          <cell r="AA316">
            <v>338352000</v>
          </cell>
          <cell r="AB316">
            <v>154317480</v>
          </cell>
          <cell r="AC316">
            <v>119150727</v>
          </cell>
        </row>
        <row r="317">
          <cell r="A317" t="str">
            <v>X</v>
          </cell>
          <cell r="Q317">
            <v>125804800</v>
          </cell>
          <cell r="R317">
            <v>953600000</v>
          </cell>
          <cell r="W317">
            <v>1273</v>
          </cell>
          <cell r="AA317">
            <v>379354000</v>
          </cell>
          <cell r="AB317">
            <v>176630745</v>
          </cell>
          <cell r="AC317">
            <v>132426566</v>
          </cell>
        </row>
        <row r="318">
          <cell r="A318" t="str">
            <v>X</v>
          </cell>
          <cell r="Q318">
            <v>73055320</v>
          </cell>
          <cell r="R318">
            <v>646256000</v>
          </cell>
          <cell r="W318">
            <v>277</v>
          </cell>
          <cell r="AA318">
            <v>132406000</v>
          </cell>
          <cell r="AB318">
            <v>55050480</v>
          </cell>
          <cell r="AC318">
            <v>41680847</v>
          </cell>
        </row>
        <row r="319">
          <cell r="A319" t="str">
            <v>X</v>
          </cell>
          <cell r="Q319">
            <v>51318900</v>
          </cell>
          <cell r="R319">
            <v>502200000</v>
          </cell>
          <cell r="W319">
            <v>394</v>
          </cell>
          <cell r="AA319">
            <v>219852000</v>
          </cell>
          <cell r="AB319">
            <v>100296300</v>
          </cell>
          <cell r="AC319">
            <v>76026663</v>
          </cell>
        </row>
        <row r="320">
          <cell r="A320" t="str">
            <v>X</v>
          </cell>
          <cell r="Q320">
            <v>24623722</v>
          </cell>
          <cell r="R320">
            <v>220186000</v>
          </cell>
          <cell r="W320">
            <v>495</v>
          </cell>
          <cell r="AA320">
            <v>88110000</v>
          </cell>
          <cell r="AB320">
            <v>40155000</v>
          </cell>
          <cell r="AC320">
            <v>30905161</v>
          </cell>
        </row>
        <row r="321">
          <cell r="A321" t="str">
            <v>X</v>
          </cell>
          <cell r="Q321">
            <v>45723778</v>
          </cell>
          <cell r="R321">
            <v>407798000</v>
          </cell>
          <cell r="W321">
            <v>1197</v>
          </cell>
          <cell r="AA321">
            <v>213066000</v>
          </cell>
          <cell r="AB321">
            <v>96565100</v>
          </cell>
          <cell r="AC321">
            <v>74108120</v>
          </cell>
        </row>
        <row r="322">
          <cell r="A322" t="str">
            <v>X</v>
          </cell>
          <cell r="Q322">
            <v>12999608</v>
          </cell>
          <cell r="R322">
            <v>121572000</v>
          </cell>
          <cell r="W322">
            <v>483</v>
          </cell>
          <cell r="AA322">
            <v>95634000</v>
          </cell>
          <cell r="AB322">
            <v>44051645</v>
          </cell>
          <cell r="AC322">
            <v>33846353</v>
          </cell>
        </row>
        <row r="323">
          <cell r="A323" t="str">
            <v>X</v>
          </cell>
          <cell r="Q323">
            <v>9294696</v>
          </cell>
          <cell r="R323">
            <v>87912000</v>
          </cell>
          <cell r="W323">
            <v>132</v>
          </cell>
          <cell r="AA323">
            <v>26136000</v>
          </cell>
          <cell r="AB323">
            <v>10251300</v>
          </cell>
          <cell r="AC323">
            <v>7924934</v>
          </cell>
        </row>
        <row r="324">
          <cell r="A324" t="str">
            <v>X</v>
          </cell>
          <cell r="Q324">
            <v>17733870</v>
          </cell>
          <cell r="R324">
            <v>152460000</v>
          </cell>
          <cell r="W324">
            <v>414</v>
          </cell>
          <cell r="AA324">
            <v>81972000</v>
          </cell>
          <cell r="AB324">
            <v>37366200</v>
          </cell>
          <cell r="AC324">
            <v>28890725</v>
          </cell>
        </row>
        <row r="325">
          <cell r="A325" t="str">
            <v>X</v>
          </cell>
          <cell r="Q325">
            <v>11269972</v>
          </cell>
          <cell r="R325">
            <v>98406000</v>
          </cell>
          <cell r="W325">
            <v>225</v>
          </cell>
          <cell r="AA325">
            <v>44550000</v>
          </cell>
          <cell r="AB325">
            <v>16736400</v>
          </cell>
          <cell r="AC325">
            <v>12738342</v>
          </cell>
        </row>
        <row r="326">
          <cell r="A326" t="str">
            <v>X</v>
          </cell>
          <cell r="Q326">
            <v>12996520</v>
          </cell>
          <cell r="R326">
            <v>128620000</v>
          </cell>
          <cell r="W326">
            <v>248</v>
          </cell>
          <cell r="AA326">
            <v>54064000</v>
          </cell>
          <cell r="AB326">
            <v>24392800</v>
          </cell>
          <cell r="AC326">
            <v>18863431</v>
          </cell>
        </row>
        <row r="327">
          <cell r="A327" t="str">
            <v>X</v>
          </cell>
          <cell r="Q327">
            <v>32478229</v>
          </cell>
          <cell r="R327">
            <v>280766000</v>
          </cell>
          <cell r="W327">
            <v>1580</v>
          </cell>
          <cell r="AA327">
            <v>249640000</v>
          </cell>
          <cell r="AB327">
            <v>96783150</v>
          </cell>
          <cell r="AC327">
            <v>74165425</v>
          </cell>
        </row>
        <row r="328">
          <cell r="A328" t="str">
            <v>X</v>
          </cell>
          <cell r="Q328">
            <v>29382115</v>
          </cell>
          <cell r="R328">
            <v>267890000</v>
          </cell>
          <cell r="W328">
            <v>466</v>
          </cell>
          <cell r="AA328">
            <v>82948000</v>
          </cell>
          <cell r="AB328">
            <v>39001895</v>
          </cell>
          <cell r="AC328">
            <v>30018098</v>
          </cell>
        </row>
        <row r="329">
          <cell r="A329" t="str">
            <v>X</v>
          </cell>
          <cell r="Q329">
            <v>23326254</v>
          </cell>
          <cell r="R329">
            <v>192276000</v>
          </cell>
          <cell r="W329">
            <v>429</v>
          </cell>
          <cell r="AA329">
            <v>93522000</v>
          </cell>
          <cell r="AB329">
            <v>43652500</v>
          </cell>
          <cell r="AC329">
            <v>33400761</v>
          </cell>
        </row>
        <row r="330">
          <cell r="A330" t="str">
            <v>X</v>
          </cell>
          <cell r="Q330">
            <v>22678020</v>
          </cell>
          <cell r="R330">
            <v>214434000</v>
          </cell>
          <cell r="W330">
            <v>560</v>
          </cell>
          <cell r="AA330">
            <v>110880000</v>
          </cell>
          <cell r="AB330">
            <v>50911880</v>
          </cell>
          <cell r="AC330">
            <v>38754832</v>
          </cell>
        </row>
        <row r="331">
          <cell r="A331" t="str">
            <v>X</v>
          </cell>
          <cell r="Q331">
            <v>9314539</v>
          </cell>
          <cell r="R331">
            <v>87854000</v>
          </cell>
          <cell r="W331">
            <v>87</v>
          </cell>
          <cell r="AA331">
            <v>18966000</v>
          </cell>
          <cell r="AB331">
            <v>8908000</v>
          </cell>
          <cell r="AC331">
            <v>6767756</v>
          </cell>
        </row>
        <row r="332">
          <cell r="A332" t="str">
            <v>X</v>
          </cell>
          <cell r="Q332">
            <v>21778536</v>
          </cell>
          <cell r="R332">
            <v>184592000</v>
          </cell>
          <cell r="W332">
            <v>389</v>
          </cell>
          <cell r="AA332">
            <v>108142000</v>
          </cell>
          <cell r="AB332">
            <v>49501500</v>
          </cell>
          <cell r="AC332">
            <v>37095131</v>
          </cell>
        </row>
        <row r="333">
          <cell r="A333" t="str">
            <v>X</v>
          </cell>
          <cell r="Q333">
            <v>39628496</v>
          </cell>
          <cell r="R333">
            <v>329834000</v>
          </cell>
          <cell r="W333">
            <v>1006</v>
          </cell>
          <cell r="AA333">
            <v>219308000</v>
          </cell>
          <cell r="AB333">
            <v>100045685</v>
          </cell>
          <cell r="AC333">
            <v>76239510</v>
          </cell>
        </row>
        <row r="334">
          <cell r="A334" t="str">
            <v>X</v>
          </cell>
          <cell r="Q334">
            <v>15753764</v>
          </cell>
          <cell r="R334">
            <v>164294000</v>
          </cell>
          <cell r="W334">
            <v>512</v>
          </cell>
          <cell r="AA334">
            <v>91136000</v>
          </cell>
          <cell r="AB334">
            <v>36394450</v>
          </cell>
          <cell r="AC334">
            <v>27764812</v>
          </cell>
        </row>
        <row r="335">
          <cell r="A335" t="str">
            <v>X</v>
          </cell>
          <cell r="Q335">
            <v>133432629</v>
          </cell>
          <cell r="R335">
            <v>973566000</v>
          </cell>
          <cell r="W335">
            <v>1757</v>
          </cell>
          <cell r="AA335">
            <v>347886000</v>
          </cell>
          <cell r="AB335">
            <v>158467485</v>
          </cell>
          <cell r="AC335">
            <v>121444448</v>
          </cell>
        </row>
        <row r="336">
          <cell r="A336" t="str">
            <v>X</v>
          </cell>
          <cell r="Q336">
            <v>19296849</v>
          </cell>
          <cell r="R336">
            <v>136214000</v>
          </cell>
          <cell r="W336">
            <v>86</v>
          </cell>
          <cell r="AA336">
            <v>29068000</v>
          </cell>
          <cell r="AB336">
            <v>13317900</v>
          </cell>
          <cell r="AC336">
            <v>10025503</v>
          </cell>
        </row>
        <row r="337">
          <cell r="A337" t="str">
            <v>X</v>
          </cell>
          <cell r="Q337">
            <v>5149200</v>
          </cell>
          <cell r="R337">
            <v>23400000</v>
          </cell>
          <cell r="W337">
            <v>115</v>
          </cell>
          <cell r="AA337">
            <v>4485000</v>
          </cell>
          <cell r="AB337">
            <v>3588000</v>
          </cell>
          <cell r="AC337">
            <v>2732340</v>
          </cell>
        </row>
        <row r="338">
          <cell r="A338" t="str">
            <v>X</v>
          </cell>
          <cell r="Q338">
            <v>1518967</v>
          </cell>
          <cell r="R338">
            <v>7164000</v>
          </cell>
          <cell r="W338">
            <v>103</v>
          </cell>
          <cell r="AA338">
            <v>3708000</v>
          </cell>
          <cell r="AB338">
            <v>2886400</v>
          </cell>
          <cell r="AC338">
            <v>2265984</v>
          </cell>
        </row>
        <row r="339">
          <cell r="A339" t="str">
            <v>X</v>
          </cell>
          <cell r="Q339">
            <v>2832102</v>
          </cell>
          <cell r="R339">
            <v>17052000</v>
          </cell>
          <cell r="W339">
            <v>162</v>
          </cell>
          <cell r="AA339">
            <v>9396000</v>
          </cell>
          <cell r="AB339">
            <v>7273000</v>
          </cell>
          <cell r="AC339">
            <v>5659872</v>
          </cell>
        </row>
        <row r="340">
          <cell r="A340" t="str">
            <v>X</v>
          </cell>
          <cell r="Q340">
            <v>1444950</v>
          </cell>
          <cell r="R340">
            <v>8700000</v>
          </cell>
          <cell r="W340">
            <v>74</v>
          </cell>
          <cell r="AA340">
            <v>4292000</v>
          </cell>
          <cell r="AB340">
            <v>3305600</v>
          </cell>
          <cell r="AC340">
            <v>2590048</v>
          </cell>
        </row>
        <row r="341">
          <cell r="A341" t="str">
            <v>X</v>
          </cell>
          <cell r="Q341">
            <v>3206304</v>
          </cell>
          <cell r="R341">
            <v>15552000</v>
          </cell>
          <cell r="W341">
            <v>94</v>
          </cell>
          <cell r="AA341">
            <v>5076000</v>
          </cell>
          <cell r="AB341">
            <v>3856800</v>
          </cell>
          <cell r="AC341">
            <v>3040200</v>
          </cell>
        </row>
        <row r="342">
          <cell r="A342" t="str">
            <v>X</v>
          </cell>
          <cell r="Q342">
            <v>1605583</v>
          </cell>
          <cell r="R342">
            <v>8758000</v>
          </cell>
          <cell r="W342">
            <v>72</v>
          </cell>
          <cell r="AA342">
            <v>4176000</v>
          </cell>
          <cell r="AB342">
            <v>3244000</v>
          </cell>
          <cell r="AC342">
            <v>2559888</v>
          </cell>
        </row>
        <row r="343">
          <cell r="A343" t="str">
            <v>X</v>
          </cell>
          <cell r="Q343">
            <v>1658817</v>
          </cell>
          <cell r="R343">
            <v>8642000</v>
          </cell>
          <cell r="W343">
            <v>59</v>
          </cell>
          <cell r="AA343">
            <v>3422000</v>
          </cell>
          <cell r="AB343">
            <v>2596000</v>
          </cell>
          <cell r="AC343">
            <v>2070368</v>
          </cell>
        </row>
        <row r="344">
          <cell r="A344" t="str">
            <v>X</v>
          </cell>
          <cell r="Q344">
            <v>3120351</v>
          </cell>
          <cell r="R344">
            <v>14326000</v>
          </cell>
          <cell r="W344">
            <v>94</v>
          </cell>
          <cell r="AA344">
            <v>5452000</v>
          </cell>
          <cell r="AB344">
            <v>4025600</v>
          </cell>
          <cell r="AC344">
            <v>3234776</v>
          </cell>
        </row>
        <row r="345">
          <cell r="A345" t="str">
            <v>X</v>
          </cell>
          <cell r="Q345">
            <v>2613467</v>
          </cell>
          <cell r="R345">
            <v>11542000</v>
          </cell>
          <cell r="W345">
            <v>148</v>
          </cell>
          <cell r="AA345">
            <v>8584000</v>
          </cell>
          <cell r="AB345">
            <v>6470400</v>
          </cell>
          <cell r="AC345">
            <v>5257584</v>
          </cell>
        </row>
        <row r="346">
          <cell r="A346" t="str">
            <v>X</v>
          </cell>
          <cell r="Q346">
            <v>2513967</v>
          </cell>
          <cell r="R346">
            <v>11542000</v>
          </cell>
          <cell r="W346">
            <v>98</v>
          </cell>
          <cell r="AA346">
            <v>5684000</v>
          </cell>
          <cell r="AB346">
            <v>4409200</v>
          </cell>
          <cell r="AC346">
            <v>3419680</v>
          </cell>
        </row>
        <row r="347">
          <cell r="A347" t="str">
            <v>X</v>
          </cell>
          <cell r="Q347">
            <v>3466634</v>
          </cell>
          <cell r="R347">
            <v>17284000</v>
          </cell>
          <cell r="W347">
            <v>183</v>
          </cell>
          <cell r="AA347">
            <v>10614000</v>
          </cell>
          <cell r="AB347">
            <v>8241200</v>
          </cell>
          <cell r="AC347">
            <v>6426632</v>
          </cell>
        </row>
        <row r="348">
          <cell r="A348" t="str">
            <v>X</v>
          </cell>
          <cell r="Q348">
            <v>1795684</v>
          </cell>
          <cell r="R348">
            <v>10064000</v>
          </cell>
          <cell r="W348">
            <v>139</v>
          </cell>
          <cell r="AA348">
            <v>9452000</v>
          </cell>
          <cell r="AB348">
            <v>7251600</v>
          </cell>
          <cell r="AC348">
            <v>5700032</v>
          </cell>
        </row>
        <row r="349">
          <cell r="A349" t="str">
            <v>X</v>
          </cell>
          <cell r="Q349">
            <v>5071368</v>
          </cell>
          <cell r="R349">
            <v>23088000</v>
          </cell>
          <cell r="W349">
            <v>247</v>
          </cell>
          <cell r="AA349">
            <v>19266000</v>
          </cell>
          <cell r="AB349">
            <v>14702800</v>
          </cell>
          <cell r="AC349">
            <v>11732760</v>
          </cell>
        </row>
        <row r="350">
          <cell r="A350" t="str">
            <v>X</v>
          </cell>
          <cell r="Q350">
            <v>3896550</v>
          </cell>
          <cell r="R350">
            <v>23800000</v>
          </cell>
          <cell r="W350">
            <v>299</v>
          </cell>
          <cell r="AA350">
            <v>20332000</v>
          </cell>
          <cell r="AB350">
            <v>15725600</v>
          </cell>
          <cell r="AC350">
            <v>12321872</v>
          </cell>
        </row>
        <row r="351">
          <cell r="A351" t="str">
            <v>X</v>
          </cell>
          <cell r="Q351">
            <v>2738718</v>
          </cell>
          <cell r="R351">
            <v>14268000</v>
          </cell>
          <cell r="W351">
            <v>203</v>
          </cell>
          <cell r="AA351">
            <v>11774000</v>
          </cell>
          <cell r="AB351">
            <v>9232400</v>
          </cell>
          <cell r="AC351">
            <v>7106624</v>
          </cell>
        </row>
        <row r="352">
          <cell r="A352" t="str">
            <v>X</v>
          </cell>
          <cell r="Q352">
            <v>6658284</v>
          </cell>
          <cell r="R352">
            <v>27144000</v>
          </cell>
          <cell r="W352">
            <v>185</v>
          </cell>
          <cell r="AA352">
            <v>14430000</v>
          </cell>
          <cell r="AB352">
            <v>10884000</v>
          </cell>
          <cell r="AC352">
            <v>8755032</v>
          </cell>
        </row>
        <row r="353">
          <cell r="A353" t="str">
            <v>X</v>
          </cell>
          <cell r="Q353">
            <v>1807817</v>
          </cell>
          <cell r="R353">
            <v>8642000</v>
          </cell>
          <cell r="W353">
            <v>131</v>
          </cell>
          <cell r="AA353">
            <v>7598000</v>
          </cell>
          <cell r="AB353">
            <v>5908400</v>
          </cell>
          <cell r="AC353">
            <v>4634664</v>
          </cell>
        </row>
        <row r="354">
          <cell r="A354" t="str">
            <v>X</v>
          </cell>
          <cell r="Q354">
            <v>2772667</v>
          </cell>
          <cell r="R354">
            <v>12338000</v>
          </cell>
          <cell r="W354">
            <v>188</v>
          </cell>
          <cell r="AA354">
            <v>11656000</v>
          </cell>
          <cell r="AB354">
            <v>9094800</v>
          </cell>
          <cell r="AC354">
            <v>7108920</v>
          </cell>
        </row>
        <row r="355">
          <cell r="A355" t="str">
            <v>X</v>
          </cell>
          <cell r="Q355">
            <v>30578372</v>
          </cell>
          <cell r="R355">
            <v>237158000</v>
          </cell>
          <cell r="W355">
            <v>2927</v>
          </cell>
          <cell r="AA355">
            <v>231233000</v>
          </cell>
          <cell r="AB355">
            <v>87185791</v>
          </cell>
          <cell r="AC355">
            <v>62483759</v>
          </cell>
        </row>
        <row r="356">
          <cell r="A356" t="str">
            <v>X</v>
          </cell>
          <cell r="Q356">
            <v>30527442</v>
          </cell>
          <cell r="R356">
            <v>236763000</v>
          </cell>
          <cell r="W356">
            <v>3122</v>
          </cell>
          <cell r="AA356">
            <v>246638000</v>
          </cell>
          <cell r="AB356">
            <v>91273895</v>
          </cell>
          <cell r="AC356">
            <v>65130547</v>
          </cell>
        </row>
        <row r="357">
          <cell r="A357" t="str">
            <v>X</v>
          </cell>
          <cell r="Q357">
            <v>30507070</v>
          </cell>
          <cell r="R357">
            <v>236605000</v>
          </cell>
          <cell r="W357">
            <v>2422</v>
          </cell>
          <cell r="AA357">
            <v>191338000</v>
          </cell>
          <cell r="AB357">
            <v>71047175</v>
          </cell>
          <cell r="AC357">
            <v>50596415</v>
          </cell>
        </row>
        <row r="358">
          <cell r="A358" t="str">
            <v>X</v>
          </cell>
          <cell r="Q358">
            <v>13782564</v>
          </cell>
          <cell r="R358">
            <v>67816000</v>
          </cell>
          <cell r="W358">
            <v>282</v>
          </cell>
          <cell r="AA358">
            <v>27636000</v>
          </cell>
          <cell r="AB358">
            <v>11470200</v>
          </cell>
          <cell r="AC358">
            <v>8703855</v>
          </cell>
        </row>
        <row r="359">
          <cell r="A359" t="str">
            <v>X</v>
          </cell>
          <cell r="Q359">
            <v>12762266</v>
          </cell>
          <cell r="R359">
            <v>107756000</v>
          </cell>
          <cell r="W359">
            <v>226</v>
          </cell>
          <cell r="AA359">
            <v>35708000</v>
          </cell>
          <cell r="AB359">
            <v>14924900</v>
          </cell>
          <cell r="AC359">
            <v>11360791</v>
          </cell>
        </row>
        <row r="360">
          <cell r="A360" t="str">
            <v>X</v>
          </cell>
          <cell r="Q360">
            <v>12829158</v>
          </cell>
          <cell r="R360">
            <v>105228000</v>
          </cell>
          <cell r="W360">
            <v>438</v>
          </cell>
          <cell r="AA360">
            <v>69204000</v>
          </cell>
          <cell r="AB360">
            <v>31563200</v>
          </cell>
          <cell r="AC360">
            <v>24896732</v>
          </cell>
        </row>
        <row r="361">
          <cell r="A361" t="str">
            <v>X</v>
          </cell>
          <cell r="Q361">
            <v>10426563</v>
          </cell>
          <cell r="R361">
            <v>89586000</v>
          </cell>
          <cell r="W361">
            <v>197</v>
          </cell>
          <cell r="AA361">
            <v>31126000</v>
          </cell>
          <cell r="AB361">
            <v>14194400</v>
          </cell>
          <cell r="AC361">
            <v>10921197</v>
          </cell>
        </row>
        <row r="362">
          <cell r="A362" t="str">
            <v>X</v>
          </cell>
          <cell r="Q362">
            <v>8703954</v>
          </cell>
          <cell r="R362">
            <v>81844000</v>
          </cell>
          <cell r="W362">
            <v>180</v>
          </cell>
          <cell r="AA362">
            <v>28440000</v>
          </cell>
          <cell r="AB362">
            <v>11916100</v>
          </cell>
          <cell r="AC362">
            <v>9171197</v>
          </cell>
        </row>
        <row r="363">
          <cell r="A363" t="str">
            <v>X</v>
          </cell>
          <cell r="Q363">
            <v>15302496</v>
          </cell>
          <cell r="R363">
            <v>119972000</v>
          </cell>
          <cell r="W363">
            <v>202</v>
          </cell>
          <cell r="AA363">
            <v>35956000</v>
          </cell>
          <cell r="AB363">
            <v>16307500</v>
          </cell>
          <cell r="AC363">
            <v>12590608</v>
          </cell>
        </row>
        <row r="364">
          <cell r="A364" t="str">
            <v>X</v>
          </cell>
          <cell r="Q364">
            <v>17260560</v>
          </cell>
          <cell r="R364">
            <v>124188000</v>
          </cell>
          <cell r="W364">
            <v>191</v>
          </cell>
          <cell r="AA364">
            <v>30178000</v>
          </cell>
          <cell r="AB364">
            <v>12451050</v>
          </cell>
          <cell r="AC364">
            <v>9682672</v>
          </cell>
        </row>
        <row r="365">
          <cell r="A365" t="str">
            <v>X</v>
          </cell>
          <cell r="Q365">
            <v>13499361</v>
          </cell>
          <cell r="R365">
            <v>107334000</v>
          </cell>
          <cell r="W365">
            <v>153</v>
          </cell>
          <cell r="AA365">
            <v>27234000</v>
          </cell>
          <cell r="AB365">
            <v>11499300</v>
          </cell>
          <cell r="AC365">
            <v>8822435</v>
          </cell>
        </row>
        <row r="366">
          <cell r="A366" t="str">
            <v>X</v>
          </cell>
          <cell r="Q366">
            <v>16308595</v>
          </cell>
          <cell r="R366">
            <v>146782000</v>
          </cell>
          <cell r="W366">
            <v>373</v>
          </cell>
          <cell r="AA366">
            <v>58934000</v>
          </cell>
          <cell r="AB366">
            <v>24217095</v>
          </cell>
          <cell r="AC366">
            <v>18464695</v>
          </cell>
        </row>
        <row r="367">
          <cell r="A367" t="str">
            <v>X</v>
          </cell>
          <cell r="Q367">
            <v>7869656</v>
          </cell>
          <cell r="R367">
            <v>65608000</v>
          </cell>
          <cell r="W367">
            <v>42</v>
          </cell>
          <cell r="AA367">
            <v>11676000</v>
          </cell>
          <cell r="AB367">
            <v>4684050</v>
          </cell>
          <cell r="AC367">
            <v>3622079</v>
          </cell>
        </row>
        <row r="368">
          <cell r="A368" t="str">
            <v>X</v>
          </cell>
          <cell r="Q368">
            <v>29640221</v>
          </cell>
          <cell r="R368">
            <v>230958000</v>
          </cell>
          <cell r="W368">
            <v>64</v>
          </cell>
          <cell r="AA368">
            <v>24192000</v>
          </cell>
          <cell r="AB368">
            <v>11222200</v>
          </cell>
          <cell r="AC368">
            <v>8273097</v>
          </cell>
        </row>
        <row r="369">
          <cell r="A369" t="str">
            <v>X</v>
          </cell>
          <cell r="Q369">
            <v>18901362</v>
          </cell>
          <cell r="R369">
            <v>133172000</v>
          </cell>
          <cell r="W369">
            <v>63</v>
          </cell>
          <cell r="AA369">
            <v>21294000</v>
          </cell>
          <cell r="AB369">
            <v>9733400</v>
          </cell>
          <cell r="AC369">
            <v>7602212</v>
          </cell>
        </row>
        <row r="370">
          <cell r="A370" t="str">
            <v>X</v>
          </cell>
          <cell r="Q370">
            <v>30777978</v>
          </cell>
          <cell r="R370">
            <v>216876000</v>
          </cell>
          <cell r="W370">
            <v>319</v>
          </cell>
          <cell r="AA370">
            <v>101442000</v>
          </cell>
          <cell r="AB370">
            <v>46369900</v>
          </cell>
          <cell r="AC370">
            <v>35579828</v>
          </cell>
        </row>
        <row r="371">
          <cell r="A371" t="str">
            <v>X</v>
          </cell>
          <cell r="Q371">
            <v>14753875</v>
          </cell>
          <cell r="R371">
            <v>116070000</v>
          </cell>
          <cell r="W371">
            <v>70</v>
          </cell>
          <cell r="AA371">
            <v>30660000</v>
          </cell>
          <cell r="AB371">
            <v>13847900</v>
          </cell>
          <cell r="AC371">
            <v>10266501</v>
          </cell>
        </row>
        <row r="372">
          <cell r="A372" t="str">
            <v>X</v>
          </cell>
          <cell r="Q372">
            <v>45193786</v>
          </cell>
          <cell r="R372">
            <v>387658000</v>
          </cell>
          <cell r="W372">
            <v>55</v>
          </cell>
          <cell r="AA372">
            <v>26290000</v>
          </cell>
          <cell r="AB372">
            <v>10914800</v>
          </cell>
          <cell r="AC372">
            <v>8226041</v>
          </cell>
        </row>
        <row r="373">
          <cell r="A373" t="str">
            <v>X</v>
          </cell>
          <cell r="Q373">
            <v>29681988</v>
          </cell>
          <cell r="R373">
            <v>267704000</v>
          </cell>
          <cell r="W373">
            <v>327</v>
          </cell>
          <cell r="AA373">
            <v>71286000</v>
          </cell>
          <cell r="AB373">
            <v>28156500</v>
          </cell>
          <cell r="AC373">
            <v>21603644</v>
          </cell>
        </row>
        <row r="374">
          <cell r="A374" t="str">
            <v>X</v>
          </cell>
          <cell r="Q374">
            <v>18149184</v>
          </cell>
          <cell r="R374">
            <v>188352000</v>
          </cell>
          <cell r="W374">
            <v>265</v>
          </cell>
          <cell r="AA374">
            <v>57770000</v>
          </cell>
          <cell r="AB374">
            <v>23008200</v>
          </cell>
          <cell r="AC374">
            <v>17411067</v>
          </cell>
        </row>
        <row r="375">
          <cell r="A375" t="str">
            <v>X</v>
          </cell>
          <cell r="Q375">
            <v>25267194</v>
          </cell>
          <cell r="R375">
            <v>248454000</v>
          </cell>
          <cell r="W375">
            <v>511</v>
          </cell>
          <cell r="AA375">
            <v>131838000</v>
          </cell>
          <cell r="AB375">
            <v>60422585</v>
          </cell>
          <cell r="AC375">
            <v>45783093</v>
          </cell>
        </row>
        <row r="376">
          <cell r="A376" t="str">
            <v>X</v>
          </cell>
          <cell r="Q376">
            <v>27875610</v>
          </cell>
          <cell r="R376">
            <v>203476000</v>
          </cell>
          <cell r="W376">
            <v>103</v>
          </cell>
          <cell r="AA376">
            <v>34814000</v>
          </cell>
          <cell r="AB376">
            <v>14488000</v>
          </cell>
          <cell r="AC376">
            <v>11038560</v>
          </cell>
        </row>
        <row r="377">
          <cell r="A377" t="str">
            <v>X</v>
          </cell>
          <cell r="Q377">
            <v>11954336</v>
          </cell>
          <cell r="R377">
            <v>113128000</v>
          </cell>
          <cell r="W377">
            <v>296</v>
          </cell>
          <cell r="AA377">
            <v>46768000</v>
          </cell>
          <cell r="AB377">
            <v>17649650</v>
          </cell>
          <cell r="AC377">
            <v>13631214</v>
          </cell>
        </row>
        <row r="378">
          <cell r="A378" t="str">
            <v>X</v>
          </cell>
          <cell r="Q378">
            <v>7446680</v>
          </cell>
          <cell r="R378">
            <v>59408000</v>
          </cell>
          <cell r="W378">
            <v>106</v>
          </cell>
          <cell r="AA378">
            <v>16748000</v>
          </cell>
          <cell r="AB378">
            <v>6702300</v>
          </cell>
          <cell r="AC378">
            <v>5149458</v>
          </cell>
        </row>
        <row r="379">
          <cell r="A379" t="str">
            <v>X</v>
          </cell>
          <cell r="Q379">
            <v>12009200</v>
          </cell>
          <cell r="R379">
            <v>110600000</v>
          </cell>
          <cell r="W379">
            <v>151</v>
          </cell>
          <cell r="AA379">
            <v>23858000</v>
          </cell>
          <cell r="AB379">
            <v>9748550</v>
          </cell>
          <cell r="AC379">
            <v>7508274</v>
          </cell>
        </row>
        <row r="380">
          <cell r="A380" t="str">
            <v>X</v>
          </cell>
          <cell r="Q380">
            <v>9277472</v>
          </cell>
          <cell r="R380">
            <v>96064000</v>
          </cell>
          <cell r="W380">
            <v>163</v>
          </cell>
          <cell r="AA380">
            <v>25754000</v>
          </cell>
          <cell r="AB380">
            <v>10472600</v>
          </cell>
          <cell r="AC380">
            <v>8224136</v>
          </cell>
        </row>
        <row r="381">
          <cell r="A381" t="str">
            <v>X</v>
          </cell>
          <cell r="Q381">
            <v>9990828</v>
          </cell>
          <cell r="R381">
            <v>101994000</v>
          </cell>
          <cell r="W381">
            <v>148</v>
          </cell>
          <cell r="AA381">
            <v>26344000</v>
          </cell>
          <cell r="AB381">
            <v>9617200</v>
          </cell>
          <cell r="AC381">
            <v>7379440</v>
          </cell>
        </row>
        <row r="382">
          <cell r="A382" t="str">
            <v>X</v>
          </cell>
          <cell r="Q382">
            <v>16692900</v>
          </cell>
          <cell r="R382">
            <v>124600000</v>
          </cell>
          <cell r="W382">
            <v>220</v>
          </cell>
          <cell r="AA382">
            <v>39160000</v>
          </cell>
          <cell r="AB382">
            <v>17673700</v>
          </cell>
          <cell r="AC382">
            <v>13736972</v>
          </cell>
        </row>
        <row r="383">
          <cell r="A383" t="str">
            <v>X</v>
          </cell>
          <cell r="Q383">
            <v>22193410</v>
          </cell>
          <cell r="R383">
            <v>183340000</v>
          </cell>
          <cell r="W383">
            <v>788</v>
          </cell>
          <cell r="AA383">
            <v>140264000</v>
          </cell>
          <cell r="AB383">
            <v>66115445</v>
          </cell>
          <cell r="AC383">
            <v>51067386</v>
          </cell>
        </row>
        <row r="384">
          <cell r="A384" t="str">
            <v>X</v>
          </cell>
          <cell r="Q384">
            <v>18886755</v>
          </cell>
          <cell r="R384">
            <v>153614000</v>
          </cell>
          <cell r="W384">
            <v>745</v>
          </cell>
          <cell r="AA384">
            <v>132610000</v>
          </cell>
          <cell r="AB384">
            <v>62664900</v>
          </cell>
          <cell r="AC384">
            <v>48505107</v>
          </cell>
        </row>
        <row r="385">
          <cell r="A385" t="str">
            <v>X</v>
          </cell>
          <cell r="Q385">
            <v>8403500</v>
          </cell>
          <cell r="R385">
            <v>68110000</v>
          </cell>
          <cell r="W385">
            <v>71</v>
          </cell>
          <cell r="AA385">
            <v>19738000</v>
          </cell>
          <cell r="AB385">
            <v>7367900</v>
          </cell>
          <cell r="AC385">
            <v>5572059</v>
          </cell>
        </row>
        <row r="386">
          <cell r="A386" t="str">
            <v>X</v>
          </cell>
          <cell r="Q386">
            <v>31404584</v>
          </cell>
          <cell r="R386">
            <v>235842000</v>
          </cell>
          <cell r="W386">
            <v>1030</v>
          </cell>
          <cell r="AA386">
            <v>142140000</v>
          </cell>
          <cell r="AB386">
            <v>52524700</v>
          </cell>
          <cell r="AC386">
            <v>40180832</v>
          </cell>
        </row>
        <row r="387">
          <cell r="A387" t="str">
            <v>X</v>
          </cell>
          <cell r="Q387">
            <v>29162712</v>
          </cell>
          <cell r="R387">
            <v>219006000</v>
          </cell>
          <cell r="W387">
            <v>1173</v>
          </cell>
          <cell r="AA387">
            <v>161874000</v>
          </cell>
          <cell r="AB387">
            <v>59736300</v>
          </cell>
          <cell r="AC387">
            <v>45949845</v>
          </cell>
        </row>
        <row r="388">
          <cell r="A388" t="str">
            <v>X</v>
          </cell>
          <cell r="Q388">
            <v>11378256</v>
          </cell>
          <cell r="R388">
            <v>90294000</v>
          </cell>
          <cell r="W388">
            <v>170</v>
          </cell>
          <cell r="AA388">
            <v>50660000</v>
          </cell>
          <cell r="AB388">
            <v>23515900</v>
          </cell>
          <cell r="AC388">
            <v>17786056</v>
          </cell>
        </row>
        <row r="389">
          <cell r="A389" t="str">
            <v>X</v>
          </cell>
          <cell r="Q389">
            <v>20295409</v>
          </cell>
          <cell r="R389">
            <v>165986000</v>
          </cell>
          <cell r="W389">
            <v>208</v>
          </cell>
          <cell r="AA389">
            <v>61984000</v>
          </cell>
          <cell r="AB389">
            <v>23867050</v>
          </cell>
          <cell r="AC389">
            <v>18175674</v>
          </cell>
        </row>
        <row r="390">
          <cell r="A390" t="str">
            <v>X</v>
          </cell>
          <cell r="Q390">
            <v>31828161</v>
          </cell>
          <cell r="R390">
            <v>219042000</v>
          </cell>
          <cell r="W390">
            <v>616</v>
          </cell>
          <cell r="AA390">
            <v>158928000</v>
          </cell>
          <cell r="AB390">
            <v>62863800</v>
          </cell>
          <cell r="AC390">
            <v>47783507</v>
          </cell>
        </row>
        <row r="391">
          <cell r="A391" t="str">
            <v>X</v>
          </cell>
          <cell r="Q391">
            <v>27593794</v>
          </cell>
          <cell r="R391">
            <v>192468000</v>
          </cell>
          <cell r="W391">
            <v>468</v>
          </cell>
          <cell r="AA391">
            <v>120744000</v>
          </cell>
          <cell r="AB391">
            <v>48196350</v>
          </cell>
          <cell r="AC391">
            <v>36556688</v>
          </cell>
        </row>
        <row r="392">
          <cell r="A392" t="str">
            <v>X</v>
          </cell>
          <cell r="Q392">
            <v>23067850</v>
          </cell>
          <cell r="R392">
            <v>154700000</v>
          </cell>
          <cell r="W392">
            <v>188</v>
          </cell>
          <cell r="AA392">
            <v>44744000</v>
          </cell>
          <cell r="AB392">
            <v>19468700</v>
          </cell>
          <cell r="AC392">
            <v>14572672</v>
          </cell>
        </row>
        <row r="393">
          <cell r="A393" t="str">
            <v>X</v>
          </cell>
          <cell r="Q393">
            <v>9481888</v>
          </cell>
          <cell r="R393">
            <v>71162000</v>
          </cell>
          <cell r="W393">
            <v>111</v>
          </cell>
          <cell r="AA393">
            <v>26418000</v>
          </cell>
          <cell r="AB393">
            <v>11967040</v>
          </cell>
          <cell r="AC393">
            <v>9094658</v>
          </cell>
        </row>
        <row r="394">
          <cell r="A394" t="str">
            <v>X</v>
          </cell>
          <cell r="Q394">
            <v>17409366</v>
          </cell>
          <cell r="R394">
            <v>125316000</v>
          </cell>
          <cell r="W394">
            <v>507</v>
          </cell>
          <cell r="AA394">
            <v>59826000</v>
          </cell>
          <cell r="AB394">
            <v>27881740</v>
          </cell>
          <cell r="AC394">
            <v>21556871</v>
          </cell>
        </row>
        <row r="395">
          <cell r="A395" t="str">
            <v>X</v>
          </cell>
          <cell r="Q395">
            <v>12204590</v>
          </cell>
          <cell r="R395">
            <v>94764000</v>
          </cell>
          <cell r="W395">
            <v>71</v>
          </cell>
          <cell r="AA395">
            <v>22578000</v>
          </cell>
          <cell r="AB395">
            <v>10284000</v>
          </cell>
          <cell r="AC395">
            <v>7978779</v>
          </cell>
        </row>
        <row r="396">
          <cell r="A396" t="str">
            <v>X</v>
          </cell>
          <cell r="Q396">
            <v>20296890</v>
          </cell>
          <cell r="R396">
            <v>173310000</v>
          </cell>
          <cell r="W396">
            <v>176</v>
          </cell>
          <cell r="AA396">
            <v>55968000</v>
          </cell>
          <cell r="AB396">
            <v>25157990</v>
          </cell>
          <cell r="AC396">
            <v>19220898</v>
          </cell>
        </row>
        <row r="397">
          <cell r="A397" t="str">
            <v>X</v>
          </cell>
          <cell r="Q397">
            <v>15556842</v>
          </cell>
          <cell r="R397">
            <v>125452000</v>
          </cell>
          <cell r="W397">
            <v>310</v>
          </cell>
          <cell r="AA397">
            <v>48980000</v>
          </cell>
          <cell r="AB397">
            <v>19720150</v>
          </cell>
          <cell r="AC397">
            <v>15113083</v>
          </cell>
        </row>
        <row r="398">
          <cell r="A398" t="str">
            <v>X</v>
          </cell>
          <cell r="Q398">
            <v>34878888</v>
          </cell>
          <cell r="R398">
            <v>283536000</v>
          </cell>
          <cell r="W398">
            <v>439</v>
          </cell>
          <cell r="AA398">
            <v>157162000</v>
          </cell>
          <cell r="AB398">
            <v>71703335</v>
          </cell>
          <cell r="AC398">
            <v>55113590</v>
          </cell>
        </row>
        <row r="399">
          <cell r="A399" t="str">
            <v>X</v>
          </cell>
          <cell r="Q399">
            <v>24527974</v>
          </cell>
          <cell r="R399">
            <v>205428000</v>
          </cell>
          <cell r="W399">
            <v>113</v>
          </cell>
          <cell r="AA399">
            <v>35934000</v>
          </cell>
          <cell r="AB399">
            <v>15546900</v>
          </cell>
          <cell r="AC399">
            <v>11990909</v>
          </cell>
        </row>
        <row r="400">
          <cell r="A400" t="str">
            <v>X</v>
          </cell>
          <cell r="Q400">
            <v>17497512</v>
          </cell>
          <cell r="R400">
            <v>140892000</v>
          </cell>
          <cell r="W400">
            <v>116</v>
          </cell>
          <cell r="AA400">
            <v>46168000</v>
          </cell>
          <cell r="AB400">
            <v>20833800</v>
          </cell>
          <cell r="AC400">
            <v>16086961</v>
          </cell>
        </row>
        <row r="401">
          <cell r="A401" t="str">
            <v>X</v>
          </cell>
          <cell r="Q401">
            <v>48990368</v>
          </cell>
          <cell r="R401">
            <v>474858000</v>
          </cell>
          <cell r="W401">
            <v>131</v>
          </cell>
          <cell r="AA401">
            <v>73098000</v>
          </cell>
          <cell r="AB401">
            <v>32494600</v>
          </cell>
          <cell r="AC401">
            <v>24332486</v>
          </cell>
        </row>
        <row r="402">
          <cell r="A402" t="str">
            <v>X</v>
          </cell>
          <cell r="Q402">
            <v>42796140</v>
          </cell>
          <cell r="R402">
            <v>401200000</v>
          </cell>
          <cell r="W402">
            <v>118</v>
          </cell>
          <cell r="AA402">
            <v>139240000</v>
          </cell>
          <cell r="AB402">
            <v>60632200</v>
          </cell>
          <cell r="AC402">
            <v>46334105</v>
          </cell>
        </row>
        <row r="403">
          <cell r="A403" t="str">
            <v>X</v>
          </cell>
          <cell r="Q403">
            <v>81880438</v>
          </cell>
          <cell r="R403">
            <v>763460000</v>
          </cell>
          <cell r="W403">
            <v>203</v>
          </cell>
          <cell r="AA403">
            <v>239540000</v>
          </cell>
          <cell r="AB403">
            <v>102990050</v>
          </cell>
          <cell r="AC403">
            <v>76781180</v>
          </cell>
        </row>
        <row r="404">
          <cell r="A404" t="str">
            <v>X</v>
          </cell>
          <cell r="Q404">
            <v>12926991</v>
          </cell>
          <cell r="R404">
            <v>148302000</v>
          </cell>
          <cell r="W404">
            <v>438</v>
          </cell>
          <cell r="AA404">
            <v>86724000</v>
          </cell>
          <cell r="AB404">
            <v>32553200</v>
          </cell>
          <cell r="AC404">
            <v>25072665</v>
          </cell>
        </row>
        <row r="405">
          <cell r="A405" t="str">
            <v>X</v>
          </cell>
          <cell r="Q405">
            <v>11635812</v>
          </cell>
          <cell r="R405">
            <v>105948000</v>
          </cell>
          <cell r="W405">
            <v>162</v>
          </cell>
          <cell r="AA405">
            <v>35316000</v>
          </cell>
          <cell r="AB405">
            <v>13620650</v>
          </cell>
          <cell r="AC405">
            <v>10328518</v>
          </cell>
        </row>
        <row r="406">
          <cell r="A406" t="str">
            <v>X</v>
          </cell>
          <cell r="Q406">
            <v>11824126</v>
          </cell>
          <cell r="R406">
            <v>111474000</v>
          </cell>
          <cell r="W406">
            <v>111</v>
          </cell>
          <cell r="AA406">
            <v>21978000</v>
          </cell>
          <cell r="AB406">
            <v>9432500</v>
          </cell>
          <cell r="AC406">
            <v>7256733</v>
          </cell>
        </row>
        <row r="407">
          <cell r="A407" t="str">
            <v>X</v>
          </cell>
          <cell r="Q407">
            <v>8932140</v>
          </cell>
          <cell r="R407">
            <v>83160000</v>
          </cell>
          <cell r="W407">
            <v>136</v>
          </cell>
          <cell r="AA407">
            <v>26928000</v>
          </cell>
          <cell r="AB407">
            <v>12184600</v>
          </cell>
          <cell r="AC407">
            <v>9367430</v>
          </cell>
        </row>
        <row r="408">
          <cell r="A408" t="str">
            <v>X</v>
          </cell>
          <cell r="Q408">
            <v>8687100</v>
          </cell>
          <cell r="R408">
            <v>91080000</v>
          </cell>
          <cell r="W408">
            <v>329</v>
          </cell>
          <cell r="AA408">
            <v>65142000</v>
          </cell>
          <cell r="AB408">
            <v>29973100</v>
          </cell>
          <cell r="AC408">
            <v>22718570</v>
          </cell>
        </row>
        <row r="409">
          <cell r="A409" t="str">
            <v>X</v>
          </cell>
          <cell r="Q409">
            <v>39922415</v>
          </cell>
          <cell r="R409">
            <v>373230000</v>
          </cell>
          <cell r="W409">
            <v>791</v>
          </cell>
          <cell r="AA409">
            <v>156618000</v>
          </cell>
          <cell r="AB409">
            <v>66446950</v>
          </cell>
          <cell r="AC409">
            <v>50900536</v>
          </cell>
        </row>
        <row r="410">
          <cell r="A410" t="str">
            <v>X</v>
          </cell>
          <cell r="Q410">
            <v>11764401</v>
          </cell>
          <cell r="R410">
            <v>109098000</v>
          </cell>
          <cell r="W410">
            <v>288</v>
          </cell>
          <cell r="AA410">
            <v>57024000</v>
          </cell>
          <cell r="AB410">
            <v>26277445</v>
          </cell>
          <cell r="AC410">
            <v>19775681</v>
          </cell>
        </row>
        <row r="411">
          <cell r="A411" t="str">
            <v>X</v>
          </cell>
          <cell r="Q411">
            <v>23280900</v>
          </cell>
          <cell r="R411">
            <v>185736000</v>
          </cell>
          <cell r="W411">
            <v>260</v>
          </cell>
          <cell r="AA411">
            <v>56680000</v>
          </cell>
          <cell r="AB411">
            <v>25805195</v>
          </cell>
          <cell r="AC411">
            <v>19491527</v>
          </cell>
        </row>
        <row r="412">
          <cell r="A412" t="str">
            <v>X</v>
          </cell>
          <cell r="Q412">
            <v>14268012</v>
          </cell>
          <cell r="R412">
            <v>111606000</v>
          </cell>
          <cell r="W412">
            <v>265</v>
          </cell>
          <cell r="AA412">
            <v>47170000</v>
          </cell>
          <cell r="AB412">
            <v>19455000</v>
          </cell>
          <cell r="AC412">
            <v>14696281</v>
          </cell>
        </row>
        <row r="413">
          <cell r="A413" t="str">
            <v>X</v>
          </cell>
          <cell r="Q413">
            <v>12657843</v>
          </cell>
          <cell r="R413">
            <v>135378000</v>
          </cell>
          <cell r="W413">
            <v>291</v>
          </cell>
          <cell r="AA413">
            <v>63438000</v>
          </cell>
          <cell r="AB413">
            <v>29139000</v>
          </cell>
          <cell r="AC413">
            <v>21954726</v>
          </cell>
        </row>
        <row r="414">
          <cell r="A414" t="str">
            <v>X</v>
          </cell>
          <cell r="Q414">
            <v>7191646</v>
          </cell>
          <cell r="R414">
            <v>59092000</v>
          </cell>
          <cell r="W414">
            <v>44</v>
          </cell>
          <cell r="AA414">
            <v>6952000</v>
          </cell>
          <cell r="AB414">
            <v>3139600</v>
          </cell>
          <cell r="AC414">
            <v>2356586</v>
          </cell>
        </row>
        <row r="415">
          <cell r="A415" t="str">
            <v>X</v>
          </cell>
          <cell r="Q415">
            <v>6926864</v>
          </cell>
          <cell r="R415">
            <v>50876000</v>
          </cell>
          <cell r="W415">
            <v>99</v>
          </cell>
          <cell r="AA415">
            <v>15642000</v>
          </cell>
          <cell r="AB415">
            <v>7030100</v>
          </cell>
          <cell r="AC415">
            <v>5453195</v>
          </cell>
        </row>
        <row r="416">
          <cell r="A416" t="str">
            <v>X</v>
          </cell>
          <cell r="Q416">
            <v>6695040</v>
          </cell>
          <cell r="R416">
            <v>69520000</v>
          </cell>
          <cell r="W416">
            <v>134</v>
          </cell>
          <cell r="AA416">
            <v>21172000</v>
          </cell>
          <cell r="AB416">
            <v>9640300</v>
          </cell>
          <cell r="AC416">
            <v>7390648</v>
          </cell>
        </row>
        <row r="417">
          <cell r="A417" t="str">
            <v>X</v>
          </cell>
          <cell r="Q417">
            <v>5031936</v>
          </cell>
          <cell r="R417">
            <v>46368000</v>
          </cell>
          <cell r="W417">
            <v>104</v>
          </cell>
          <cell r="AA417">
            <v>14352000</v>
          </cell>
          <cell r="AB417">
            <v>6721000</v>
          </cell>
          <cell r="AC417">
            <v>5107967</v>
          </cell>
        </row>
        <row r="418">
          <cell r="A418" t="str">
            <v>X</v>
          </cell>
          <cell r="Q418">
            <v>6362655</v>
          </cell>
          <cell r="R418">
            <v>52930000</v>
          </cell>
          <cell r="W418">
            <v>95</v>
          </cell>
          <cell r="AA418">
            <v>15010000</v>
          </cell>
          <cell r="AB418">
            <v>6460100</v>
          </cell>
          <cell r="AC418">
            <v>4974271</v>
          </cell>
        </row>
        <row r="419">
          <cell r="A419" t="str">
            <v>X</v>
          </cell>
          <cell r="Q419">
            <v>7225764</v>
          </cell>
          <cell r="R419">
            <v>64792000</v>
          </cell>
          <cell r="W419">
            <v>240</v>
          </cell>
          <cell r="AA419">
            <v>42720000</v>
          </cell>
          <cell r="AB419">
            <v>19370600</v>
          </cell>
          <cell r="AC419">
            <v>15001484</v>
          </cell>
        </row>
        <row r="420">
          <cell r="A420" t="str">
            <v>X</v>
          </cell>
          <cell r="Q420">
            <v>8572818</v>
          </cell>
          <cell r="R420">
            <v>65148000</v>
          </cell>
          <cell r="W420">
            <v>102</v>
          </cell>
          <cell r="AA420">
            <v>18156000</v>
          </cell>
          <cell r="AB420">
            <v>8626500</v>
          </cell>
          <cell r="AC420">
            <v>6546039</v>
          </cell>
        </row>
        <row r="421">
          <cell r="A421" t="str">
            <v>X</v>
          </cell>
          <cell r="Q421">
            <v>7116465</v>
          </cell>
          <cell r="R421">
            <v>64938000</v>
          </cell>
          <cell r="W421">
            <v>126</v>
          </cell>
          <cell r="AA421">
            <v>19908000</v>
          </cell>
          <cell r="AB421">
            <v>9491700</v>
          </cell>
          <cell r="AC421">
            <v>7272898</v>
          </cell>
        </row>
        <row r="422">
          <cell r="A422" t="str">
            <v>X</v>
          </cell>
          <cell r="Q422">
            <v>5203804</v>
          </cell>
          <cell r="R422">
            <v>44714000</v>
          </cell>
          <cell r="W422">
            <v>49</v>
          </cell>
          <cell r="AA422">
            <v>7742000</v>
          </cell>
          <cell r="AB422">
            <v>3752600</v>
          </cell>
          <cell r="AC422">
            <v>2970756</v>
          </cell>
        </row>
        <row r="423">
          <cell r="A423" t="str">
            <v>X</v>
          </cell>
          <cell r="Q423">
            <v>9630416</v>
          </cell>
          <cell r="R423">
            <v>71378000</v>
          </cell>
          <cell r="W423">
            <v>100</v>
          </cell>
          <cell r="AA423">
            <v>17800000</v>
          </cell>
          <cell r="AB423">
            <v>8355000</v>
          </cell>
          <cell r="AC423">
            <v>6326343</v>
          </cell>
        </row>
        <row r="424">
          <cell r="A424" t="str">
            <v>X</v>
          </cell>
          <cell r="Q424">
            <v>5498106</v>
          </cell>
          <cell r="R424">
            <v>57494000</v>
          </cell>
          <cell r="W424">
            <v>190</v>
          </cell>
          <cell r="AA424">
            <v>33820000</v>
          </cell>
          <cell r="AB424">
            <v>16061300</v>
          </cell>
          <cell r="AC424">
            <v>11903483</v>
          </cell>
        </row>
        <row r="425">
          <cell r="A425" t="str">
            <v>X</v>
          </cell>
          <cell r="Q425">
            <v>16864372</v>
          </cell>
          <cell r="R425">
            <v>155372000</v>
          </cell>
          <cell r="W425">
            <v>216</v>
          </cell>
          <cell r="AA425">
            <v>77328000</v>
          </cell>
          <cell r="AB425">
            <v>35636400</v>
          </cell>
          <cell r="AC425">
            <v>27139622</v>
          </cell>
        </row>
        <row r="426">
          <cell r="A426" t="str">
            <v>X</v>
          </cell>
          <cell r="Q426">
            <v>15634000</v>
          </cell>
          <cell r="R426">
            <v>151200000</v>
          </cell>
          <cell r="W426">
            <v>119</v>
          </cell>
          <cell r="AA426">
            <v>44982000</v>
          </cell>
          <cell r="AB426">
            <v>20440000</v>
          </cell>
          <cell r="AC426">
            <v>15721493</v>
          </cell>
        </row>
        <row r="427">
          <cell r="A427" t="str">
            <v>X</v>
          </cell>
          <cell r="Q427">
            <v>18242607</v>
          </cell>
          <cell r="R427">
            <v>148482000</v>
          </cell>
          <cell r="W427">
            <v>72</v>
          </cell>
          <cell r="AA427">
            <v>31536000</v>
          </cell>
          <cell r="AB427">
            <v>13428600</v>
          </cell>
          <cell r="AC427">
            <v>10097602</v>
          </cell>
        </row>
        <row r="428">
          <cell r="A428" t="str">
            <v>X</v>
          </cell>
          <cell r="Q428">
            <v>19342836</v>
          </cell>
          <cell r="R428">
            <v>163476000</v>
          </cell>
          <cell r="W428">
            <v>153</v>
          </cell>
          <cell r="AA428">
            <v>73134000</v>
          </cell>
          <cell r="AB428">
            <v>33437300</v>
          </cell>
          <cell r="AC428">
            <v>25213664</v>
          </cell>
        </row>
        <row r="429">
          <cell r="A429" t="str">
            <v>X</v>
          </cell>
          <cell r="Q429">
            <v>20733840</v>
          </cell>
          <cell r="R429">
            <v>166344000</v>
          </cell>
          <cell r="W429">
            <v>90</v>
          </cell>
          <cell r="AA429">
            <v>43020000</v>
          </cell>
          <cell r="AB429">
            <v>19404100</v>
          </cell>
          <cell r="AC429">
            <v>14491168</v>
          </cell>
        </row>
        <row r="430">
          <cell r="A430" t="str">
            <v>X</v>
          </cell>
          <cell r="Q430">
            <v>17488390</v>
          </cell>
          <cell r="R430">
            <v>152862000</v>
          </cell>
          <cell r="W430">
            <v>198</v>
          </cell>
          <cell r="AA430">
            <v>86724000</v>
          </cell>
          <cell r="AB430">
            <v>39341545</v>
          </cell>
          <cell r="AC430">
            <v>29656082</v>
          </cell>
        </row>
        <row r="431">
          <cell r="A431" t="str">
            <v>X</v>
          </cell>
          <cell r="Q431">
            <v>21930400</v>
          </cell>
          <cell r="R431">
            <v>199200000</v>
          </cell>
          <cell r="W431">
            <v>170</v>
          </cell>
          <cell r="AA431">
            <v>84660000</v>
          </cell>
          <cell r="AB431">
            <v>38773800</v>
          </cell>
          <cell r="AC431">
            <v>29438897</v>
          </cell>
        </row>
        <row r="432">
          <cell r="A432" t="str">
            <v>X</v>
          </cell>
          <cell r="Q432">
            <v>58637787</v>
          </cell>
          <cell r="R432">
            <v>482586000</v>
          </cell>
          <cell r="W432">
            <v>136</v>
          </cell>
          <cell r="AA432">
            <v>73168000</v>
          </cell>
          <cell r="AB432">
            <v>29425095</v>
          </cell>
          <cell r="AC432">
            <v>22685078</v>
          </cell>
        </row>
        <row r="433">
          <cell r="A433" t="str">
            <v>X</v>
          </cell>
          <cell r="Q433">
            <v>67137200</v>
          </cell>
          <cell r="R433">
            <v>621920000</v>
          </cell>
          <cell r="W433">
            <v>388</v>
          </cell>
          <cell r="AA433">
            <v>232024000</v>
          </cell>
          <cell r="AB433">
            <v>104550100</v>
          </cell>
          <cell r="AC433">
            <v>79790393</v>
          </cell>
        </row>
        <row r="434">
          <cell r="A434" t="str">
            <v>X</v>
          </cell>
          <cell r="Q434">
            <v>57172710</v>
          </cell>
          <cell r="R434">
            <v>477204000</v>
          </cell>
          <cell r="W434">
            <v>84</v>
          </cell>
          <cell r="AA434">
            <v>50232000</v>
          </cell>
          <cell r="AB434">
            <v>20938480</v>
          </cell>
          <cell r="AC434">
            <v>15794720</v>
          </cell>
        </row>
        <row r="435">
          <cell r="A435" t="str">
            <v>X</v>
          </cell>
          <cell r="Q435">
            <v>32376604</v>
          </cell>
          <cell r="R435">
            <v>236314000</v>
          </cell>
          <cell r="W435">
            <v>437</v>
          </cell>
          <cell r="AA435">
            <v>130226000</v>
          </cell>
          <cell r="AB435">
            <v>58065200</v>
          </cell>
          <cell r="AC435">
            <v>44607769</v>
          </cell>
        </row>
        <row r="436">
          <cell r="A436" t="str">
            <v>X</v>
          </cell>
          <cell r="Q436">
            <v>22282722</v>
          </cell>
          <cell r="R436">
            <v>192556000</v>
          </cell>
          <cell r="W436">
            <v>26</v>
          </cell>
          <cell r="AA436">
            <v>15548000</v>
          </cell>
          <cell r="AB436">
            <v>6454200</v>
          </cell>
          <cell r="AC436">
            <v>4846317</v>
          </cell>
        </row>
        <row r="437">
          <cell r="A437" t="str">
            <v>X</v>
          </cell>
          <cell r="Q437">
            <v>30130884</v>
          </cell>
          <cell r="R437">
            <v>259656000</v>
          </cell>
          <cell r="W437">
            <v>254</v>
          </cell>
          <cell r="AA437">
            <v>177292000</v>
          </cell>
          <cell r="AB437">
            <v>80491280</v>
          </cell>
          <cell r="AC437">
            <v>61371476</v>
          </cell>
        </row>
        <row r="438">
          <cell r="A438" t="str">
            <v>X</v>
          </cell>
          <cell r="Q438">
            <v>41178520</v>
          </cell>
          <cell r="R438">
            <v>340336000</v>
          </cell>
          <cell r="W438">
            <v>215</v>
          </cell>
          <cell r="AA438">
            <v>102770000</v>
          </cell>
          <cell r="AB438">
            <v>45486645</v>
          </cell>
          <cell r="AC438">
            <v>34885114</v>
          </cell>
        </row>
        <row r="439">
          <cell r="A439" t="str">
            <v>X</v>
          </cell>
          <cell r="Q439">
            <v>54396340</v>
          </cell>
          <cell r="R439">
            <v>490360000</v>
          </cell>
          <cell r="W439">
            <v>48</v>
          </cell>
          <cell r="AA439">
            <v>28704000</v>
          </cell>
          <cell r="AB439">
            <v>11379545</v>
          </cell>
          <cell r="AC439">
            <v>8730912</v>
          </cell>
        </row>
        <row r="440">
          <cell r="A440" t="str">
            <v>X</v>
          </cell>
          <cell r="Q440">
            <v>72875775</v>
          </cell>
          <cell r="R440">
            <v>602742000</v>
          </cell>
          <cell r="W440">
            <v>312</v>
          </cell>
          <cell r="AA440">
            <v>211536000</v>
          </cell>
          <cell r="AB440">
            <v>95130180</v>
          </cell>
          <cell r="AC440">
            <v>71791895</v>
          </cell>
        </row>
        <row r="441">
          <cell r="A441" t="str">
            <v>X</v>
          </cell>
          <cell r="Q441">
            <v>3414887</v>
          </cell>
          <cell r="R441">
            <v>297206000</v>
          </cell>
          <cell r="W441">
            <v>282</v>
          </cell>
          <cell r="AA441">
            <v>168636000</v>
          </cell>
          <cell r="AB441">
            <v>77032300</v>
          </cell>
          <cell r="AC441">
            <v>58325482</v>
          </cell>
        </row>
        <row r="442">
          <cell r="A442" t="str">
            <v>X</v>
          </cell>
          <cell r="Q442">
            <v>20384904</v>
          </cell>
          <cell r="R442">
            <v>171666000</v>
          </cell>
          <cell r="W442">
            <v>605</v>
          </cell>
          <cell r="AA442">
            <v>119790000</v>
          </cell>
          <cell r="AB442">
            <v>54339370</v>
          </cell>
          <cell r="AC442">
            <v>41702191</v>
          </cell>
        </row>
        <row r="443">
          <cell r="A443" t="str">
            <v>X</v>
          </cell>
          <cell r="Q443">
            <v>18560754</v>
          </cell>
          <cell r="R443">
            <v>140244000</v>
          </cell>
          <cell r="W443">
            <v>859</v>
          </cell>
          <cell r="AA443">
            <v>67002000</v>
          </cell>
          <cell r="AB443">
            <v>30919900</v>
          </cell>
          <cell r="AC443">
            <v>24063137</v>
          </cell>
        </row>
        <row r="444">
          <cell r="A444" t="str">
            <v>X</v>
          </cell>
          <cell r="Q444">
            <v>11031519</v>
          </cell>
          <cell r="R444">
            <v>80358000</v>
          </cell>
          <cell r="W444">
            <v>238</v>
          </cell>
          <cell r="AA444">
            <v>28084000</v>
          </cell>
          <cell r="AB444">
            <v>10734000</v>
          </cell>
          <cell r="AC444">
            <v>8207685</v>
          </cell>
        </row>
        <row r="445">
          <cell r="A445" t="str">
            <v>X</v>
          </cell>
          <cell r="Q445">
            <v>19884984</v>
          </cell>
          <cell r="R445">
            <v>185808000</v>
          </cell>
          <cell r="W445">
            <v>827</v>
          </cell>
          <cell r="AA445">
            <v>130666000</v>
          </cell>
          <cell r="AB445">
            <v>59269845</v>
          </cell>
          <cell r="AC445">
            <v>46400208</v>
          </cell>
        </row>
        <row r="446">
          <cell r="A446" t="str">
            <v>X</v>
          </cell>
          <cell r="Q446">
            <v>15154722</v>
          </cell>
          <cell r="R446">
            <v>130034000</v>
          </cell>
          <cell r="W446">
            <v>478</v>
          </cell>
          <cell r="AA446">
            <v>75524000</v>
          </cell>
          <cell r="AB446">
            <v>33952100</v>
          </cell>
          <cell r="AC446">
            <v>26153661</v>
          </cell>
        </row>
        <row r="447">
          <cell r="A447" t="str">
            <v>X</v>
          </cell>
          <cell r="Q447">
            <v>12418032</v>
          </cell>
          <cell r="R447">
            <v>96048000</v>
          </cell>
          <cell r="W447">
            <v>338</v>
          </cell>
          <cell r="AA447">
            <v>46644000</v>
          </cell>
          <cell r="AB447">
            <v>17801150</v>
          </cell>
          <cell r="AC447">
            <v>13792128</v>
          </cell>
        </row>
        <row r="448">
          <cell r="A448" t="str">
            <v>X</v>
          </cell>
          <cell r="Q448">
            <v>6886026</v>
          </cell>
          <cell r="R448">
            <v>52164000</v>
          </cell>
          <cell r="W448">
            <v>190</v>
          </cell>
          <cell r="AA448">
            <v>26220000</v>
          </cell>
          <cell r="AB448">
            <v>11617750</v>
          </cell>
          <cell r="AC448">
            <v>8894963</v>
          </cell>
        </row>
        <row r="449">
          <cell r="A449" t="str">
            <v>X</v>
          </cell>
          <cell r="Q449">
            <v>6892200</v>
          </cell>
          <cell r="R449">
            <v>62370000</v>
          </cell>
          <cell r="W449">
            <v>144</v>
          </cell>
          <cell r="AA449">
            <v>28512000</v>
          </cell>
          <cell r="AB449">
            <v>13005200</v>
          </cell>
          <cell r="AC449">
            <v>10014642</v>
          </cell>
        </row>
        <row r="450">
          <cell r="A450" t="str">
            <v>X</v>
          </cell>
          <cell r="Q450">
            <v>16719200</v>
          </cell>
          <cell r="R450">
            <v>142400000</v>
          </cell>
          <cell r="W450">
            <v>305</v>
          </cell>
          <cell r="AA450">
            <v>54290000</v>
          </cell>
          <cell r="AB450">
            <v>24644700</v>
          </cell>
          <cell r="AC450">
            <v>19098866</v>
          </cell>
        </row>
        <row r="451">
          <cell r="A451" t="str">
            <v>X</v>
          </cell>
          <cell r="Q451">
            <v>14975946</v>
          </cell>
          <cell r="R451">
            <v>141884000</v>
          </cell>
          <cell r="W451">
            <v>630</v>
          </cell>
          <cell r="AA451">
            <v>99540000</v>
          </cell>
          <cell r="AB451">
            <v>44741695</v>
          </cell>
          <cell r="AC451">
            <v>34939954</v>
          </cell>
        </row>
        <row r="452">
          <cell r="A452" t="str">
            <v>X</v>
          </cell>
          <cell r="Q452">
            <v>12338226</v>
          </cell>
          <cell r="R452">
            <v>86742000</v>
          </cell>
          <cell r="W452">
            <v>165</v>
          </cell>
          <cell r="AA452">
            <v>26070000</v>
          </cell>
          <cell r="AB452">
            <v>11418400</v>
          </cell>
          <cell r="AC452">
            <v>8572638</v>
          </cell>
        </row>
        <row r="453">
          <cell r="A453" t="str">
            <v>X</v>
          </cell>
          <cell r="Q453">
            <v>14060679</v>
          </cell>
          <cell r="R453">
            <v>132878000</v>
          </cell>
          <cell r="W453">
            <v>426</v>
          </cell>
          <cell r="AA453">
            <v>67308000</v>
          </cell>
          <cell r="AB453">
            <v>30296100</v>
          </cell>
          <cell r="AC453">
            <v>23679065</v>
          </cell>
        </row>
        <row r="454">
          <cell r="A454" t="str">
            <v>X</v>
          </cell>
          <cell r="Q454">
            <v>13894944</v>
          </cell>
          <cell r="R454">
            <v>118726000</v>
          </cell>
          <cell r="W454">
            <v>348</v>
          </cell>
          <cell r="AA454">
            <v>61944000</v>
          </cell>
          <cell r="AB454">
            <v>28218200</v>
          </cell>
          <cell r="AC454">
            <v>21797213</v>
          </cell>
        </row>
        <row r="455">
          <cell r="A455" t="str">
            <v>X</v>
          </cell>
          <cell r="Q455">
            <v>15641864</v>
          </cell>
          <cell r="R455">
            <v>167384000</v>
          </cell>
          <cell r="W455">
            <v>665</v>
          </cell>
          <cell r="AA455">
            <v>65170000</v>
          </cell>
          <cell r="AB455">
            <v>30618290</v>
          </cell>
          <cell r="AC455">
            <v>23482157</v>
          </cell>
        </row>
        <row r="456">
          <cell r="A456" t="str">
            <v>X</v>
          </cell>
          <cell r="Q456">
            <v>11666211</v>
          </cell>
          <cell r="R456">
            <v>93978000</v>
          </cell>
          <cell r="W456">
            <v>192</v>
          </cell>
          <cell r="AA456">
            <v>26496000</v>
          </cell>
          <cell r="AB456">
            <v>12521235</v>
          </cell>
          <cell r="AC456">
            <v>9479869</v>
          </cell>
        </row>
        <row r="457">
          <cell r="A457" t="str">
            <v>X</v>
          </cell>
          <cell r="Q457">
            <v>18905670</v>
          </cell>
          <cell r="R457">
            <v>149310000</v>
          </cell>
          <cell r="W457">
            <v>199</v>
          </cell>
          <cell r="AA457">
            <v>31442000</v>
          </cell>
          <cell r="AB457">
            <v>12883100</v>
          </cell>
          <cell r="AC457">
            <v>9895582</v>
          </cell>
        </row>
        <row r="458">
          <cell r="A458" t="str">
            <v>X</v>
          </cell>
          <cell r="Q458">
            <v>15259384</v>
          </cell>
          <cell r="R458">
            <v>122108000</v>
          </cell>
          <cell r="W458">
            <v>219</v>
          </cell>
          <cell r="AA458">
            <v>38982000</v>
          </cell>
          <cell r="AB458">
            <v>14827650</v>
          </cell>
          <cell r="AC458">
            <v>11379261</v>
          </cell>
        </row>
        <row r="459">
          <cell r="A459" t="str">
            <v>X</v>
          </cell>
          <cell r="Q459">
            <v>15678663</v>
          </cell>
          <cell r="R459">
            <v>134838000</v>
          </cell>
          <cell r="W459">
            <v>103</v>
          </cell>
          <cell r="AA459">
            <v>20394000</v>
          </cell>
          <cell r="AB459">
            <v>8037000</v>
          </cell>
          <cell r="AC459">
            <v>6226665</v>
          </cell>
        </row>
        <row r="460">
          <cell r="A460" t="str">
            <v>X</v>
          </cell>
          <cell r="Q460">
            <v>11723868</v>
          </cell>
          <cell r="R460">
            <v>99828000</v>
          </cell>
          <cell r="W460">
            <v>270</v>
          </cell>
          <cell r="AA460">
            <v>31860000</v>
          </cell>
          <cell r="AB460">
            <v>14705500</v>
          </cell>
          <cell r="AC460">
            <v>11329269</v>
          </cell>
        </row>
        <row r="461">
          <cell r="A461" t="str">
            <v>X</v>
          </cell>
          <cell r="Q461">
            <v>25484076</v>
          </cell>
          <cell r="R461">
            <v>193308000</v>
          </cell>
          <cell r="W461">
            <v>234</v>
          </cell>
          <cell r="AA461">
            <v>41652000</v>
          </cell>
          <cell r="AB461">
            <v>18066000</v>
          </cell>
          <cell r="AC461">
            <v>13777445</v>
          </cell>
        </row>
        <row r="462">
          <cell r="A462" t="str">
            <v>X</v>
          </cell>
          <cell r="Q462">
            <v>25693672</v>
          </cell>
          <cell r="R462">
            <v>224102000</v>
          </cell>
          <cell r="W462">
            <v>743</v>
          </cell>
          <cell r="AA462">
            <v>132254000</v>
          </cell>
          <cell r="AB462">
            <v>61898950</v>
          </cell>
          <cell r="AC462">
            <v>47615668</v>
          </cell>
        </row>
        <row r="463">
          <cell r="A463" t="str">
            <v>X</v>
          </cell>
          <cell r="Q463">
            <v>19666588</v>
          </cell>
          <cell r="R463">
            <v>177644000</v>
          </cell>
          <cell r="W463">
            <v>367</v>
          </cell>
          <cell r="AA463">
            <v>65326000</v>
          </cell>
          <cell r="AB463">
            <v>29914880</v>
          </cell>
          <cell r="AC463">
            <v>23044726</v>
          </cell>
        </row>
        <row r="464">
          <cell r="A464" t="str">
            <v>X</v>
          </cell>
          <cell r="Q464">
            <v>11917633</v>
          </cell>
          <cell r="R464">
            <v>100646000</v>
          </cell>
          <cell r="W464">
            <v>192</v>
          </cell>
          <cell r="AA464">
            <v>30336000</v>
          </cell>
          <cell r="AB464">
            <v>14162345</v>
          </cell>
          <cell r="AC464">
            <v>10773112</v>
          </cell>
        </row>
        <row r="465">
          <cell r="A465" t="str">
            <v>X</v>
          </cell>
          <cell r="Q465">
            <v>21020000</v>
          </cell>
          <cell r="R465">
            <v>166058000</v>
          </cell>
          <cell r="W465">
            <v>337</v>
          </cell>
          <cell r="AA465">
            <v>53246000</v>
          </cell>
          <cell r="AB465">
            <v>24395700</v>
          </cell>
          <cell r="AC465">
            <v>18731809</v>
          </cell>
        </row>
        <row r="466">
          <cell r="A466" t="str">
            <v>X</v>
          </cell>
          <cell r="Q466">
            <v>23052510</v>
          </cell>
          <cell r="R466">
            <v>196690000</v>
          </cell>
          <cell r="W466">
            <v>471</v>
          </cell>
          <cell r="AA466">
            <v>83838000</v>
          </cell>
          <cell r="AB466">
            <v>37989800</v>
          </cell>
          <cell r="AC466">
            <v>28969958</v>
          </cell>
        </row>
        <row r="467">
          <cell r="A467" t="str">
            <v>X</v>
          </cell>
          <cell r="Q467">
            <v>26048668</v>
          </cell>
          <cell r="R467">
            <v>240966000</v>
          </cell>
          <cell r="W467">
            <v>500</v>
          </cell>
          <cell r="AA467">
            <v>99000000</v>
          </cell>
          <cell r="AB467">
            <v>45194800</v>
          </cell>
          <cell r="AC467">
            <v>34483680</v>
          </cell>
        </row>
        <row r="468">
          <cell r="A468" t="str">
            <v>X</v>
          </cell>
          <cell r="Q468">
            <v>31395890</v>
          </cell>
          <cell r="R468">
            <v>271860000</v>
          </cell>
          <cell r="W468">
            <v>932</v>
          </cell>
          <cell r="AA468">
            <v>128616000</v>
          </cell>
          <cell r="AB468">
            <v>49832100</v>
          </cell>
          <cell r="AC468">
            <v>38296005</v>
          </cell>
        </row>
        <row r="469">
          <cell r="A469" t="str">
            <v>X</v>
          </cell>
          <cell r="Q469">
            <v>34429420</v>
          </cell>
          <cell r="R469">
            <v>256760000</v>
          </cell>
          <cell r="W469">
            <v>1661</v>
          </cell>
          <cell r="AA469">
            <v>162778000</v>
          </cell>
          <cell r="AB469">
            <v>67113000</v>
          </cell>
          <cell r="AC469">
            <v>51262458</v>
          </cell>
        </row>
        <row r="470">
          <cell r="A470" t="str">
            <v>X</v>
          </cell>
          <cell r="Q470">
            <v>12783456</v>
          </cell>
          <cell r="R470">
            <v>113424000</v>
          </cell>
          <cell r="W470">
            <v>185</v>
          </cell>
          <cell r="AA470">
            <v>51430000</v>
          </cell>
          <cell r="AB470">
            <v>22624540</v>
          </cell>
          <cell r="AC470">
            <v>16627986</v>
          </cell>
        </row>
        <row r="471">
          <cell r="A471" t="str">
            <v>X</v>
          </cell>
          <cell r="Q471">
            <v>20220598</v>
          </cell>
          <cell r="R471">
            <v>152076000</v>
          </cell>
          <cell r="W471">
            <v>311</v>
          </cell>
          <cell r="AA471">
            <v>42918000</v>
          </cell>
          <cell r="AB471">
            <v>16083000</v>
          </cell>
          <cell r="AC471">
            <v>12210980</v>
          </cell>
        </row>
        <row r="472">
          <cell r="A472" t="str">
            <v>X</v>
          </cell>
          <cell r="Q472">
            <v>25228960</v>
          </cell>
          <cell r="R472">
            <v>205504000</v>
          </cell>
          <cell r="W472">
            <v>136</v>
          </cell>
          <cell r="AA472">
            <v>45968000</v>
          </cell>
          <cell r="AB472">
            <v>20969795</v>
          </cell>
          <cell r="AC472">
            <v>15701773</v>
          </cell>
        </row>
        <row r="473">
          <cell r="A473" t="str">
            <v>X</v>
          </cell>
          <cell r="Q473">
            <v>8369728</v>
          </cell>
          <cell r="R473">
            <v>78432000</v>
          </cell>
          <cell r="W473">
            <v>83</v>
          </cell>
          <cell r="AA473">
            <v>21414000</v>
          </cell>
          <cell r="AB473">
            <v>9835900</v>
          </cell>
          <cell r="AC473">
            <v>7397699</v>
          </cell>
        </row>
        <row r="474">
          <cell r="A474" t="str">
            <v>X</v>
          </cell>
          <cell r="Q474">
            <v>30570460</v>
          </cell>
          <cell r="R474">
            <v>234430000</v>
          </cell>
          <cell r="W474">
            <v>698</v>
          </cell>
          <cell r="AA474">
            <v>166124000</v>
          </cell>
          <cell r="AB474">
            <v>66102450</v>
          </cell>
          <cell r="AC474">
            <v>49765759</v>
          </cell>
        </row>
        <row r="475">
          <cell r="A475" t="str">
            <v>X</v>
          </cell>
          <cell r="Q475">
            <v>8062600</v>
          </cell>
          <cell r="R475">
            <v>62300000</v>
          </cell>
          <cell r="W475">
            <v>114</v>
          </cell>
          <cell r="AA475">
            <v>20292000</v>
          </cell>
          <cell r="AB475">
            <v>9750100</v>
          </cell>
          <cell r="AC475">
            <v>7434170</v>
          </cell>
        </row>
        <row r="476">
          <cell r="A476" t="str">
            <v>X</v>
          </cell>
          <cell r="Q476">
            <v>12469734</v>
          </cell>
          <cell r="R476">
            <v>113526000</v>
          </cell>
          <cell r="W476">
            <v>171</v>
          </cell>
          <cell r="AA476">
            <v>40698000</v>
          </cell>
          <cell r="AB476">
            <v>18863950</v>
          </cell>
          <cell r="AC476">
            <v>14552629</v>
          </cell>
        </row>
        <row r="477">
          <cell r="A477" t="str">
            <v>X</v>
          </cell>
          <cell r="Q477">
            <v>21089160</v>
          </cell>
          <cell r="R477">
            <v>192780000</v>
          </cell>
          <cell r="W477">
            <v>161</v>
          </cell>
          <cell r="AA477">
            <v>38318000</v>
          </cell>
          <cell r="AB477">
            <v>17310100</v>
          </cell>
          <cell r="AC477">
            <v>13181868</v>
          </cell>
        </row>
        <row r="478">
          <cell r="A478" t="str">
            <v>X</v>
          </cell>
          <cell r="Q478">
            <v>16068165</v>
          </cell>
          <cell r="R478">
            <v>130938000</v>
          </cell>
          <cell r="W478">
            <v>117</v>
          </cell>
          <cell r="AA478">
            <v>32526000</v>
          </cell>
          <cell r="AB478">
            <v>15787200</v>
          </cell>
          <cell r="AC478">
            <v>12118437</v>
          </cell>
        </row>
        <row r="479">
          <cell r="A479" t="str">
            <v>X</v>
          </cell>
          <cell r="Q479">
            <v>28452480</v>
          </cell>
          <cell r="R479">
            <v>221328000</v>
          </cell>
          <cell r="W479">
            <v>128</v>
          </cell>
          <cell r="AA479">
            <v>40704000</v>
          </cell>
          <cell r="AB479">
            <v>18614300</v>
          </cell>
          <cell r="AC479">
            <v>13999314</v>
          </cell>
        </row>
        <row r="480">
          <cell r="A480" t="str">
            <v>X</v>
          </cell>
          <cell r="Q480">
            <v>34406790</v>
          </cell>
          <cell r="R480">
            <v>286836000</v>
          </cell>
          <cell r="W480">
            <v>213</v>
          </cell>
          <cell r="AA480">
            <v>67734000</v>
          </cell>
          <cell r="AB480">
            <v>30871445</v>
          </cell>
          <cell r="AC480">
            <v>23225607</v>
          </cell>
        </row>
        <row r="481">
          <cell r="A481" t="str">
            <v>X</v>
          </cell>
          <cell r="Q481">
            <v>15995980</v>
          </cell>
          <cell r="R481">
            <v>130312000</v>
          </cell>
          <cell r="W481">
            <v>79</v>
          </cell>
          <cell r="AA481">
            <v>28282000</v>
          </cell>
          <cell r="AB481">
            <v>12585300</v>
          </cell>
          <cell r="AC481">
            <v>9453617</v>
          </cell>
        </row>
        <row r="482">
          <cell r="A482" t="str">
            <v>X</v>
          </cell>
          <cell r="Q482">
            <v>21675555</v>
          </cell>
          <cell r="R482">
            <v>197010000</v>
          </cell>
          <cell r="W482">
            <v>83</v>
          </cell>
          <cell r="AA482">
            <v>33034000</v>
          </cell>
          <cell r="AB482">
            <v>14830375</v>
          </cell>
          <cell r="AC482">
            <v>10885400</v>
          </cell>
        </row>
        <row r="483">
          <cell r="A483" t="str">
            <v>X</v>
          </cell>
          <cell r="Q483">
            <v>15433122</v>
          </cell>
          <cell r="R483">
            <v>118604000</v>
          </cell>
          <cell r="W483">
            <v>79</v>
          </cell>
          <cell r="AA483">
            <v>31442000</v>
          </cell>
          <cell r="AB483">
            <v>14148900</v>
          </cell>
          <cell r="AC483">
            <v>10508892</v>
          </cell>
        </row>
        <row r="484">
          <cell r="A484" t="str">
            <v>X</v>
          </cell>
          <cell r="Q484">
            <v>21019176</v>
          </cell>
          <cell r="R484">
            <v>154026000</v>
          </cell>
          <cell r="W484">
            <v>159</v>
          </cell>
          <cell r="AA484">
            <v>41022000</v>
          </cell>
          <cell r="AB484">
            <v>17866000</v>
          </cell>
          <cell r="AC484">
            <v>13520823</v>
          </cell>
        </row>
        <row r="485">
          <cell r="A485" t="str">
            <v>X</v>
          </cell>
          <cell r="Q485">
            <v>27761184</v>
          </cell>
          <cell r="R485">
            <v>205632000</v>
          </cell>
          <cell r="W485">
            <v>287</v>
          </cell>
          <cell r="AA485">
            <v>68306000</v>
          </cell>
          <cell r="AB485">
            <v>31068795</v>
          </cell>
          <cell r="AC485">
            <v>23936892</v>
          </cell>
        </row>
        <row r="486">
          <cell r="A486" t="str">
            <v>X</v>
          </cell>
          <cell r="Q486">
            <v>27951936</v>
          </cell>
          <cell r="R486">
            <v>220222000</v>
          </cell>
          <cell r="W486">
            <v>422</v>
          </cell>
          <cell r="AA486">
            <v>125756000</v>
          </cell>
          <cell r="AB486">
            <v>58293550</v>
          </cell>
          <cell r="AC486">
            <v>44715496</v>
          </cell>
        </row>
        <row r="487">
          <cell r="A487" t="str">
            <v>X</v>
          </cell>
          <cell r="Q487">
            <v>10627952</v>
          </cell>
          <cell r="R487">
            <v>81988000</v>
          </cell>
          <cell r="W487">
            <v>28</v>
          </cell>
          <cell r="AA487">
            <v>11144000</v>
          </cell>
          <cell r="AB487">
            <v>4782600</v>
          </cell>
          <cell r="AC487">
            <v>3571449</v>
          </cell>
        </row>
        <row r="488">
          <cell r="A488" t="str">
            <v>X</v>
          </cell>
          <cell r="Q488">
            <v>38082053</v>
          </cell>
          <cell r="R488">
            <v>267274000</v>
          </cell>
          <cell r="W488">
            <v>631</v>
          </cell>
          <cell r="AA488">
            <v>150178000</v>
          </cell>
          <cell r="AB488">
            <v>67811190</v>
          </cell>
          <cell r="AC488">
            <v>51808221</v>
          </cell>
        </row>
        <row r="489">
          <cell r="A489" t="str">
            <v>X</v>
          </cell>
          <cell r="Q489">
            <v>36014880</v>
          </cell>
          <cell r="R489">
            <v>342486000</v>
          </cell>
          <cell r="W489">
            <v>594</v>
          </cell>
          <cell r="AA489">
            <v>188892000</v>
          </cell>
          <cell r="AB489">
            <v>87183580</v>
          </cell>
          <cell r="AC489">
            <v>66618666</v>
          </cell>
        </row>
        <row r="490">
          <cell r="A490" t="str">
            <v>X</v>
          </cell>
          <cell r="Q490">
            <v>50395830</v>
          </cell>
          <cell r="R490">
            <v>432590000</v>
          </cell>
          <cell r="W490">
            <v>142</v>
          </cell>
          <cell r="AA490">
            <v>67876000</v>
          </cell>
          <cell r="AB490">
            <v>28419800</v>
          </cell>
          <cell r="AC490">
            <v>21360496</v>
          </cell>
        </row>
        <row r="491">
          <cell r="A491" t="str">
            <v>X</v>
          </cell>
          <cell r="Q491">
            <v>23566369</v>
          </cell>
          <cell r="R491">
            <v>175638000</v>
          </cell>
          <cell r="W491">
            <v>168</v>
          </cell>
          <cell r="AA491">
            <v>73584000</v>
          </cell>
          <cell r="AB491">
            <v>34783350</v>
          </cell>
          <cell r="AC491">
            <v>26041947</v>
          </cell>
        </row>
        <row r="492">
          <cell r="A492" t="str">
            <v>X</v>
          </cell>
          <cell r="Q492">
            <v>17726250</v>
          </cell>
          <cell r="R492">
            <v>154524000</v>
          </cell>
          <cell r="W492">
            <v>191</v>
          </cell>
          <cell r="AA492">
            <v>30178000</v>
          </cell>
          <cell r="AB492">
            <v>12163150</v>
          </cell>
          <cell r="AC492">
            <v>9411687</v>
          </cell>
        </row>
        <row r="493">
          <cell r="A493" t="str">
            <v>X</v>
          </cell>
          <cell r="Q493">
            <v>17362830</v>
          </cell>
          <cell r="R493">
            <v>159844000</v>
          </cell>
          <cell r="W493">
            <v>277</v>
          </cell>
          <cell r="AA493">
            <v>49306000</v>
          </cell>
          <cell r="AB493">
            <v>20535600</v>
          </cell>
          <cell r="AC493">
            <v>16020696</v>
          </cell>
        </row>
        <row r="494">
          <cell r="A494" t="str">
            <v>X</v>
          </cell>
          <cell r="Q494">
            <v>13672294</v>
          </cell>
          <cell r="R494">
            <v>135234000</v>
          </cell>
          <cell r="W494">
            <v>154</v>
          </cell>
          <cell r="AA494">
            <v>30492000</v>
          </cell>
          <cell r="AB494">
            <v>13975900</v>
          </cell>
          <cell r="AC494">
            <v>10626017</v>
          </cell>
        </row>
        <row r="495">
          <cell r="A495" t="str">
            <v>X</v>
          </cell>
          <cell r="Q495">
            <v>10210442</v>
          </cell>
          <cell r="R495">
            <v>106166000</v>
          </cell>
          <cell r="W495">
            <v>289</v>
          </cell>
          <cell r="AA495">
            <v>63002000</v>
          </cell>
          <cell r="AB495">
            <v>28098990</v>
          </cell>
          <cell r="AC495">
            <v>21115235</v>
          </cell>
        </row>
        <row r="496">
          <cell r="A496" t="str">
            <v>X</v>
          </cell>
          <cell r="Q496">
            <v>12352032</v>
          </cell>
          <cell r="R496">
            <v>123354000</v>
          </cell>
          <cell r="W496">
            <v>258</v>
          </cell>
          <cell r="AA496">
            <v>45924000</v>
          </cell>
          <cell r="AB496">
            <v>20975700</v>
          </cell>
          <cell r="AC496">
            <v>15808937</v>
          </cell>
        </row>
        <row r="497">
          <cell r="A497" t="str">
            <v>X</v>
          </cell>
          <cell r="Q497">
            <v>24021354</v>
          </cell>
          <cell r="R497">
            <v>289286000</v>
          </cell>
          <cell r="W497">
            <v>544</v>
          </cell>
          <cell r="AA497">
            <v>118592000</v>
          </cell>
          <cell r="AB497">
            <v>46679700</v>
          </cell>
          <cell r="AC497">
            <v>35198140</v>
          </cell>
        </row>
        <row r="498">
          <cell r="A498" t="str">
            <v>X</v>
          </cell>
          <cell r="Q498">
            <v>22376803</v>
          </cell>
          <cell r="R498">
            <v>228374000</v>
          </cell>
          <cell r="W498">
            <v>639</v>
          </cell>
          <cell r="AA498">
            <v>113742000</v>
          </cell>
          <cell r="AB498">
            <v>46003150</v>
          </cell>
          <cell r="AC498">
            <v>34884305</v>
          </cell>
        </row>
        <row r="499">
          <cell r="A499" t="str">
            <v>X</v>
          </cell>
          <cell r="Q499">
            <v>63533088</v>
          </cell>
          <cell r="R499">
            <v>590472000</v>
          </cell>
          <cell r="W499">
            <v>1280</v>
          </cell>
          <cell r="AA499">
            <v>355840000</v>
          </cell>
          <cell r="AB499">
            <v>162963690</v>
          </cell>
          <cell r="AC499">
            <v>123001164</v>
          </cell>
        </row>
        <row r="500">
          <cell r="A500" t="str">
            <v>X</v>
          </cell>
          <cell r="Q500">
            <v>16300680</v>
          </cell>
          <cell r="R500">
            <v>152382000</v>
          </cell>
          <cell r="W500">
            <v>571</v>
          </cell>
          <cell r="AA500">
            <v>124478000</v>
          </cell>
          <cell r="AB500">
            <v>57019290</v>
          </cell>
          <cell r="AC500">
            <v>42575095</v>
          </cell>
        </row>
        <row r="501">
          <cell r="A501" t="str">
            <v>X</v>
          </cell>
          <cell r="Q501">
            <v>25219548</v>
          </cell>
          <cell r="R501">
            <v>258984000</v>
          </cell>
          <cell r="W501">
            <v>219</v>
          </cell>
          <cell r="AA501">
            <v>43362000</v>
          </cell>
          <cell r="AB501">
            <v>18475395</v>
          </cell>
          <cell r="AC501">
            <v>13986985</v>
          </cell>
        </row>
        <row r="502">
          <cell r="A502" t="str">
            <v>X</v>
          </cell>
          <cell r="Q502">
            <v>20331088</v>
          </cell>
          <cell r="R502">
            <v>201762000</v>
          </cell>
          <cell r="W502">
            <v>307</v>
          </cell>
          <cell r="AA502">
            <v>60786000</v>
          </cell>
          <cell r="AB502">
            <v>28528200</v>
          </cell>
          <cell r="AC502">
            <v>21527303</v>
          </cell>
        </row>
        <row r="503">
          <cell r="A503" t="str">
            <v>X</v>
          </cell>
          <cell r="Q503">
            <v>13552474</v>
          </cell>
          <cell r="R503">
            <v>130364000</v>
          </cell>
          <cell r="W503">
            <v>127</v>
          </cell>
          <cell r="AA503">
            <v>27686000</v>
          </cell>
          <cell r="AB503">
            <v>12655700</v>
          </cell>
          <cell r="AC503">
            <v>9756045</v>
          </cell>
        </row>
        <row r="504">
          <cell r="A504" t="str">
            <v>X</v>
          </cell>
          <cell r="Q504">
            <v>12519780</v>
          </cell>
          <cell r="R504">
            <v>140868000</v>
          </cell>
          <cell r="W504">
            <v>464</v>
          </cell>
          <cell r="AA504">
            <v>119712000</v>
          </cell>
          <cell r="AB504">
            <v>54790440</v>
          </cell>
          <cell r="AC504">
            <v>40838265</v>
          </cell>
        </row>
        <row r="505">
          <cell r="A505" t="str">
            <v>X</v>
          </cell>
          <cell r="Q505">
            <v>16487328</v>
          </cell>
          <cell r="R505">
            <v>169884000</v>
          </cell>
          <cell r="W505">
            <v>183</v>
          </cell>
          <cell r="AA505">
            <v>36234000</v>
          </cell>
          <cell r="AB505">
            <v>14831500</v>
          </cell>
          <cell r="AC505">
            <v>11382270</v>
          </cell>
        </row>
        <row r="506">
          <cell r="A506" t="str">
            <v>X</v>
          </cell>
          <cell r="Q506">
            <v>212959188</v>
          </cell>
          <cell r="R506">
            <v>1773174000</v>
          </cell>
          <cell r="W506">
            <v>1689</v>
          </cell>
          <cell r="AA506">
            <v>604662000</v>
          </cell>
          <cell r="AB506">
            <v>275545790</v>
          </cell>
          <cell r="AC506">
            <v>209824391</v>
          </cell>
        </row>
        <row r="507">
          <cell r="A507" t="str">
            <v>X</v>
          </cell>
          <cell r="Q507">
            <v>65370386</v>
          </cell>
          <cell r="R507">
            <v>578692000</v>
          </cell>
          <cell r="W507">
            <v>175</v>
          </cell>
          <cell r="AA507">
            <v>69650000</v>
          </cell>
          <cell r="AB507">
            <v>31740100</v>
          </cell>
          <cell r="AC507">
            <v>23469065</v>
          </cell>
        </row>
        <row r="508">
          <cell r="A508" t="str">
            <v>X</v>
          </cell>
          <cell r="Q508">
            <v>75059028</v>
          </cell>
          <cell r="R508">
            <v>705528000</v>
          </cell>
          <cell r="W508">
            <v>634</v>
          </cell>
          <cell r="AA508">
            <v>303052000</v>
          </cell>
          <cell r="AB508">
            <v>129875650</v>
          </cell>
          <cell r="AC508">
            <v>97397935</v>
          </cell>
        </row>
        <row r="509">
          <cell r="A509" t="str">
            <v>X</v>
          </cell>
          <cell r="Q509">
            <v>38047470</v>
          </cell>
          <cell r="R509">
            <v>331890000</v>
          </cell>
          <cell r="W509">
            <v>373</v>
          </cell>
          <cell r="AA509">
            <v>223054000</v>
          </cell>
          <cell r="AB509">
            <v>100396725</v>
          </cell>
          <cell r="AC509">
            <v>74548295</v>
          </cell>
        </row>
        <row r="510">
          <cell r="A510" t="str">
            <v>X</v>
          </cell>
          <cell r="Q510">
            <v>21188832</v>
          </cell>
          <cell r="R510">
            <v>159936000</v>
          </cell>
          <cell r="W510">
            <v>295</v>
          </cell>
          <cell r="AA510">
            <v>70210000</v>
          </cell>
          <cell r="AB510">
            <v>31457500</v>
          </cell>
          <cell r="AC510">
            <v>24303311</v>
          </cell>
        </row>
        <row r="511">
          <cell r="A511" t="str">
            <v>X</v>
          </cell>
          <cell r="Q511">
            <v>103577631</v>
          </cell>
          <cell r="R511">
            <v>729622000</v>
          </cell>
          <cell r="W511">
            <v>1147</v>
          </cell>
          <cell r="AA511">
            <v>204166000</v>
          </cell>
          <cell r="AB511">
            <v>92273040</v>
          </cell>
          <cell r="AC511">
            <v>70624188</v>
          </cell>
        </row>
        <row r="512">
          <cell r="A512" t="str">
            <v>X</v>
          </cell>
          <cell r="Q512">
            <v>86961789</v>
          </cell>
          <cell r="R512">
            <v>656766000</v>
          </cell>
          <cell r="W512">
            <v>2272</v>
          </cell>
          <cell r="AA512">
            <v>449856000</v>
          </cell>
          <cell r="AB512">
            <v>203883270</v>
          </cell>
          <cell r="AC512">
            <v>156985146</v>
          </cell>
        </row>
        <row r="513">
          <cell r="A513" t="str">
            <v>X</v>
          </cell>
          <cell r="Q513">
            <v>30322809</v>
          </cell>
          <cell r="R513">
            <v>271722000</v>
          </cell>
          <cell r="W513">
            <v>227</v>
          </cell>
          <cell r="AA513">
            <v>81266000</v>
          </cell>
          <cell r="AB513">
            <v>32311550</v>
          </cell>
          <cell r="AC513">
            <v>24152752</v>
          </cell>
        </row>
        <row r="514">
          <cell r="A514" t="str">
            <v>X</v>
          </cell>
          <cell r="Q514">
            <v>9349200</v>
          </cell>
          <cell r="R514">
            <v>35400000</v>
          </cell>
          <cell r="W514">
            <v>89</v>
          </cell>
          <cell r="AA514">
            <v>5251000</v>
          </cell>
          <cell r="AB514">
            <v>4072600</v>
          </cell>
          <cell r="AC514">
            <v>3157326</v>
          </cell>
        </row>
        <row r="515">
          <cell r="A515" t="str">
            <v>X</v>
          </cell>
          <cell r="Q515">
            <v>14501303</v>
          </cell>
          <cell r="R515">
            <v>61442000</v>
          </cell>
          <cell r="W515">
            <v>462</v>
          </cell>
          <cell r="AA515">
            <v>28644000</v>
          </cell>
          <cell r="AB515">
            <v>21025200</v>
          </cell>
          <cell r="AC515">
            <v>16884336</v>
          </cell>
        </row>
        <row r="516">
          <cell r="A516" t="str">
            <v>X</v>
          </cell>
          <cell r="Q516">
            <v>2663917</v>
          </cell>
          <cell r="R516">
            <v>12564000</v>
          </cell>
          <cell r="W516">
            <v>184</v>
          </cell>
          <cell r="AA516">
            <v>6624000</v>
          </cell>
          <cell r="AB516">
            <v>5226400</v>
          </cell>
          <cell r="AC516">
            <v>4003560</v>
          </cell>
        </row>
        <row r="517">
          <cell r="A517" t="str">
            <v>X</v>
          </cell>
          <cell r="Q517">
            <v>2749851</v>
          </cell>
          <cell r="R517">
            <v>13338000</v>
          </cell>
          <cell r="W517">
            <v>64</v>
          </cell>
          <cell r="AA517">
            <v>3456000</v>
          </cell>
          <cell r="AB517">
            <v>2707200</v>
          </cell>
          <cell r="AC517">
            <v>2082672</v>
          </cell>
        </row>
        <row r="518">
          <cell r="A518" t="str">
            <v>X</v>
          </cell>
          <cell r="Q518">
            <v>3764634</v>
          </cell>
          <cell r="R518">
            <v>18476000</v>
          </cell>
          <cell r="W518">
            <v>131</v>
          </cell>
          <cell r="AA518">
            <v>8122000</v>
          </cell>
          <cell r="AB518">
            <v>6240000</v>
          </cell>
          <cell r="AC518">
            <v>4913500</v>
          </cell>
        </row>
        <row r="519">
          <cell r="A519" t="str">
            <v>X</v>
          </cell>
          <cell r="Q519">
            <v>2314967</v>
          </cell>
          <cell r="R519">
            <v>11542000</v>
          </cell>
          <cell r="W519">
            <v>139</v>
          </cell>
          <cell r="AA519">
            <v>8062000</v>
          </cell>
          <cell r="AB519">
            <v>6221200</v>
          </cell>
          <cell r="AC519">
            <v>4856804</v>
          </cell>
        </row>
        <row r="520">
          <cell r="A520" t="str">
            <v>X</v>
          </cell>
          <cell r="Q520">
            <v>5065833</v>
          </cell>
          <cell r="R520">
            <v>24862000</v>
          </cell>
          <cell r="W520">
            <v>195</v>
          </cell>
          <cell r="AA520">
            <v>12090000</v>
          </cell>
          <cell r="AB520">
            <v>8966800</v>
          </cell>
          <cell r="AC520">
            <v>7139548</v>
          </cell>
        </row>
        <row r="521">
          <cell r="A521" t="str">
            <v>X</v>
          </cell>
          <cell r="Q521">
            <v>2326600</v>
          </cell>
          <cell r="R521">
            <v>13600000</v>
          </cell>
          <cell r="W521">
            <v>151</v>
          </cell>
          <cell r="AA521">
            <v>10268000</v>
          </cell>
          <cell r="AB521">
            <v>7874880</v>
          </cell>
          <cell r="AC521">
            <v>6224013</v>
          </cell>
        </row>
        <row r="522">
          <cell r="A522" t="str">
            <v>X</v>
          </cell>
          <cell r="Q522">
            <v>6284466</v>
          </cell>
          <cell r="R522">
            <v>27336000</v>
          </cell>
          <cell r="W522">
            <v>213</v>
          </cell>
          <cell r="AA522">
            <v>14484000</v>
          </cell>
          <cell r="AB522">
            <v>10817200</v>
          </cell>
          <cell r="AC522">
            <v>8689312</v>
          </cell>
        </row>
        <row r="523">
          <cell r="A523" t="str">
            <v>X</v>
          </cell>
          <cell r="Q523">
            <v>2226600</v>
          </cell>
          <cell r="R523">
            <v>11600000</v>
          </cell>
          <cell r="W523">
            <v>45</v>
          </cell>
          <cell r="AA523">
            <v>2610000</v>
          </cell>
          <cell r="AB523">
            <v>1962600</v>
          </cell>
          <cell r="AC523">
            <v>1523544</v>
          </cell>
        </row>
        <row r="524">
          <cell r="A524" t="str">
            <v>X</v>
          </cell>
          <cell r="Q524">
            <v>7227584</v>
          </cell>
          <cell r="R524">
            <v>30464000</v>
          </cell>
          <cell r="W524">
            <v>177</v>
          </cell>
          <cell r="AA524">
            <v>12036000</v>
          </cell>
          <cell r="AB524">
            <v>8888800</v>
          </cell>
          <cell r="AC524">
            <v>7310272</v>
          </cell>
        </row>
        <row r="525">
          <cell r="A525" t="str">
            <v>X</v>
          </cell>
          <cell r="Q525">
            <v>2513967</v>
          </cell>
          <cell r="R525">
            <v>12338000</v>
          </cell>
          <cell r="W525">
            <v>89</v>
          </cell>
          <cell r="AA525">
            <v>5518000</v>
          </cell>
          <cell r="AB525">
            <v>4224400</v>
          </cell>
          <cell r="AC525">
            <v>3372552</v>
          </cell>
        </row>
        <row r="526">
          <cell r="A526" t="str">
            <v>X</v>
          </cell>
          <cell r="Q526">
            <v>5121550</v>
          </cell>
          <cell r="R526">
            <v>23800000</v>
          </cell>
          <cell r="W526">
            <v>168</v>
          </cell>
          <cell r="AA526">
            <v>11424000</v>
          </cell>
          <cell r="AB526">
            <v>8749200</v>
          </cell>
          <cell r="AC526">
            <v>6949600</v>
          </cell>
        </row>
        <row r="527">
          <cell r="A527" t="str">
            <v>X</v>
          </cell>
          <cell r="Q527">
            <v>3615634</v>
          </cell>
          <cell r="R527">
            <v>17284000</v>
          </cell>
          <cell r="W527">
            <v>163</v>
          </cell>
          <cell r="AA527">
            <v>9454000</v>
          </cell>
          <cell r="AB527">
            <v>7203200</v>
          </cell>
          <cell r="AC527">
            <v>5703024</v>
          </cell>
        </row>
        <row r="528">
          <cell r="A528" t="str">
            <v>X</v>
          </cell>
          <cell r="Q528">
            <v>3913634</v>
          </cell>
          <cell r="R528">
            <v>18476000</v>
          </cell>
          <cell r="W528">
            <v>100</v>
          </cell>
          <cell r="AA528">
            <v>6200000</v>
          </cell>
          <cell r="AB528">
            <v>4730000</v>
          </cell>
          <cell r="AC528">
            <v>3807296</v>
          </cell>
        </row>
        <row r="529">
          <cell r="A529" t="str">
            <v>X</v>
          </cell>
          <cell r="Q529">
            <v>11890302</v>
          </cell>
          <cell r="R529">
            <v>47192000</v>
          </cell>
          <cell r="W529">
            <v>624</v>
          </cell>
          <cell r="AA529">
            <v>42432000</v>
          </cell>
          <cell r="AB529">
            <v>32379200</v>
          </cell>
          <cell r="AC529">
            <v>25505304</v>
          </cell>
        </row>
        <row r="530">
          <cell r="A530" t="str">
            <v>X</v>
          </cell>
          <cell r="Q530">
            <v>3863151</v>
          </cell>
          <cell r="R530">
            <v>20126000</v>
          </cell>
          <cell r="W530">
            <v>141</v>
          </cell>
          <cell r="AA530">
            <v>8178000</v>
          </cell>
          <cell r="AB530">
            <v>6242400</v>
          </cell>
          <cell r="AC530">
            <v>4947632</v>
          </cell>
        </row>
        <row r="531">
          <cell r="A531" t="str">
            <v>X</v>
          </cell>
          <cell r="Q531">
            <v>3752001</v>
          </cell>
          <cell r="R531">
            <v>18414000</v>
          </cell>
          <cell r="W531">
            <v>163</v>
          </cell>
          <cell r="AA531">
            <v>10106000</v>
          </cell>
          <cell r="AB531">
            <v>7804400</v>
          </cell>
          <cell r="AC531">
            <v>6040040</v>
          </cell>
        </row>
        <row r="532">
          <cell r="A532" t="str">
            <v>X</v>
          </cell>
          <cell r="Q532">
            <v>3627767</v>
          </cell>
          <cell r="R532">
            <v>18538000</v>
          </cell>
          <cell r="W532">
            <v>120</v>
          </cell>
          <cell r="AA532">
            <v>7440000</v>
          </cell>
          <cell r="AB532">
            <v>5942200</v>
          </cell>
          <cell r="AC532">
            <v>4584466</v>
          </cell>
        </row>
        <row r="533">
          <cell r="A533" t="str">
            <v>X</v>
          </cell>
          <cell r="Q533">
            <v>5425934</v>
          </cell>
          <cell r="R533">
            <v>27064000</v>
          </cell>
          <cell r="W533">
            <v>142</v>
          </cell>
          <cell r="AA533">
            <v>9656000</v>
          </cell>
          <cell r="AB533">
            <v>7054800</v>
          </cell>
          <cell r="AC533">
            <v>5856704</v>
          </cell>
        </row>
        <row r="534">
          <cell r="A534" t="str">
            <v>X</v>
          </cell>
          <cell r="Q534">
            <v>3852018</v>
          </cell>
          <cell r="R534">
            <v>20068000</v>
          </cell>
          <cell r="W534">
            <v>278</v>
          </cell>
          <cell r="AA534">
            <v>16124000</v>
          </cell>
          <cell r="AB534">
            <v>12280800</v>
          </cell>
          <cell r="AC534">
            <v>9657580</v>
          </cell>
        </row>
        <row r="535">
          <cell r="A535" t="str">
            <v>X</v>
          </cell>
          <cell r="Q535">
            <v>5626600</v>
          </cell>
          <cell r="R535">
            <v>27600000</v>
          </cell>
          <cell r="W535">
            <v>104</v>
          </cell>
          <cell r="AA535">
            <v>14352000</v>
          </cell>
          <cell r="AB535">
            <v>10673600</v>
          </cell>
          <cell r="AC535">
            <v>8440080</v>
          </cell>
        </row>
        <row r="536">
          <cell r="A536" t="str">
            <v>X</v>
          </cell>
          <cell r="Q536">
            <v>10798934</v>
          </cell>
          <cell r="R536">
            <v>50944000</v>
          </cell>
          <cell r="W536">
            <v>172</v>
          </cell>
          <cell r="AA536">
            <v>22016000</v>
          </cell>
          <cell r="AB536">
            <v>16522000</v>
          </cell>
          <cell r="AC536">
            <v>12688256</v>
          </cell>
        </row>
        <row r="537">
          <cell r="A537" t="str">
            <v>X</v>
          </cell>
          <cell r="Q537">
            <v>5714120</v>
          </cell>
          <cell r="R537">
            <v>45080000</v>
          </cell>
          <cell r="W537">
            <v>345</v>
          </cell>
          <cell r="AA537">
            <v>33810000</v>
          </cell>
          <cell r="AB537">
            <v>11108200</v>
          </cell>
          <cell r="AC537">
            <v>8317624</v>
          </cell>
        </row>
        <row r="538">
          <cell r="A538" t="str">
            <v>X</v>
          </cell>
          <cell r="Q538">
            <v>10193160</v>
          </cell>
          <cell r="R538">
            <v>82002000</v>
          </cell>
          <cell r="W538">
            <v>128</v>
          </cell>
          <cell r="AA538">
            <v>20224000</v>
          </cell>
          <cell r="AB538">
            <v>8185800</v>
          </cell>
          <cell r="AC538">
            <v>6017332</v>
          </cell>
        </row>
        <row r="539">
          <cell r="A539" t="str">
            <v>X</v>
          </cell>
          <cell r="Q539">
            <v>11302025</v>
          </cell>
          <cell r="R539">
            <v>94010000</v>
          </cell>
          <cell r="W539">
            <v>130</v>
          </cell>
          <cell r="AA539">
            <v>20540000</v>
          </cell>
          <cell r="AB539">
            <v>8328900</v>
          </cell>
          <cell r="AC539">
            <v>6565973</v>
          </cell>
        </row>
        <row r="540">
          <cell r="A540" t="str">
            <v>X</v>
          </cell>
          <cell r="Q540">
            <v>15991284</v>
          </cell>
          <cell r="R540">
            <v>151272000</v>
          </cell>
          <cell r="W540">
            <v>196</v>
          </cell>
          <cell r="AA540">
            <v>38808000</v>
          </cell>
          <cell r="AB540">
            <v>14858500</v>
          </cell>
          <cell r="AC540">
            <v>11399925</v>
          </cell>
        </row>
        <row r="541">
          <cell r="A541" t="str">
            <v>X</v>
          </cell>
          <cell r="Q541">
            <v>8152000</v>
          </cell>
          <cell r="R541">
            <v>142400000</v>
          </cell>
          <cell r="W541">
            <v>148</v>
          </cell>
          <cell r="AA541">
            <v>26344000</v>
          </cell>
          <cell r="AB541">
            <v>10131850</v>
          </cell>
          <cell r="AC541">
            <v>7810771</v>
          </cell>
        </row>
        <row r="542">
          <cell r="A542" t="str">
            <v>X</v>
          </cell>
          <cell r="Q542">
            <v>6747018</v>
          </cell>
          <cell r="R542">
            <v>53044000</v>
          </cell>
          <cell r="W542">
            <v>129</v>
          </cell>
          <cell r="AA542">
            <v>22962000</v>
          </cell>
          <cell r="AB542">
            <v>9994200</v>
          </cell>
          <cell r="AC542">
            <v>7690357</v>
          </cell>
        </row>
        <row r="543">
          <cell r="A543" t="str">
            <v>X</v>
          </cell>
          <cell r="Q543">
            <v>13878816</v>
          </cell>
          <cell r="R543">
            <v>110922000</v>
          </cell>
          <cell r="W543">
            <v>133</v>
          </cell>
          <cell r="AA543">
            <v>36974000</v>
          </cell>
          <cell r="AB543">
            <v>14096600</v>
          </cell>
          <cell r="AC543">
            <v>10478664</v>
          </cell>
        </row>
        <row r="544">
          <cell r="A544" t="str">
            <v>X</v>
          </cell>
          <cell r="Q544">
            <v>19125351</v>
          </cell>
          <cell r="R544">
            <v>143934000</v>
          </cell>
          <cell r="W544">
            <v>93</v>
          </cell>
          <cell r="AA544">
            <v>27714000</v>
          </cell>
          <cell r="AB544">
            <v>12842800</v>
          </cell>
          <cell r="AC544">
            <v>9839886</v>
          </cell>
        </row>
        <row r="545">
          <cell r="A545" t="str">
            <v>X</v>
          </cell>
          <cell r="Q545">
            <v>12843441</v>
          </cell>
          <cell r="R545">
            <v>104598000</v>
          </cell>
          <cell r="W545">
            <v>91</v>
          </cell>
          <cell r="AA545">
            <v>27118000</v>
          </cell>
          <cell r="AB545">
            <v>12738100</v>
          </cell>
          <cell r="AC545">
            <v>9480274</v>
          </cell>
        </row>
        <row r="546">
          <cell r="A546" t="str">
            <v>X</v>
          </cell>
          <cell r="Q546">
            <v>24431050</v>
          </cell>
          <cell r="R546">
            <v>161518000</v>
          </cell>
          <cell r="W546">
            <v>250</v>
          </cell>
          <cell r="AA546">
            <v>69500000</v>
          </cell>
          <cell r="AB546">
            <v>32384200</v>
          </cell>
          <cell r="AC546">
            <v>24733799</v>
          </cell>
        </row>
        <row r="547">
          <cell r="A547" t="str">
            <v>X</v>
          </cell>
          <cell r="Q547">
            <v>18542364</v>
          </cell>
          <cell r="R547">
            <v>144076000</v>
          </cell>
          <cell r="W547">
            <v>121</v>
          </cell>
          <cell r="AA547">
            <v>48158000</v>
          </cell>
          <cell r="AB547">
            <v>22177200</v>
          </cell>
          <cell r="AC547">
            <v>16806943</v>
          </cell>
        </row>
        <row r="548">
          <cell r="A548" t="str">
            <v>X</v>
          </cell>
          <cell r="Q548">
            <v>37276743</v>
          </cell>
          <cell r="R548">
            <v>323274000</v>
          </cell>
          <cell r="W548">
            <v>124</v>
          </cell>
          <cell r="AA548">
            <v>44392000</v>
          </cell>
          <cell r="AB548">
            <v>20746650</v>
          </cell>
          <cell r="AC548">
            <v>15449311</v>
          </cell>
        </row>
        <row r="549">
          <cell r="A549" t="str">
            <v>X</v>
          </cell>
          <cell r="Q549">
            <v>44292648</v>
          </cell>
          <cell r="R549">
            <v>338902000</v>
          </cell>
          <cell r="W549">
            <v>304</v>
          </cell>
          <cell r="AA549">
            <v>145312000</v>
          </cell>
          <cell r="AB549">
            <v>67418445</v>
          </cell>
          <cell r="AC549">
            <v>50419165</v>
          </cell>
        </row>
        <row r="550">
          <cell r="A550" t="str">
            <v>X</v>
          </cell>
          <cell r="Q550">
            <v>5464248</v>
          </cell>
          <cell r="R550">
            <v>54648000</v>
          </cell>
          <cell r="W550">
            <v>100</v>
          </cell>
          <cell r="AA550">
            <v>19800000</v>
          </cell>
          <cell r="AB550">
            <v>9081040</v>
          </cell>
          <cell r="AC550">
            <v>6912507</v>
          </cell>
        </row>
        <row r="551">
          <cell r="A551" t="str">
            <v>X</v>
          </cell>
          <cell r="Q551">
            <v>12151499</v>
          </cell>
          <cell r="R551">
            <v>121374000</v>
          </cell>
          <cell r="W551">
            <v>242</v>
          </cell>
          <cell r="AA551">
            <v>47916000</v>
          </cell>
          <cell r="AB551">
            <v>21448300</v>
          </cell>
          <cell r="AC551">
            <v>16235654</v>
          </cell>
        </row>
        <row r="552">
          <cell r="A552" t="str">
            <v>X</v>
          </cell>
          <cell r="Q552">
            <v>17499076</v>
          </cell>
          <cell r="R552">
            <v>184338000</v>
          </cell>
          <cell r="W552">
            <v>394</v>
          </cell>
          <cell r="AA552">
            <v>78012000</v>
          </cell>
          <cell r="AB552">
            <v>36052300</v>
          </cell>
          <cell r="AC552">
            <v>26965719</v>
          </cell>
        </row>
        <row r="553">
          <cell r="A553" t="str">
            <v>X</v>
          </cell>
          <cell r="Q553">
            <v>20605613</v>
          </cell>
          <cell r="R553">
            <v>215922000</v>
          </cell>
          <cell r="W553">
            <v>351</v>
          </cell>
          <cell r="AA553">
            <v>111618000</v>
          </cell>
          <cell r="AB553">
            <v>50700845</v>
          </cell>
          <cell r="AC553">
            <v>37479854</v>
          </cell>
        </row>
        <row r="554">
          <cell r="A554" t="str">
            <v>X</v>
          </cell>
          <cell r="Q554">
            <v>10020296</v>
          </cell>
          <cell r="R554">
            <v>82058000</v>
          </cell>
          <cell r="W554">
            <v>81</v>
          </cell>
          <cell r="AA554">
            <v>14418000</v>
          </cell>
          <cell r="AB554">
            <v>6418900</v>
          </cell>
          <cell r="AC554">
            <v>4889795</v>
          </cell>
        </row>
        <row r="555">
          <cell r="A555" t="str">
            <v>X</v>
          </cell>
          <cell r="Q555">
            <v>19512840</v>
          </cell>
          <cell r="R555">
            <v>168370000</v>
          </cell>
          <cell r="W555">
            <v>262</v>
          </cell>
          <cell r="AA555">
            <v>78076000</v>
          </cell>
          <cell r="AB555">
            <v>35188740</v>
          </cell>
          <cell r="AC555">
            <v>26876516</v>
          </cell>
        </row>
        <row r="556">
          <cell r="A556" t="str">
            <v>X</v>
          </cell>
          <cell r="Q556">
            <v>32931036</v>
          </cell>
          <cell r="R556">
            <v>257742000</v>
          </cell>
          <cell r="W556">
            <v>83</v>
          </cell>
          <cell r="AA556">
            <v>21414000</v>
          </cell>
          <cell r="AB556">
            <v>9138400</v>
          </cell>
          <cell r="AC556">
            <v>6738093</v>
          </cell>
        </row>
        <row r="557">
          <cell r="A557" t="str">
            <v>X</v>
          </cell>
          <cell r="Q557">
            <v>12706421</v>
          </cell>
          <cell r="R557">
            <v>100282000</v>
          </cell>
          <cell r="W557">
            <v>1082</v>
          </cell>
          <cell r="AA557">
            <v>62756000</v>
          </cell>
          <cell r="AB557">
            <v>29245095</v>
          </cell>
          <cell r="AC557">
            <v>22541667</v>
          </cell>
        </row>
        <row r="558">
          <cell r="A558" t="str">
            <v>X</v>
          </cell>
          <cell r="Q558">
            <v>22920504</v>
          </cell>
          <cell r="R558">
            <v>201072000</v>
          </cell>
          <cell r="W558">
            <v>1163</v>
          </cell>
          <cell r="AA558">
            <v>137234000</v>
          </cell>
          <cell r="AB558">
            <v>61789530</v>
          </cell>
          <cell r="AC558">
            <v>47884972</v>
          </cell>
        </row>
        <row r="559">
          <cell r="A559" t="str">
            <v>X</v>
          </cell>
          <cell r="Q559">
            <v>14931288</v>
          </cell>
          <cell r="R559">
            <v>123888000</v>
          </cell>
          <cell r="W559">
            <v>291</v>
          </cell>
          <cell r="AA559">
            <v>51798000</v>
          </cell>
          <cell r="AB559">
            <v>23360300</v>
          </cell>
          <cell r="AC559">
            <v>18038797</v>
          </cell>
        </row>
        <row r="560">
          <cell r="A560" t="str">
            <v>X</v>
          </cell>
          <cell r="Q560">
            <v>11704950</v>
          </cell>
          <cell r="R560">
            <v>97014000</v>
          </cell>
          <cell r="W560">
            <v>236</v>
          </cell>
          <cell r="AA560">
            <v>32568000</v>
          </cell>
          <cell r="AB560">
            <v>14299200</v>
          </cell>
          <cell r="AC560">
            <v>11127872</v>
          </cell>
        </row>
        <row r="561">
          <cell r="A561" t="str">
            <v>X</v>
          </cell>
          <cell r="Q561">
            <v>18167149</v>
          </cell>
          <cell r="R561">
            <v>138138000</v>
          </cell>
          <cell r="W561">
            <v>169</v>
          </cell>
          <cell r="AA561">
            <v>23322000</v>
          </cell>
          <cell r="AB561">
            <v>9205450</v>
          </cell>
          <cell r="AC561">
            <v>7094035</v>
          </cell>
        </row>
        <row r="562">
          <cell r="A562" t="str">
            <v>X</v>
          </cell>
          <cell r="Q562">
            <v>7544700</v>
          </cell>
          <cell r="R562">
            <v>53400000</v>
          </cell>
          <cell r="W562">
            <v>49</v>
          </cell>
          <cell r="AA562">
            <v>8722000</v>
          </cell>
          <cell r="AB562">
            <v>4076300</v>
          </cell>
          <cell r="AC562">
            <v>3161903</v>
          </cell>
        </row>
        <row r="563">
          <cell r="A563" t="str">
            <v>X</v>
          </cell>
          <cell r="Q563">
            <v>9759137</v>
          </cell>
          <cell r="R563">
            <v>71378000</v>
          </cell>
          <cell r="W563">
            <v>179</v>
          </cell>
          <cell r="AA563">
            <v>31862000</v>
          </cell>
          <cell r="AB563">
            <v>15097900</v>
          </cell>
          <cell r="AC563">
            <v>11436678</v>
          </cell>
        </row>
        <row r="564">
          <cell r="A564" t="str">
            <v>X</v>
          </cell>
          <cell r="Q564">
            <v>20844464</v>
          </cell>
          <cell r="R564">
            <v>156768000</v>
          </cell>
          <cell r="W564">
            <v>623</v>
          </cell>
          <cell r="AA564">
            <v>85974000</v>
          </cell>
          <cell r="AB564">
            <v>31698300</v>
          </cell>
          <cell r="AC564">
            <v>23928396</v>
          </cell>
        </row>
        <row r="565">
          <cell r="A565" t="str">
            <v>X</v>
          </cell>
          <cell r="Q565">
            <v>19688477</v>
          </cell>
          <cell r="R565">
            <v>148074000</v>
          </cell>
          <cell r="W565">
            <v>436</v>
          </cell>
          <cell r="AA565">
            <v>60168000</v>
          </cell>
          <cell r="AB565">
            <v>27689900</v>
          </cell>
          <cell r="AC565">
            <v>21394002</v>
          </cell>
        </row>
        <row r="566">
          <cell r="A566" t="str">
            <v>X</v>
          </cell>
          <cell r="Q566">
            <v>6569030</v>
          </cell>
          <cell r="R566">
            <v>59202000</v>
          </cell>
          <cell r="W566">
            <v>191</v>
          </cell>
          <cell r="AA566">
            <v>37818000</v>
          </cell>
          <cell r="AB566">
            <v>17213900</v>
          </cell>
          <cell r="AC566">
            <v>12716105</v>
          </cell>
        </row>
        <row r="567">
          <cell r="A567" t="str">
            <v>X</v>
          </cell>
          <cell r="Q567">
            <v>13878018</v>
          </cell>
          <cell r="R567">
            <v>121396000</v>
          </cell>
          <cell r="W567">
            <v>151</v>
          </cell>
          <cell r="AA567">
            <v>26878000</v>
          </cell>
          <cell r="AB567">
            <v>12394800</v>
          </cell>
          <cell r="AC567">
            <v>9740739</v>
          </cell>
        </row>
        <row r="568">
          <cell r="A568" t="str">
            <v>X</v>
          </cell>
          <cell r="Q568">
            <v>27150594</v>
          </cell>
          <cell r="R568">
            <v>221244000</v>
          </cell>
          <cell r="W568">
            <v>251</v>
          </cell>
          <cell r="AA568">
            <v>89858000</v>
          </cell>
          <cell r="AB568">
            <v>41281700</v>
          </cell>
          <cell r="AC568">
            <v>31252237</v>
          </cell>
        </row>
        <row r="569">
          <cell r="A569" t="str">
            <v>X</v>
          </cell>
          <cell r="Q569">
            <v>43432500</v>
          </cell>
          <cell r="R569">
            <v>298500000</v>
          </cell>
          <cell r="W569">
            <v>108</v>
          </cell>
          <cell r="AA569">
            <v>42984000</v>
          </cell>
          <cell r="AB569">
            <v>17500900</v>
          </cell>
          <cell r="AC569">
            <v>13318921</v>
          </cell>
        </row>
        <row r="570">
          <cell r="A570" t="str">
            <v>X</v>
          </cell>
          <cell r="Q570">
            <v>19836474</v>
          </cell>
          <cell r="R570">
            <v>146084000</v>
          </cell>
          <cell r="W570">
            <v>1001</v>
          </cell>
          <cell r="AA570">
            <v>118118000</v>
          </cell>
          <cell r="AB570">
            <v>53648740</v>
          </cell>
          <cell r="AC570">
            <v>41174035</v>
          </cell>
        </row>
        <row r="571">
          <cell r="A571" t="str">
            <v>X</v>
          </cell>
          <cell r="Q571">
            <v>14795910</v>
          </cell>
          <cell r="R571">
            <v>156420000</v>
          </cell>
          <cell r="W571">
            <v>281</v>
          </cell>
          <cell r="AA571">
            <v>55638000</v>
          </cell>
          <cell r="AB571">
            <v>25228200</v>
          </cell>
          <cell r="AC571">
            <v>19469450</v>
          </cell>
        </row>
        <row r="572">
          <cell r="A572" t="str">
            <v>X</v>
          </cell>
          <cell r="Q572">
            <v>23006272</v>
          </cell>
          <cell r="R572">
            <v>183264000</v>
          </cell>
          <cell r="W572">
            <v>557</v>
          </cell>
          <cell r="AA572">
            <v>76866000</v>
          </cell>
          <cell r="AB572">
            <v>35399095</v>
          </cell>
          <cell r="AC572">
            <v>27291108</v>
          </cell>
        </row>
        <row r="573">
          <cell r="A573" t="str">
            <v>X</v>
          </cell>
          <cell r="Q573">
            <v>25527458</v>
          </cell>
          <cell r="R573">
            <v>218454000</v>
          </cell>
          <cell r="W573">
            <v>364</v>
          </cell>
          <cell r="AA573">
            <v>50232000</v>
          </cell>
          <cell r="AB573">
            <v>20617700</v>
          </cell>
          <cell r="AC573">
            <v>15913325</v>
          </cell>
        </row>
        <row r="574">
          <cell r="A574" t="str">
            <v>X</v>
          </cell>
          <cell r="Q574">
            <v>9857225</v>
          </cell>
          <cell r="R574">
            <v>76314000</v>
          </cell>
          <cell r="W574">
            <v>144</v>
          </cell>
          <cell r="AA574">
            <v>19872000</v>
          </cell>
          <cell r="AB574">
            <v>8073700</v>
          </cell>
          <cell r="AC574">
            <v>6190578</v>
          </cell>
        </row>
        <row r="575">
          <cell r="A575" t="str">
            <v>X</v>
          </cell>
          <cell r="Q575">
            <v>12434913</v>
          </cell>
          <cell r="R575">
            <v>106266000</v>
          </cell>
          <cell r="W575">
            <v>318</v>
          </cell>
          <cell r="AA575">
            <v>56604000</v>
          </cell>
          <cell r="AB575">
            <v>26597700</v>
          </cell>
          <cell r="AC575">
            <v>20186446</v>
          </cell>
        </row>
        <row r="576">
          <cell r="A576" t="str">
            <v>X</v>
          </cell>
          <cell r="Q576">
            <v>8709771</v>
          </cell>
          <cell r="R576">
            <v>71022000</v>
          </cell>
          <cell r="W576">
            <v>255</v>
          </cell>
          <cell r="AA576">
            <v>45390000</v>
          </cell>
          <cell r="AB576">
            <v>22065300</v>
          </cell>
          <cell r="AC576">
            <v>16881252</v>
          </cell>
        </row>
        <row r="577">
          <cell r="A577" t="str">
            <v>X</v>
          </cell>
          <cell r="Q577">
            <v>8709771</v>
          </cell>
          <cell r="R577">
            <v>71022000</v>
          </cell>
          <cell r="W577">
            <v>355</v>
          </cell>
          <cell r="AA577">
            <v>63190000</v>
          </cell>
          <cell r="AB577">
            <v>30903800</v>
          </cell>
          <cell r="AC577">
            <v>23139896</v>
          </cell>
        </row>
        <row r="578">
          <cell r="A578" t="str">
            <v>X</v>
          </cell>
          <cell r="Q578">
            <v>18076084</v>
          </cell>
          <cell r="R578">
            <v>129928000</v>
          </cell>
          <cell r="W578">
            <v>555</v>
          </cell>
          <cell r="AA578">
            <v>120990000</v>
          </cell>
          <cell r="AB578">
            <v>55886695</v>
          </cell>
          <cell r="AC578">
            <v>42012023</v>
          </cell>
        </row>
        <row r="579">
          <cell r="A579" t="str">
            <v>X</v>
          </cell>
          <cell r="Q579">
            <v>83807280</v>
          </cell>
          <cell r="R579">
            <v>752760000</v>
          </cell>
          <cell r="W579">
            <v>787</v>
          </cell>
          <cell r="AA579">
            <v>580806000</v>
          </cell>
          <cell r="AB579">
            <v>261445355</v>
          </cell>
          <cell r="AC579">
            <v>195034009</v>
          </cell>
        </row>
        <row r="580">
          <cell r="A580" t="str">
            <v>X</v>
          </cell>
          <cell r="Q580">
            <v>24565772</v>
          </cell>
          <cell r="R580">
            <v>196742000</v>
          </cell>
          <cell r="W580">
            <v>134</v>
          </cell>
          <cell r="AA580">
            <v>80132000</v>
          </cell>
          <cell r="AB580">
            <v>36483980</v>
          </cell>
          <cell r="AC580">
            <v>27079982</v>
          </cell>
        </row>
        <row r="581">
          <cell r="A581" t="str">
            <v>X</v>
          </cell>
          <cell r="Q581">
            <v>41977110</v>
          </cell>
          <cell r="R581">
            <v>353346000</v>
          </cell>
          <cell r="W581">
            <v>281</v>
          </cell>
          <cell r="AA581">
            <v>100598000</v>
          </cell>
          <cell r="AB581">
            <v>45834100</v>
          </cell>
          <cell r="AC581">
            <v>34648314</v>
          </cell>
        </row>
        <row r="582">
          <cell r="A582" t="str">
            <v>X</v>
          </cell>
          <cell r="Q582">
            <v>39610896</v>
          </cell>
          <cell r="R582">
            <v>294918000</v>
          </cell>
          <cell r="W582">
            <v>399</v>
          </cell>
          <cell r="AA582">
            <v>158802000</v>
          </cell>
          <cell r="AB582">
            <v>71699790</v>
          </cell>
          <cell r="AC582">
            <v>54455574</v>
          </cell>
        </row>
        <row r="583">
          <cell r="A583" t="str">
            <v>X</v>
          </cell>
          <cell r="Q583">
            <v>55750130</v>
          </cell>
          <cell r="R583">
            <v>443372000</v>
          </cell>
          <cell r="W583">
            <v>418</v>
          </cell>
          <cell r="AA583">
            <v>166364000</v>
          </cell>
          <cell r="AB583">
            <v>69765800</v>
          </cell>
          <cell r="AC583">
            <v>51959994</v>
          </cell>
        </row>
        <row r="584">
          <cell r="A584" t="str">
            <v>X</v>
          </cell>
          <cell r="Q584">
            <v>89374984</v>
          </cell>
          <cell r="R584">
            <v>942616000</v>
          </cell>
          <cell r="W584">
            <v>433</v>
          </cell>
          <cell r="AA584">
            <v>206974000</v>
          </cell>
          <cell r="AB584">
            <v>84432895</v>
          </cell>
          <cell r="AC584">
            <v>64633361</v>
          </cell>
        </row>
        <row r="585">
          <cell r="A585" t="str">
            <v>X</v>
          </cell>
          <cell r="Q585">
            <v>73412481</v>
          </cell>
          <cell r="R585">
            <v>591422000</v>
          </cell>
          <cell r="W585">
            <v>663</v>
          </cell>
          <cell r="AA585">
            <v>396474000</v>
          </cell>
          <cell r="AB585">
            <v>180241450</v>
          </cell>
          <cell r="AC585">
            <v>135957543</v>
          </cell>
        </row>
        <row r="586">
          <cell r="A586" t="str">
            <v>X</v>
          </cell>
          <cell r="Q586">
            <v>72569808</v>
          </cell>
          <cell r="R586">
            <v>927480000</v>
          </cell>
          <cell r="W586">
            <v>47</v>
          </cell>
          <cell r="AA586">
            <v>55460000</v>
          </cell>
          <cell r="AB586">
            <v>23306000</v>
          </cell>
          <cell r="AC586">
            <v>17420385</v>
          </cell>
        </row>
        <row r="587">
          <cell r="A587" t="str">
            <v>W</v>
          </cell>
          <cell r="Q587">
            <v>5837078</v>
          </cell>
          <cell r="R587">
            <v>65962000</v>
          </cell>
          <cell r="W587">
            <v>179</v>
          </cell>
          <cell r="AA587">
            <v>21122000</v>
          </cell>
          <cell r="AB587">
            <v>9835445</v>
          </cell>
          <cell r="AC587">
            <v>7749842</v>
          </cell>
        </row>
        <row r="588">
          <cell r="A588" t="str">
            <v>W</v>
          </cell>
          <cell r="Q588">
            <v>24932217</v>
          </cell>
          <cell r="R588">
            <v>171054000</v>
          </cell>
          <cell r="W588">
            <v>1004</v>
          </cell>
          <cell r="AA588">
            <v>78312000</v>
          </cell>
          <cell r="AB588">
            <v>35817300</v>
          </cell>
          <cell r="AC588">
            <v>29385299</v>
          </cell>
        </row>
        <row r="589">
          <cell r="A589" t="str">
            <v>W</v>
          </cell>
          <cell r="Q589">
            <v>11421660</v>
          </cell>
          <cell r="R589">
            <v>109976000</v>
          </cell>
          <cell r="W589">
            <v>439</v>
          </cell>
          <cell r="AA589">
            <v>51802000</v>
          </cell>
          <cell r="AB589">
            <v>24180250</v>
          </cell>
          <cell r="AC589">
            <v>18962246</v>
          </cell>
        </row>
        <row r="590">
          <cell r="A590" t="str">
            <v>W</v>
          </cell>
          <cell r="Q590">
            <v>23044450</v>
          </cell>
          <cell r="R590">
            <v>197340000</v>
          </cell>
          <cell r="W590">
            <v>461</v>
          </cell>
          <cell r="AA590">
            <v>63618000</v>
          </cell>
          <cell r="AB590">
            <v>28931945</v>
          </cell>
          <cell r="AC590">
            <v>23461228</v>
          </cell>
        </row>
        <row r="591">
          <cell r="A591" t="str">
            <v>W</v>
          </cell>
          <cell r="Q591">
            <v>12555144</v>
          </cell>
          <cell r="R591">
            <v>128296000</v>
          </cell>
          <cell r="W591">
            <v>257</v>
          </cell>
          <cell r="AA591">
            <v>40606000</v>
          </cell>
          <cell r="AB591">
            <v>18799800</v>
          </cell>
          <cell r="AC591">
            <v>14741835</v>
          </cell>
        </row>
        <row r="592">
          <cell r="A592" t="str">
            <v>W</v>
          </cell>
          <cell r="Q592">
            <v>13513354</v>
          </cell>
          <cell r="R592">
            <v>101982000</v>
          </cell>
          <cell r="W592">
            <v>502</v>
          </cell>
          <cell r="AA592">
            <v>69276000</v>
          </cell>
          <cell r="AB592">
            <v>32103600</v>
          </cell>
          <cell r="AC592">
            <v>25163748</v>
          </cell>
        </row>
        <row r="593">
          <cell r="A593" t="str">
            <v>W</v>
          </cell>
          <cell r="Q593">
            <v>22509400</v>
          </cell>
          <cell r="R593">
            <v>190390000</v>
          </cell>
          <cell r="W593">
            <v>448</v>
          </cell>
          <cell r="AA593">
            <v>70784000</v>
          </cell>
          <cell r="AB593">
            <v>32347800</v>
          </cell>
          <cell r="AC593">
            <v>25413392</v>
          </cell>
        </row>
        <row r="594">
          <cell r="A594" t="str">
            <v>W</v>
          </cell>
          <cell r="Q594">
            <v>13858954</v>
          </cell>
          <cell r="R594">
            <v>148698000</v>
          </cell>
          <cell r="W594">
            <v>450</v>
          </cell>
          <cell r="AA594">
            <v>89100000</v>
          </cell>
          <cell r="AB594">
            <v>41083850</v>
          </cell>
          <cell r="AC594">
            <v>32311620</v>
          </cell>
        </row>
        <row r="595">
          <cell r="A595" t="str">
            <v>W</v>
          </cell>
          <cell r="Q595">
            <v>24096266</v>
          </cell>
          <cell r="R595">
            <v>184932000</v>
          </cell>
          <cell r="W595">
            <v>584</v>
          </cell>
          <cell r="AA595">
            <v>115632000</v>
          </cell>
          <cell r="AB595">
            <v>54129895</v>
          </cell>
          <cell r="AC595">
            <v>41621654</v>
          </cell>
        </row>
        <row r="596">
          <cell r="A596" t="str">
            <v>W</v>
          </cell>
          <cell r="Q596">
            <v>13007530</v>
          </cell>
          <cell r="R596">
            <v>123924000</v>
          </cell>
          <cell r="W596">
            <v>447</v>
          </cell>
          <cell r="AA596">
            <v>61686000</v>
          </cell>
          <cell r="AB596">
            <v>27944945</v>
          </cell>
          <cell r="AC596">
            <v>22003841</v>
          </cell>
        </row>
        <row r="597">
          <cell r="A597" t="str">
            <v>W</v>
          </cell>
          <cell r="Q597">
            <v>4079976</v>
          </cell>
          <cell r="R597">
            <v>44556000</v>
          </cell>
          <cell r="W597">
            <v>82</v>
          </cell>
          <cell r="AA597">
            <v>12956000</v>
          </cell>
          <cell r="AB597">
            <v>5934700</v>
          </cell>
          <cell r="AC597">
            <v>4726412</v>
          </cell>
        </row>
        <row r="598">
          <cell r="A598" t="str">
            <v>W</v>
          </cell>
          <cell r="Q598">
            <v>13866993</v>
          </cell>
          <cell r="R598">
            <v>113918000</v>
          </cell>
          <cell r="W598">
            <v>359</v>
          </cell>
          <cell r="AA598">
            <v>56722000</v>
          </cell>
          <cell r="AB598">
            <v>26682400</v>
          </cell>
          <cell r="AC598">
            <v>20643648</v>
          </cell>
        </row>
        <row r="599">
          <cell r="A599" t="str">
            <v>W</v>
          </cell>
          <cell r="Q599">
            <v>13842400</v>
          </cell>
          <cell r="R599">
            <v>143520000</v>
          </cell>
          <cell r="W599">
            <v>795</v>
          </cell>
          <cell r="AA599">
            <v>109710000</v>
          </cell>
          <cell r="AB599">
            <v>51227700</v>
          </cell>
          <cell r="AC599">
            <v>40483058</v>
          </cell>
        </row>
        <row r="600">
          <cell r="A600" t="str">
            <v>W</v>
          </cell>
          <cell r="Q600">
            <v>10599894</v>
          </cell>
          <cell r="R600">
            <v>112194000</v>
          </cell>
          <cell r="W600">
            <v>514</v>
          </cell>
          <cell r="AA600">
            <v>70932000</v>
          </cell>
          <cell r="AB600">
            <v>33210700</v>
          </cell>
          <cell r="AC600">
            <v>26112291</v>
          </cell>
        </row>
        <row r="601">
          <cell r="A601" t="str">
            <v>W</v>
          </cell>
          <cell r="Q601">
            <v>9115470</v>
          </cell>
          <cell r="R601">
            <v>78498000</v>
          </cell>
          <cell r="W601">
            <v>248</v>
          </cell>
          <cell r="AA601">
            <v>44144000</v>
          </cell>
          <cell r="AB601">
            <v>20387600</v>
          </cell>
          <cell r="AC601">
            <v>15858732</v>
          </cell>
        </row>
        <row r="602">
          <cell r="A602" t="str">
            <v>W</v>
          </cell>
          <cell r="Q602">
            <v>8866875</v>
          </cell>
          <cell r="R602">
            <v>66750000</v>
          </cell>
          <cell r="W602">
            <v>301</v>
          </cell>
          <cell r="AA602">
            <v>53578000</v>
          </cell>
          <cell r="AB602">
            <v>24977650</v>
          </cell>
          <cell r="AC602">
            <v>19404225</v>
          </cell>
        </row>
        <row r="603">
          <cell r="A603" t="str">
            <v>W</v>
          </cell>
          <cell r="Q603">
            <v>20603520</v>
          </cell>
          <cell r="R603">
            <v>188160000</v>
          </cell>
          <cell r="W603">
            <v>729</v>
          </cell>
          <cell r="AA603">
            <v>71442000</v>
          </cell>
          <cell r="AB603">
            <v>34141300</v>
          </cell>
          <cell r="AC603">
            <v>26108646</v>
          </cell>
        </row>
        <row r="604">
          <cell r="A604" t="str">
            <v>W</v>
          </cell>
          <cell r="Q604">
            <v>33965514</v>
          </cell>
          <cell r="R604">
            <v>224388000</v>
          </cell>
          <cell r="W604">
            <v>647</v>
          </cell>
          <cell r="AA604">
            <v>89286000</v>
          </cell>
          <cell r="AB604">
            <v>36316000</v>
          </cell>
          <cell r="AC604">
            <v>27864880</v>
          </cell>
        </row>
        <row r="605">
          <cell r="A605" t="str">
            <v>W</v>
          </cell>
          <cell r="Q605">
            <v>19138875</v>
          </cell>
          <cell r="R605">
            <v>138250000</v>
          </cell>
          <cell r="W605">
            <v>202</v>
          </cell>
          <cell r="AA605">
            <v>31916000</v>
          </cell>
          <cell r="AB605">
            <v>14946100</v>
          </cell>
          <cell r="AC605">
            <v>11485692</v>
          </cell>
        </row>
        <row r="606">
          <cell r="A606" t="str">
            <v>W</v>
          </cell>
          <cell r="Q606">
            <v>14101620</v>
          </cell>
          <cell r="R606">
            <v>118776000</v>
          </cell>
          <cell r="W606">
            <v>1058</v>
          </cell>
          <cell r="AA606">
            <v>103684000</v>
          </cell>
          <cell r="AB606">
            <v>43803700</v>
          </cell>
          <cell r="AC606">
            <v>32814930</v>
          </cell>
        </row>
        <row r="607">
          <cell r="A607" t="str">
            <v>W</v>
          </cell>
          <cell r="Q607">
            <v>30587150</v>
          </cell>
          <cell r="R607">
            <v>204820000</v>
          </cell>
          <cell r="W607">
            <v>1096</v>
          </cell>
          <cell r="AA607">
            <v>107408000</v>
          </cell>
          <cell r="AB607">
            <v>45085100</v>
          </cell>
          <cell r="AC607">
            <v>34409377</v>
          </cell>
        </row>
        <row r="608">
          <cell r="A608" t="str">
            <v>W</v>
          </cell>
          <cell r="Q608">
            <v>41952600</v>
          </cell>
          <cell r="R608">
            <v>320400000</v>
          </cell>
          <cell r="W608">
            <v>1521</v>
          </cell>
          <cell r="AA608">
            <v>270738000</v>
          </cell>
          <cell r="AB608">
            <v>129696695</v>
          </cell>
          <cell r="AC608">
            <v>100236717</v>
          </cell>
        </row>
        <row r="609">
          <cell r="A609" t="str">
            <v>W</v>
          </cell>
          <cell r="Q609">
            <v>6214622</v>
          </cell>
          <cell r="R609">
            <v>46342000</v>
          </cell>
          <cell r="W609">
            <v>199</v>
          </cell>
          <cell r="AA609">
            <v>11542000</v>
          </cell>
          <cell r="AB609">
            <v>5418700</v>
          </cell>
          <cell r="AC609">
            <v>4151814</v>
          </cell>
        </row>
        <row r="610">
          <cell r="A610" t="str">
            <v>W</v>
          </cell>
          <cell r="Q610">
            <v>24228253</v>
          </cell>
          <cell r="R610">
            <v>211642000</v>
          </cell>
          <cell r="W610">
            <v>362</v>
          </cell>
          <cell r="AA610">
            <v>64436000</v>
          </cell>
          <cell r="AB610">
            <v>30158750</v>
          </cell>
          <cell r="AC610">
            <v>23222948</v>
          </cell>
        </row>
        <row r="611">
          <cell r="A611" t="str">
            <v>W</v>
          </cell>
          <cell r="Q611">
            <v>16704484</v>
          </cell>
          <cell r="R611">
            <v>121572000</v>
          </cell>
          <cell r="W611">
            <v>246</v>
          </cell>
          <cell r="AA611">
            <v>48708000</v>
          </cell>
          <cell r="AB611">
            <v>22822300</v>
          </cell>
          <cell r="AC611">
            <v>17548344</v>
          </cell>
        </row>
        <row r="612">
          <cell r="A612" t="str">
            <v>W</v>
          </cell>
          <cell r="Q612">
            <v>20528375</v>
          </cell>
          <cell r="R612">
            <v>155750000</v>
          </cell>
          <cell r="W612">
            <v>368</v>
          </cell>
          <cell r="AA612">
            <v>65504000</v>
          </cell>
          <cell r="AB612">
            <v>30228300</v>
          </cell>
          <cell r="AC612">
            <v>23420306</v>
          </cell>
        </row>
        <row r="613">
          <cell r="A613" t="str">
            <v>W</v>
          </cell>
          <cell r="Q613">
            <v>24228794</v>
          </cell>
          <cell r="R613">
            <v>234828000</v>
          </cell>
          <cell r="W613">
            <v>555</v>
          </cell>
          <cell r="AA613">
            <v>109890000</v>
          </cell>
          <cell r="AB613">
            <v>50772100</v>
          </cell>
          <cell r="AC613">
            <v>39191625</v>
          </cell>
        </row>
        <row r="614">
          <cell r="A614" t="str">
            <v>W</v>
          </cell>
          <cell r="Q614">
            <v>25482932</v>
          </cell>
          <cell r="R614">
            <v>217564000</v>
          </cell>
          <cell r="W614">
            <v>442</v>
          </cell>
          <cell r="AA614">
            <v>96356000</v>
          </cell>
          <cell r="AB614">
            <v>44929700</v>
          </cell>
          <cell r="AC614">
            <v>34283661</v>
          </cell>
        </row>
        <row r="615">
          <cell r="A615" t="str">
            <v>W</v>
          </cell>
          <cell r="Q615">
            <v>15139450</v>
          </cell>
          <cell r="R615">
            <v>116230000</v>
          </cell>
          <cell r="W615">
            <v>369</v>
          </cell>
          <cell r="AA615">
            <v>43542000</v>
          </cell>
          <cell r="AB615">
            <v>20480300</v>
          </cell>
          <cell r="AC615">
            <v>16149038</v>
          </cell>
        </row>
        <row r="616">
          <cell r="A616" t="str">
            <v>W</v>
          </cell>
          <cell r="Q616">
            <v>19728555</v>
          </cell>
          <cell r="R616">
            <v>180670000</v>
          </cell>
          <cell r="W616">
            <v>359</v>
          </cell>
          <cell r="AA616">
            <v>63902000</v>
          </cell>
          <cell r="AB616">
            <v>30165250</v>
          </cell>
          <cell r="AC616">
            <v>23392360</v>
          </cell>
        </row>
        <row r="617">
          <cell r="A617" t="str">
            <v>W</v>
          </cell>
          <cell r="Q617">
            <v>11854740</v>
          </cell>
          <cell r="R617">
            <v>109470000</v>
          </cell>
          <cell r="W617">
            <v>187</v>
          </cell>
          <cell r="AA617">
            <v>33286000</v>
          </cell>
          <cell r="AB617">
            <v>14841750</v>
          </cell>
          <cell r="AC617">
            <v>11323179</v>
          </cell>
        </row>
        <row r="618">
          <cell r="A618" t="str">
            <v>W</v>
          </cell>
          <cell r="Q618">
            <v>25901728</v>
          </cell>
          <cell r="R618">
            <v>223096000</v>
          </cell>
          <cell r="W618">
            <v>893</v>
          </cell>
          <cell r="AA618">
            <v>141094000</v>
          </cell>
          <cell r="AB618">
            <v>65892445</v>
          </cell>
          <cell r="AC618">
            <v>51666897</v>
          </cell>
        </row>
        <row r="619">
          <cell r="A619" t="str">
            <v>W</v>
          </cell>
          <cell r="Q619">
            <v>11235708</v>
          </cell>
          <cell r="R619">
            <v>91188000</v>
          </cell>
          <cell r="W619">
            <v>92</v>
          </cell>
          <cell r="AA619">
            <v>27416000</v>
          </cell>
          <cell r="AB619">
            <v>12862000</v>
          </cell>
          <cell r="AC619">
            <v>9623389</v>
          </cell>
        </row>
        <row r="620">
          <cell r="A620" t="str">
            <v>W</v>
          </cell>
          <cell r="Q620">
            <v>8351165</v>
          </cell>
          <cell r="R620">
            <v>83334000</v>
          </cell>
          <cell r="W620">
            <v>82</v>
          </cell>
          <cell r="AA620">
            <v>21156000</v>
          </cell>
          <cell r="AB620">
            <v>9787500</v>
          </cell>
          <cell r="AC620">
            <v>7462973</v>
          </cell>
        </row>
        <row r="621">
          <cell r="A621" t="str">
            <v>W</v>
          </cell>
          <cell r="Q621">
            <v>7445981</v>
          </cell>
          <cell r="R621">
            <v>55454000</v>
          </cell>
          <cell r="W621">
            <v>28</v>
          </cell>
          <cell r="AA621">
            <v>6664000</v>
          </cell>
          <cell r="AB621">
            <v>3025400</v>
          </cell>
          <cell r="AC621">
            <v>2349655</v>
          </cell>
        </row>
        <row r="622">
          <cell r="A622" t="str">
            <v>W</v>
          </cell>
          <cell r="Q622">
            <v>31383044</v>
          </cell>
          <cell r="R622">
            <v>261562000</v>
          </cell>
          <cell r="W622">
            <v>403</v>
          </cell>
          <cell r="AA622">
            <v>95914000</v>
          </cell>
          <cell r="AB622">
            <v>42416900</v>
          </cell>
          <cell r="AC622">
            <v>32524521</v>
          </cell>
        </row>
        <row r="623">
          <cell r="A623" t="str">
            <v>W</v>
          </cell>
          <cell r="Q623">
            <v>7025100</v>
          </cell>
          <cell r="R623">
            <v>65400000</v>
          </cell>
          <cell r="W623">
            <v>106</v>
          </cell>
          <cell r="AA623">
            <v>23108000</v>
          </cell>
          <cell r="AB623">
            <v>10793500</v>
          </cell>
          <cell r="AC623">
            <v>8229337</v>
          </cell>
        </row>
        <row r="624">
          <cell r="A624" t="str">
            <v>W</v>
          </cell>
          <cell r="Q624">
            <v>11996100</v>
          </cell>
          <cell r="R624">
            <v>107400000</v>
          </cell>
          <cell r="W624">
            <v>143</v>
          </cell>
          <cell r="AA624">
            <v>51194000</v>
          </cell>
          <cell r="AB624">
            <v>23769390</v>
          </cell>
          <cell r="AC624">
            <v>17824319</v>
          </cell>
        </row>
        <row r="625">
          <cell r="A625" t="str">
            <v>W</v>
          </cell>
          <cell r="Q625">
            <v>15135428</v>
          </cell>
          <cell r="R625">
            <v>116424000</v>
          </cell>
          <cell r="W625">
            <v>85</v>
          </cell>
          <cell r="AA625">
            <v>32130000</v>
          </cell>
          <cell r="AB625">
            <v>14651000</v>
          </cell>
          <cell r="AC625">
            <v>11036088</v>
          </cell>
        </row>
        <row r="626">
          <cell r="A626" t="str">
            <v>W</v>
          </cell>
          <cell r="Q626">
            <v>16679872</v>
          </cell>
          <cell r="R626">
            <v>128992000</v>
          </cell>
          <cell r="W626">
            <v>138</v>
          </cell>
          <cell r="AA626">
            <v>38364000</v>
          </cell>
          <cell r="AB626">
            <v>15704100</v>
          </cell>
          <cell r="AC626">
            <v>11783814</v>
          </cell>
        </row>
        <row r="627">
          <cell r="A627" t="str">
            <v>W</v>
          </cell>
          <cell r="Q627">
            <v>7403875</v>
          </cell>
          <cell r="R627">
            <v>72590000</v>
          </cell>
          <cell r="W627">
            <v>57</v>
          </cell>
          <cell r="AA627">
            <v>13566000</v>
          </cell>
          <cell r="AB627">
            <v>5338700</v>
          </cell>
          <cell r="AC627">
            <v>4111134</v>
          </cell>
        </row>
        <row r="628">
          <cell r="A628" t="str">
            <v>W</v>
          </cell>
          <cell r="Q628">
            <v>26807064</v>
          </cell>
          <cell r="R628">
            <v>206832000</v>
          </cell>
          <cell r="W628">
            <v>263</v>
          </cell>
          <cell r="AA628">
            <v>73114000</v>
          </cell>
          <cell r="AB628">
            <v>34152200</v>
          </cell>
          <cell r="AC628">
            <v>26314299</v>
          </cell>
        </row>
        <row r="629">
          <cell r="A629" t="str">
            <v>W</v>
          </cell>
          <cell r="Q629">
            <v>4585400</v>
          </cell>
          <cell r="R629">
            <v>39600000</v>
          </cell>
          <cell r="W629">
            <v>37</v>
          </cell>
          <cell r="AA629">
            <v>7326000</v>
          </cell>
          <cell r="AB629">
            <v>3404600</v>
          </cell>
          <cell r="AC629">
            <v>2615828</v>
          </cell>
        </row>
        <row r="630">
          <cell r="A630" t="str">
            <v>W</v>
          </cell>
          <cell r="Q630">
            <v>25690776</v>
          </cell>
          <cell r="R630">
            <v>188484000</v>
          </cell>
          <cell r="W630">
            <v>129</v>
          </cell>
          <cell r="AA630">
            <v>35862000</v>
          </cell>
          <cell r="AB630">
            <v>16844800</v>
          </cell>
          <cell r="AC630">
            <v>12792031</v>
          </cell>
        </row>
        <row r="631">
          <cell r="A631" t="str">
            <v>W</v>
          </cell>
          <cell r="Q631">
            <v>16662258</v>
          </cell>
          <cell r="R631">
            <v>112892000</v>
          </cell>
          <cell r="W631">
            <v>116</v>
          </cell>
          <cell r="AA631">
            <v>39208000</v>
          </cell>
          <cell r="AB631">
            <v>19105300</v>
          </cell>
          <cell r="AC631">
            <v>14283120</v>
          </cell>
        </row>
        <row r="632">
          <cell r="A632" t="str">
            <v>W</v>
          </cell>
          <cell r="Q632">
            <v>19635436</v>
          </cell>
          <cell r="R632">
            <v>174116000</v>
          </cell>
          <cell r="W632">
            <v>315</v>
          </cell>
          <cell r="AA632">
            <v>49770000</v>
          </cell>
          <cell r="AB632">
            <v>21209050</v>
          </cell>
          <cell r="AC632">
            <v>16078929</v>
          </cell>
        </row>
        <row r="633">
          <cell r="A633" t="str">
            <v>W</v>
          </cell>
          <cell r="Q633">
            <v>16469600</v>
          </cell>
          <cell r="R633">
            <v>143200000</v>
          </cell>
          <cell r="W633">
            <v>118</v>
          </cell>
          <cell r="AA633">
            <v>42244000</v>
          </cell>
          <cell r="AB633">
            <v>19427900</v>
          </cell>
          <cell r="AC633">
            <v>14828360</v>
          </cell>
        </row>
        <row r="634">
          <cell r="A634" t="str">
            <v>W</v>
          </cell>
          <cell r="Q634">
            <v>16741641</v>
          </cell>
          <cell r="R634">
            <v>142842000</v>
          </cell>
          <cell r="W634">
            <v>108</v>
          </cell>
          <cell r="AA634">
            <v>38664000</v>
          </cell>
          <cell r="AB634">
            <v>18029600</v>
          </cell>
          <cell r="AC634">
            <v>13618589</v>
          </cell>
        </row>
        <row r="635">
          <cell r="A635" t="str">
            <v>W</v>
          </cell>
          <cell r="Q635">
            <v>10088095</v>
          </cell>
          <cell r="R635">
            <v>100426000</v>
          </cell>
          <cell r="W635">
            <v>209</v>
          </cell>
          <cell r="AA635">
            <v>62282000</v>
          </cell>
          <cell r="AB635">
            <v>28963600</v>
          </cell>
          <cell r="AC635">
            <v>21824403</v>
          </cell>
        </row>
        <row r="636">
          <cell r="A636" t="str">
            <v>W</v>
          </cell>
          <cell r="Q636">
            <v>15729553</v>
          </cell>
          <cell r="R636">
            <v>128226000</v>
          </cell>
          <cell r="W636">
            <v>75</v>
          </cell>
          <cell r="AA636">
            <v>19350000</v>
          </cell>
          <cell r="AB636">
            <v>8211800</v>
          </cell>
          <cell r="AC636">
            <v>6290145</v>
          </cell>
        </row>
        <row r="637">
          <cell r="A637" t="str">
            <v>W</v>
          </cell>
          <cell r="Q637">
            <v>45145100</v>
          </cell>
          <cell r="R637">
            <v>358358000</v>
          </cell>
          <cell r="W637">
            <v>203</v>
          </cell>
          <cell r="AA637">
            <v>72674000</v>
          </cell>
          <cell r="AB637">
            <v>30345750</v>
          </cell>
          <cell r="AC637">
            <v>22992184</v>
          </cell>
        </row>
        <row r="638">
          <cell r="A638" t="str">
            <v>W</v>
          </cell>
          <cell r="Q638">
            <v>24486273</v>
          </cell>
          <cell r="R638">
            <v>177786000</v>
          </cell>
          <cell r="W638">
            <v>71</v>
          </cell>
          <cell r="AA638">
            <v>35358000</v>
          </cell>
          <cell r="AB638">
            <v>15725050</v>
          </cell>
          <cell r="AC638">
            <v>11622329</v>
          </cell>
        </row>
        <row r="639">
          <cell r="A639" t="str">
            <v>W</v>
          </cell>
          <cell r="Q639">
            <v>27816642</v>
          </cell>
          <cell r="R639">
            <v>195804000</v>
          </cell>
          <cell r="W639">
            <v>175</v>
          </cell>
          <cell r="AA639">
            <v>90650000</v>
          </cell>
          <cell r="AB639">
            <v>43006100</v>
          </cell>
          <cell r="AC639">
            <v>32319963</v>
          </cell>
        </row>
        <row r="640">
          <cell r="A640" t="str">
            <v>W</v>
          </cell>
          <cell r="Q640">
            <v>55928550</v>
          </cell>
          <cell r="R640">
            <v>426020000</v>
          </cell>
          <cell r="W640">
            <v>350</v>
          </cell>
          <cell r="AA640">
            <v>83300000</v>
          </cell>
          <cell r="AB640">
            <v>36746850</v>
          </cell>
          <cell r="AC640">
            <v>28271321</v>
          </cell>
        </row>
        <row r="641">
          <cell r="A641" t="str">
            <v>W</v>
          </cell>
          <cell r="Q641">
            <v>20223432</v>
          </cell>
          <cell r="R641">
            <v>164268000</v>
          </cell>
          <cell r="W641">
            <v>183</v>
          </cell>
          <cell r="AA641">
            <v>61854000</v>
          </cell>
          <cell r="AB641">
            <v>28899100</v>
          </cell>
          <cell r="AC641">
            <v>22142380</v>
          </cell>
        </row>
        <row r="642">
          <cell r="A642" t="str">
            <v>W</v>
          </cell>
          <cell r="Q642">
            <v>48836390</v>
          </cell>
          <cell r="R642">
            <v>408260000</v>
          </cell>
          <cell r="W642">
            <v>786</v>
          </cell>
          <cell r="AA642">
            <v>234228000</v>
          </cell>
          <cell r="AB642">
            <v>106021350</v>
          </cell>
          <cell r="AC642">
            <v>84807746</v>
          </cell>
        </row>
        <row r="643">
          <cell r="A643" t="str">
            <v>W</v>
          </cell>
          <cell r="Q643">
            <v>26949336</v>
          </cell>
          <cell r="R643">
            <v>227672000</v>
          </cell>
          <cell r="W643">
            <v>457</v>
          </cell>
          <cell r="AA643">
            <v>136186000</v>
          </cell>
          <cell r="AB643">
            <v>63237850</v>
          </cell>
          <cell r="AC643">
            <v>48434015</v>
          </cell>
        </row>
        <row r="644">
          <cell r="A644" t="str">
            <v>W</v>
          </cell>
          <cell r="Q644">
            <v>25786200</v>
          </cell>
          <cell r="R644">
            <v>202800000</v>
          </cell>
          <cell r="W644">
            <v>312</v>
          </cell>
          <cell r="AA644">
            <v>105456000</v>
          </cell>
          <cell r="AB644">
            <v>49625950</v>
          </cell>
          <cell r="AC644">
            <v>37954443</v>
          </cell>
        </row>
        <row r="645">
          <cell r="A645" t="str">
            <v>W</v>
          </cell>
          <cell r="Q645">
            <v>28988475</v>
          </cell>
          <cell r="R645">
            <v>273230000</v>
          </cell>
          <cell r="W645">
            <v>171</v>
          </cell>
          <cell r="AA645">
            <v>30438000</v>
          </cell>
          <cell r="AB645">
            <v>11273800</v>
          </cell>
          <cell r="AC645">
            <v>8627289</v>
          </cell>
        </row>
        <row r="646">
          <cell r="A646" t="str">
            <v>W</v>
          </cell>
          <cell r="Q646">
            <v>44129280</v>
          </cell>
          <cell r="R646">
            <v>403572000</v>
          </cell>
          <cell r="W646">
            <v>274</v>
          </cell>
          <cell r="AA646">
            <v>109052000</v>
          </cell>
          <cell r="AB646">
            <v>49835600</v>
          </cell>
          <cell r="AC646">
            <v>37649507</v>
          </cell>
        </row>
        <row r="647">
          <cell r="A647" t="str">
            <v>W</v>
          </cell>
          <cell r="Q647">
            <v>30113233</v>
          </cell>
          <cell r="R647">
            <v>252586000</v>
          </cell>
          <cell r="W647">
            <v>156</v>
          </cell>
          <cell r="AA647">
            <v>90168000</v>
          </cell>
          <cell r="AB647">
            <v>41481700</v>
          </cell>
          <cell r="AC647">
            <v>31233531</v>
          </cell>
        </row>
        <row r="648">
          <cell r="A648" t="str">
            <v>W</v>
          </cell>
          <cell r="Q648">
            <v>113053128</v>
          </cell>
          <cell r="R648">
            <v>823672000</v>
          </cell>
          <cell r="W648">
            <v>2293</v>
          </cell>
          <cell r="AA648">
            <v>683314000</v>
          </cell>
          <cell r="AB648">
            <v>321362350</v>
          </cell>
          <cell r="AC648">
            <v>248794907</v>
          </cell>
        </row>
        <row r="649">
          <cell r="A649" t="str">
            <v>W</v>
          </cell>
          <cell r="Q649">
            <v>29945982</v>
          </cell>
          <cell r="R649">
            <v>260948000</v>
          </cell>
          <cell r="W649">
            <v>617</v>
          </cell>
          <cell r="AA649">
            <v>109826000</v>
          </cell>
          <cell r="AB649">
            <v>50840900</v>
          </cell>
          <cell r="AC649">
            <v>39677402</v>
          </cell>
        </row>
        <row r="650">
          <cell r="A650" t="str">
            <v>W</v>
          </cell>
          <cell r="Q650">
            <v>14884880</v>
          </cell>
          <cell r="R650">
            <v>136224000</v>
          </cell>
          <cell r="W650">
            <v>168</v>
          </cell>
          <cell r="AA650">
            <v>33264000</v>
          </cell>
          <cell r="AB650">
            <v>14460500</v>
          </cell>
          <cell r="AC650">
            <v>10791879</v>
          </cell>
        </row>
        <row r="651">
          <cell r="A651" t="str">
            <v>W</v>
          </cell>
          <cell r="Q651">
            <v>39623976</v>
          </cell>
          <cell r="R651">
            <v>321552000</v>
          </cell>
          <cell r="W651">
            <v>1429</v>
          </cell>
          <cell r="AA651">
            <v>282942000</v>
          </cell>
          <cell r="AB651">
            <v>130168100</v>
          </cell>
          <cell r="AC651">
            <v>100164109</v>
          </cell>
        </row>
        <row r="652">
          <cell r="A652" t="str">
            <v>W</v>
          </cell>
          <cell r="Q652">
            <v>26498745</v>
          </cell>
          <cell r="R652">
            <v>229554000</v>
          </cell>
          <cell r="W652">
            <v>448</v>
          </cell>
          <cell r="AA652">
            <v>97664000</v>
          </cell>
          <cell r="AB652">
            <v>45247550</v>
          </cell>
          <cell r="AC652">
            <v>35054673</v>
          </cell>
        </row>
        <row r="653">
          <cell r="A653" t="str">
            <v>W</v>
          </cell>
          <cell r="Q653">
            <v>9936058</v>
          </cell>
          <cell r="R653">
            <v>107756000</v>
          </cell>
          <cell r="W653">
            <v>249</v>
          </cell>
          <cell r="AA653">
            <v>39342000</v>
          </cell>
          <cell r="AB653">
            <v>16895850</v>
          </cell>
          <cell r="AC653">
            <v>13155684</v>
          </cell>
        </row>
        <row r="654">
          <cell r="A654" t="str">
            <v>W</v>
          </cell>
          <cell r="Q654">
            <v>12697263</v>
          </cell>
          <cell r="R654">
            <v>92466000</v>
          </cell>
          <cell r="W654">
            <v>151</v>
          </cell>
          <cell r="AA654">
            <v>29898000</v>
          </cell>
          <cell r="AB654">
            <v>13777000</v>
          </cell>
          <cell r="AC654">
            <v>10398020</v>
          </cell>
        </row>
        <row r="655">
          <cell r="A655" t="str">
            <v>W</v>
          </cell>
          <cell r="Q655">
            <v>11333016</v>
          </cell>
          <cell r="R655">
            <v>121176000</v>
          </cell>
          <cell r="W655">
            <v>475</v>
          </cell>
          <cell r="AA655">
            <v>94050000</v>
          </cell>
          <cell r="AB655">
            <v>44203600</v>
          </cell>
          <cell r="AC655">
            <v>33807510</v>
          </cell>
        </row>
        <row r="656">
          <cell r="A656" t="str">
            <v>W</v>
          </cell>
          <cell r="Q656">
            <v>25504173</v>
          </cell>
          <cell r="R656">
            <v>219186000</v>
          </cell>
          <cell r="W656">
            <v>656</v>
          </cell>
          <cell r="AA656">
            <v>129888000</v>
          </cell>
          <cell r="AB656">
            <v>60247200</v>
          </cell>
          <cell r="AC656">
            <v>46029060</v>
          </cell>
        </row>
        <row r="657">
          <cell r="A657" t="str">
            <v>W</v>
          </cell>
          <cell r="Q657">
            <v>35727848</v>
          </cell>
          <cell r="R657">
            <v>340964000</v>
          </cell>
          <cell r="W657">
            <v>1356</v>
          </cell>
          <cell r="AA657">
            <v>214248000</v>
          </cell>
          <cell r="AB657">
            <v>99354900</v>
          </cell>
          <cell r="AC657">
            <v>77631483</v>
          </cell>
        </row>
        <row r="658">
          <cell r="A658" t="str">
            <v>W</v>
          </cell>
          <cell r="Q658">
            <v>45971604</v>
          </cell>
          <cell r="R658">
            <v>326808000</v>
          </cell>
          <cell r="W658">
            <v>598</v>
          </cell>
          <cell r="AA658">
            <v>106444000</v>
          </cell>
          <cell r="AB658">
            <v>45821650</v>
          </cell>
          <cell r="AC658">
            <v>35440681</v>
          </cell>
        </row>
        <row r="659">
          <cell r="A659" t="str">
            <v>W</v>
          </cell>
          <cell r="Q659">
            <v>39649652</v>
          </cell>
          <cell r="R659">
            <v>360136000</v>
          </cell>
          <cell r="W659">
            <v>883</v>
          </cell>
          <cell r="AA659">
            <v>192494000</v>
          </cell>
          <cell r="AB659">
            <v>89808800</v>
          </cell>
          <cell r="AC659">
            <v>69059730</v>
          </cell>
        </row>
        <row r="660">
          <cell r="A660" t="str">
            <v>W</v>
          </cell>
          <cell r="Q660">
            <v>21050415</v>
          </cell>
          <cell r="R660">
            <v>208890000</v>
          </cell>
          <cell r="W660">
            <v>347</v>
          </cell>
          <cell r="AA660">
            <v>68706000</v>
          </cell>
          <cell r="AB660">
            <v>30298700</v>
          </cell>
          <cell r="AC660">
            <v>23190545</v>
          </cell>
        </row>
        <row r="661">
          <cell r="A661" t="str">
            <v>W</v>
          </cell>
          <cell r="Q661">
            <v>38468520</v>
          </cell>
          <cell r="R661">
            <v>304110000</v>
          </cell>
          <cell r="W661">
            <v>681</v>
          </cell>
          <cell r="AA661">
            <v>148458000</v>
          </cell>
          <cell r="AB661">
            <v>67871435</v>
          </cell>
          <cell r="AC661">
            <v>52312784</v>
          </cell>
        </row>
        <row r="662">
          <cell r="A662" t="str">
            <v>W</v>
          </cell>
          <cell r="Q662">
            <v>34981707</v>
          </cell>
          <cell r="R662">
            <v>264434000</v>
          </cell>
          <cell r="W662">
            <v>640</v>
          </cell>
          <cell r="AA662">
            <v>139520000</v>
          </cell>
          <cell r="AB662">
            <v>64385600</v>
          </cell>
          <cell r="AC662">
            <v>49311110</v>
          </cell>
        </row>
        <row r="663">
          <cell r="A663" t="str">
            <v>W</v>
          </cell>
          <cell r="Q663">
            <v>5988624</v>
          </cell>
          <cell r="R663">
            <v>47328000</v>
          </cell>
          <cell r="W663">
            <v>199</v>
          </cell>
          <cell r="AA663">
            <v>11542000</v>
          </cell>
          <cell r="AB663">
            <v>5427100</v>
          </cell>
          <cell r="AC663">
            <v>4126309</v>
          </cell>
        </row>
        <row r="664">
          <cell r="A664" t="str">
            <v>W</v>
          </cell>
          <cell r="Q664">
            <v>13540122</v>
          </cell>
          <cell r="R664">
            <v>108564000</v>
          </cell>
          <cell r="W664">
            <v>372</v>
          </cell>
          <cell r="AA664">
            <v>81096000</v>
          </cell>
          <cell r="AB664">
            <v>38062050</v>
          </cell>
          <cell r="AC664">
            <v>28838621</v>
          </cell>
        </row>
        <row r="665">
          <cell r="A665" t="str">
            <v>W</v>
          </cell>
          <cell r="Q665">
            <v>34910199</v>
          </cell>
          <cell r="R665">
            <v>319806000</v>
          </cell>
          <cell r="W665">
            <v>1193</v>
          </cell>
          <cell r="AA665">
            <v>260074000</v>
          </cell>
          <cell r="AB665">
            <v>120517680</v>
          </cell>
          <cell r="AC665">
            <v>91975364</v>
          </cell>
        </row>
        <row r="666">
          <cell r="A666" t="str">
            <v>W</v>
          </cell>
          <cell r="Q666">
            <v>13067925</v>
          </cell>
          <cell r="R666">
            <v>110526000</v>
          </cell>
          <cell r="W666">
            <v>115</v>
          </cell>
          <cell r="AA666">
            <v>25070000</v>
          </cell>
          <cell r="AB666">
            <v>9646200</v>
          </cell>
          <cell r="AC666">
            <v>7316542</v>
          </cell>
        </row>
        <row r="667">
          <cell r="A667" t="str">
            <v>W</v>
          </cell>
          <cell r="Q667">
            <v>20557453</v>
          </cell>
          <cell r="R667">
            <v>172126000</v>
          </cell>
          <cell r="W667">
            <v>342</v>
          </cell>
          <cell r="AA667">
            <v>60876000</v>
          </cell>
          <cell r="AB667">
            <v>28193150</v>
          </cell>
          <cell r="AC667">
            <v>21475077</v>
          </cell>
        </row>
        <row r="668">
          <cell r="A668" t="str">
            <v>W</v>
          </cell>
          <cell r="Q668">
            <v>7278908</v>
          </cell>
          <cell r="R668">
            <v>50232000</v>
          </cell>
          <cell r="W668">
            <v>178</v>
          </cell>
          <cell r="AA668">
            <v>24564000</v>
          </cell>
          <cell r="AB668">
            <v>11182200</v>
          </cell>
          <cell r="AC668">
            <v>8795948</v>
          </cell>
        </row>
        <row r="669">
          <cell r="A669" t="str">
            <v>W</v>
          </cell>
          <cell r="Q669">
            <v>8172291</v>
          </cell>
          <cell r="R669">
            <v>61778000</v>
          </cell>
          <cell r="W669">
            <v>179</v>
          </cell>
          <cell r="AA669">
            <v>28282000</v>
          </cell>
          <cell r="AB669">
            <v>13144900</v>
          </cell>
          <cell r="AC669">
            <v>9983586</v>
          </cell>
        </row>
        <row r="670">
          <cell r="A670" t="str">
            <v>W</v>
          </cell>
          <cell r="Q670">
            <v>6724860</v>
          </cell>
          <cell r="R670">
            <v>50320000</v>
          </cell>
          <cell r="W670">
            <v>129</v>
          </cell>
          <cell r="AA670">
            <v>19092000</v>
          </cell>
          <cell r="AB670">
            <v>8637370</v>
          </cell>
          <cell r="AC670">
            <v>6816947</v>
          </cell>
        </row>
        <row r="671">
          <cell r="A671" t="str">
            <v>W</v>
          </cell>
          <cell r="Q671">
            <v>8579711</v>
          </cell>
          <cell r="R671">
            <v>67466000</v>
          </cell>
          <cell r="W671">
            <v>171</v>
          </cell>
          <cell r="AA671">
            <v>27018000</v>
          </cell>
          <cell r="AB671">
            <v>12534000</v>
          </cell>
          <cell r="AC671">
            <v>9738725</v>
          </cell>
        </row>
        <row r="672">
          <cell r="A672" t="str">
            <v>W</v>
          </cell>
          <cell r="Q672">
            <v>8715006</v>
          </cell>
          <cell r="R672">
            <v>70844000</v>
          </cell>
          <cell r="W672">
            <v>164</v>
          </cell>
          <cell r="AA672">
            <v>29192000</v>
          </cell>
          <cell r="AB672">
            <v>13307750</v>
          </cell>
          <cell r="AC672">
            <v>10465466</v>
          </cell>
        </row>
        <row r="673">
          <cell r="A673" t="str">
            <v>W</v>
          </cell>
          <cell r="Q673">
            <v>6637680</v>
          </cell>
          <cell r="R673">
            <v>66360000</v>
          </cell>
          <cell r="W673">
            <v>187</v>
          </cell>
          <cell r="AA673">
            <v>29546000</v>
          </cell>
          <cell r="AB673">
            <v>13887000</v>
          </cell>
          <cell r="AC673">
            <v>10749807</v>
          </cell>
        </row>
        <row r="674">
          <cell r="A674" t="str">
            <v>W</v>
          </cell>
          <cell r="Q674">
            <v>7079485</v>
          </cell>
          <cell r="R674">
            <v>65570000</v>
          </cell>
          <cell r="W674">
            <v>172</v>
          </cell>
          <cell r="AA674">
            <v>27176000</v>
          </cell>
          <cell r="AB674">
            <v>12661500</v>
          </cell>
          <cell r="AC674">
            <v>9888746</v>
          </cell>
        </row>
        <row r="675">
          <cell r="A675" t="str">
            <v>W</v>
          </cell>
          <cell r="Q675">
            <v>6915755</v>
          </cell>
          <cell r="R675">
            <v>64680000</v>
          </cell>
          <cell r="W675">
            <v>159</v>
          </cell>
          <cell r="AA675">
            <v>26712000</v>
          </cell>
          <cell r="AB675">
            <v>12602200</v>
          </cell>
          <cell r="AC675">
            <v>9638797</v>
          </cell>
        </row>
        <row r="676">
          <cell r="A676" t="str">
            <v>W</v>
          </cell>
          <cell r="Q676">
            <v>7262584</v>
          </cell>
          <cell r="R676">
            <v>65856000</v>
          </cell>
          <cell r="W676">
            <v>182</v>
          </cell>
          <cell r="AA676">
            <v>30576000</v>
          </cell>
          <cell r="AB676">
            <v>14644420</v>
          </cell>
          <cell r="AC676">
            <v>10920323</v>
          </cell>
        </row>
        <row r="677">
          <cell r="A677" t="str">
            <v>W</v>
          </cell>
          <cell r="Q677">
            <v>6705647</v>
          </cell>
          <cell r="R677">
            <v>59882000</v>
          </cell>
          <cell r="W677">
            <v>92</v>
          </cell>
          <cell r="AA677">
            <v>14536000</v>
          </cell>
          <cell r="AB677">
            <v>6661500</v>
          </cell>
          <cell r="AC677">
            <v>5078989</v>
          </cell>
        </row>
        <row r="678">
          <cell r="A678" t="str">
            <v>W</v>
          </cell>
          <cell r="Q678">
            <v>15329184</v>
          </cell>
          <cell r="R678">
            <v>140608000</v>
          </cell>
          <cell r="W678">
            <v>269</v>
          </cell>
          <cell r="AA678">
            <v>90922000</v>
          </cell>
          <cell r="AB678">
            <v>42368650</v>
          </cell>
          <cell r="AC678">
            <v>32031584</v>
          </cell>
        </row>
        <row r="679">
          <cell r="A679" t="str">
            <v>W</v>
          </cell>
          <cell r="Q679">
            <v>18826000</v>
          </cell>
          <cell r="R679">
            <v>151200000</v>
          </cell>
          <cell r="W679">
            <v>169</v>
          </cell>
          <cell r="AA679">
            <v>63882000</v>
          </cell>
          <cell r="AB679">
            <v>29865050</v>
          </cell>
          <cell r="AC679">
            <v>22527572</v>
          </cell>
        </row>
        <row r="680">
          <cell r="A680" t="str">
            <v>W</v>
          </cell>
          <cell r="Q680">
            <v>21963375</v>
          </cell>
          <cell r="R680">
            <v>164250000</v>
          </cell>
          <cell r="W680">
            <v>159</v>
          </cell>
          <cell r="AA680">
            <v>69642000</v>
          </cell>
          <cell r="AB680">
            <v>32349550</v>
          </cell>
          <cell r="AC680">
            <v>24481353</v>
          </cell>
        </row>
        <row r="681">
          <cell r="A681" t="str">
            <v>W</v>
          </cell>
          <cell r="Q681">
            <v>21257124</v>
          </cell>
          <cell r="R681">
            <v>172558000</v>
          </cell>
          <cell r="W681">
            <v>160</v>
          </cell>
          <cell r="AA681">
            <v>76480000</v>
          </cell>
          <cell r="AB681">
            <v>35222700</v>
          </cell>
          <cell r="AC681">
            <v>26799907</v>
          </cell>
        </row>
        <row r="682">
          <cell r="A682" t="str">
            <v>W</v>
          </cell>
          <cell r="Q682">
            <v>12846834</v>
          </cell>
          <cell r="R682">
            <v>111042000</v>
          </cell>
          <cell r="W682">
            <v>54</v>
          </cell>
          <cell r="AA682">
            <v>21492000</v>
          </cell>
          <cell r="AB682">
            <v>9889400</v>
          </cell>
          <cell r="AC682">
            <v>7493544</v>
          </cell>
        </row>
        <row r="683">
          <cell r="A683" t="str">
            <v>W</v>
          </cell>
          <cell r="Q683">
            <v>19173368</v>
          </cell>
          <cell r="R683">
            <v>187248000</v>
          </cell>
          <cell r="W683">
            <v>180</v>
          </cell>
          <cell r="AA683">
            <v>89640000</v>
          </cell>
          <cell r="AB683">
            <v>42475590</v>
          </cell>
          <cell r="AC683">
            <v>31243549</v>
          </cell>
        </row>
        <row r="684">
          <cell r="A684" t="str">
            <v>W</v>
          </cell>
          <cell r="Q684">
            <v>18921510</v>
          </cell>
          <cell r="R684">
            <v>152490000</v>
          </cell>
          <cell r="W684">
            <v>97</v>
          </cell>
          <cell r="AA684">
            <v>58006000</v>
          </cell>
          <cell r="AB684">
            <v>26915845</v>
          </cell>
          <cell r="AC684">
            <v>19878238</v>
          </cell>
        </row>
        <row r="685">
          <cell r="A685" t="str">
            <v>W</v>
          </cell>
          <cell r="Q685">
            <v>32883576</v>
          </cell>
          <cell r="R685">
            <v>243984000</v>
          </cell>
          <cell r="W685">
            <v>377</v>
          </cell>
          <cell r="AA685">
            <v>225446000</v>
          </cell>
          <cell r="AB685">
            <v>104657600</v>
          </cell>
          <cell r="AC685">
            <v>78908478</v>
          </cell>
        </row>
        <row r="686">
          <cell r="A686" t="str">
            <v>W</v>
          </cell>
          <cell r="Q686">
            <v>33103275</v>
          </cell>
          <cell r="R686">
            <v>365190000</v>
          </cell>
          <cell r="W686">
            <v>286</v>
          </cell>
          <cell r="AA686">
            <v>148148000</v>
          </cell>
          <cell r="AB686">
            <v>67780750</v>
          </cell>
          <cell r="AC686">
            <v>51676457</v>
          </cell>
        </row>
        <row r="687">
          <cell r="A687" t="str">
            <v>W</v>
          </cell>
          <cell r="Q687">
            <v>14936565</v>
          </cell>
          <cell r="R687">
            <v>118902000</v>
          </cell>
          <cell r="W687">
            <v>286</v>
          </cell>
          <cell r="AA687">
            <v>85228000</v>
          </cell>
          <cell r="AB687">
            <v>39812700</v>
          </cell>
          <cell r="AC687">
            <v>29966508</v>
          </cell>
        </row>
        <row r="688">
          <cell r="A688" t="str">
            <v>W</v>
          </cell>
          <cell r="Q688">
            <v>17477475</v>
          </cell>
          <cell r="R688">
            <v>138722000</v>
          </cell>
          <cell r="W688">
            <v>98</v>
          </cell>
          <cell r="AA688">
            <v>27244000</v>
          </cell>
          <cell r="AB688">
            <v>12067300</v>
          </cell>
          <cell r="AC688">
            <v>9175261</v>
          </cell>
        </row>
        <row r="689">
          <cell r="A689" t="str">
            <v>W</v>
          </cell>
          <cell r="Q689">
            <v>42972372</v>
          </cell>
          <cell r="R689">
            <v>495144000</v>
          </cell>
          <cell r="W689">
            <v>291</v>
          </cell>
          <cell r="AA689">
            <v>174018000</v>
          </cell>
          <cell r="AB689">
            <v>79148650</v>
          </cell>
          <cell r="AC689">
            <v>60761136</v>
          </cell>
        </row>
        <row r="690">
          <cell r="A690" t="str">
            <v>W</v>
          </cell>
          <cell r="Q690">
            <v>19554800</v>
          </cell>
          <cell r="R690">
            <v>159200000</v>
          </cell>
          <cell r="W690">
            <v>130</v>
          </cell>
          <cell r="AA690">
            <v>51740000</v>
          </cell>
          <cell r="AB690">
            <v>24177000</v>
          </cell>
          <cell r="AC690">
            <v>18446902</v>
          </cell>
        </row>
        <row r="691">
          <cell r="A691" t="str">
            <v>W</v>
          </cell>
          <cell r="Q691">
            <v>34555961</v>
          </cell>
          <cell r="R691">
            <v>282854000</v>
          </cell>
          <cell r="W691">
            <v>213</v>
          </cell>
          <cell r="AA691">
            <v>127374000</v>
          </cell>
          <cell r="AB691">
            <v>58445295</v>
          </cell>
          <cell r="AC691">
            <v>44432716</v>
          </cell>
        </row>
        <row r="692">
          <cell r="A692" t="str">
            <v>W</v>
          </cell>
          <cell r="Q692">
            <v>53066520</v>
          </cell>
          <cell r="R692">
            <v>489294000</v>
          </cell>
          <cell r="W692">
            <v>55</v>
          </cell>
          <cell r="AA692">
            <v>40590000</v>
          </cell>
          <cell r="AB692">
            <v>18259595</v>
          </cell>
          <cell r="AC692">
            <v>13827113</v>
          </cell>
        </row>
        <row r="693">
          <cell r="A693" t="str">
            <v>W</v>
          </cell>
          <cell r="Q693">
            <v>21516896</v>
          </cell>
          <cell r="R693">
            <v>216232000</v>
          </cell>
          <cell r="W693">
            <v>63</v>
          </cell>
          <cell r="AA693">
            <v>22554000</v>
          </cell>
          <cell r="AB693">
            <v>10283150</v>
          </cell>
          <cell r="AC693">
            <v>7474834</v>
          </cell>
        </row>
        <row r="694">
          <cell r="A694" t="str">
            <v>W</v>
          </cell>
          <cell r="Q694">
            <v>49878468</v>
          </cell>
          <cell r="R694">
            <v>404388000</v>
          </cell>
          <cell r="W694">
            <v>57</v>
          </cell>
          <cell r="AA694">
            <v>27246000</v>
          </cell>
          <cell r="AB694">
            <v>12424500</v>
          </cell>
          <cell r="AC694">
            <v>9331808</v>
          </cell>
        </row>
        <row r="695">
          <cell r="A695" t="str">
            <v>W</v>
          </cell>
          <cell r="Q695">
            <v>31565612</v>
          </cell>
          <cell r="R695">
            <v>340860000</v>
          </cell>
          <cell r="W695">
            <v>58</v>
          </cell>
          <cell r="AA695">
            <v>80040000</v>
          </cell>
          <cell r="AB695">
            <v>35386000</v>
          </cell>
          <cell r="AC695">
            <v>26608470</v>
          </cell>
        </row>
        <row r="696">
          <cell r="A696" t="str">
            <v>W</v>
          </cell>
          <cell r="Q696">
            <v>22472536</v>
          </cell>
          <cell r="R696">
            <v>160912000</v>
          </cell>
          <cell r="W696">
            <v>592</v>
          </cell>
          <cell r="AA696">
            <v>105376000</v>
          </cell>
          <cell r="AB696">
            <v>44042000</v>
          </cell>
          <cell r="AC696">
            <v>33967214</v>
          </cell>
        </row>
        <row r="697">
          <cell r="A697" t="str">
            <v>W</v>
          </cell>
          <cell r="Q697">
            <v>5845790</v>
          </cell>
          <cell r="R697">
            <v>24096000</v>
          </cell>
          <cell r="W697">
            <v>189</v>
          </cell>
          <cell r="AA697">
            <v>9072000</v>
          </cell>
          <cell r="AB697">
            <v>6862800</v>
          </cell>
          <cell r="AC697">
            <v>5315856</v>
          </cell>
        </row>
        <row r="698">
          <cell r="A698" t="str">
            <v>W</v>
          </cell>
          <cell r="Q698">
            <v>5594790</v>
          </cell>
          <cell r="R698">
            <v>24096000</v>
          </cell>
          <cell r="W698">
            <v>180</v>
          </cell>
          <cell r="AA698">
            <v>8640000</v>
          </cell>
          <cell r="AB698">
            <v>6798800</v>
          </cell>
          <cell r="AC698">
            <v>4994448</v>
          </cell>
        </row>
        <row r="699">
          <cell r="A699" t="str">
            <v>W</v>
          </cell>
          <cell r="Q699">
            <v>2329000</v>
          </cell>
          <cell r="R699">
            <v>10800000</v>
          </cell>
          <cell r="W699">
            <v>95</v>
          </cell>
          <cell r="AA699">
            <v>5130000</v>
          </cell>
          <cell r="AB699">
            <v>4016400</v>
          </cell>
          <cell r="AC699">
            <v>3088692</v>
          </cell>
        </row>
        <row r="700">
          <cell r="A700" t="str">
            <v>W</v>
          </cell>
          <cell r="Q700">
            <v>2164185</v>
          </cell>
          <cell r="R700">
            <v>8874000</v>
          </cell>
          <cell r="W700">
            <v>105</v>
          </cell>
          <cell r="AA700">
            <v>6090000</v>
          </cell>
          <cell r="AB700">
            <v>4764480</v>
          </cell>
          <cell r="AC700">
            <v>3707430</v>
          </cell>
        </row>
        <row r="701">
          <cell r="A701" t="str">
            <v>W</v>
          </cell>
          <cell r="Q701">
            <v>1618040</v>
          </cell>
          <cell r="R701">
            <v>8208000</v>
          </cell>
          <cell r="W701">
            <v>30</v>
          </cell>
          <cell r="AA701">
            <v>1620000</v>
          </cell>
          <cell r="AB701">
            <v>1278400</v>
          </cell>
          <cell r="AC701">
            <v>964980</v>
          </cell>
        </row>
        <row r="702">
          <cell r="A702" t="str">
            <v>W</v>
          </cell>
          <cell r="Q702">
            <v>3377050</v>
          </cell>
          <cell r="R702">
            <v>15660000</v>
          </cell>
          <cell r="W702">
            <v>201</v>
          </cell>
          <cell r="AA702">
            <v>10854000</v>
          </cell>
          <cell r="AB702">
            <v>8508800</v>
          </cell>
          <cell r="AC702">
            <v>6532164</v>
          </cell>
        </row>
        <row r="703">
          <cell r="A703" t="str">
            <v>W</v>
          </cell>
          <cell r="Q703">
            <v>2404710</v>
          </cell>
          <cell r="R703">
            <v>11484000</v>
          </cell>
          <cell r="W703">
            <v>83</v>
          </cell>
          <cell r="AA703">
            <v>4814000</v>
          </cell>
          <cell r="AB703">
            <v>3751200</v>
          </cell>
          <cell r="AC703">
            <v>2905568</v>
          </cell>
        </row>
        <row r="704">
          <cell r="A704" t="str">
            <v>W</v>
          </cell>
          <cell r="Q704">
            <v>4250750</v>
          </cell>
          <cell r="R704">
            <v>20300000</v>
          </cell>
          <cell r="W704">
            <v>134</v>
          </cell>
          <cell r="AA704">
            <v>7772000</v>
          </cell>
          <cell r="AB704">
            <v>6017600</v>
          </cell>
          <cell r="AC704">
            <v>4691736</v>
          </cell>
        </row>
        <row r="705">
          <cell r="A705" t="str">
            <v>W</v>
          </cell>
          <cell r="Q705">
            <v>1833895</v>
          </cell>
          <cell r="R705">
            <v>8758000</v>
          </cell>
          <cell r="W705">
            <v>90</v>
          </cell>
          <cell r="AA705">
            <v>5220000</v>
          </cell>
          <cell r="AB705">
            <v>4047600</v>
          </cell>
          <cell r="AC705">
            <v>3166336</v>
          </cell>
        </row>
        <row r="706">
          <cell r="A706" t="str">
            <v>W</v>
          </cell>
          <cell r="Q706">
            <v>2887960</v>
          </cell>
          <cell r="R706">
            <v>13392000</v>
          </cell>
          <cell r="W706">
            <v>66</v>
          </cell>
          <cell r="AA706">
            <v>3564000</v>
          </cell>
          <cell r="AB706">
            <v>2732800</v>
          </cell>
          <cell r="AC706">
            <v>2127060</v>
          </cell>
        </row>
        <row r="707">
          <cell r="A707" t="str">
            <v>W</v>
          </cell>
          <cell r="Q707">
            <v>3655645</v>
          </cell>
          <cell r="R707">
            <v>17458000</v>
          </cell>
          <cell r="W707">
            <v>262</v>
          </cell>
          <cell r="AA707">
            <v>15196000</v>
          </cell>
          <cell r="AB707">
            <v>11848000</v>
          </cell>
          <cell r="AC707">
            <v>9204484</v>
          </cell>
        </row>
        <row r="708">
          <cell r="A708" t="str">
            <v>W</v>
          </cell>
          <cell r="Q708">
            <v>2646750</v>
          </cell>
          <cell r="R708">
            <v>10800000</v>
          </cell>
          <cell r="W708">
            <v>79</v>
          </cell>
          <cell r="AA708">
            <v>5688000</v>
          </cell>
          <cell r="AB708">
            <v>4238000</v>
          </cell>
          <cell r="AC708">
            <v>3451248</v>
          </cell>
        </row>
        <row r="709">
          <cell r="A709" t="str">
            <v>W</v>
          </cell>
          <cell r="Q709">
            <v>2229000</v>
          </cell>
          <cell r="R709">
            <v>11600000</v>
          </cell>
          <cell r="W709">
            <v>150</v>
          </cell>
          <cell r="AA709">
            <v>8700000</v>
          </cell>
          <cell r="AB709">
            <v>6709600</v>
          </cell>
          <cell r="AC709">
            <v>5319528</v>
          </cell>
        </row>
        <row r="710">
          <cell r="A710" t="str">
            <v>W</v>
          </cell>
          <cell r="Q710">
            <v>5692590</v>
          </cell>
          <cell r="R710">
            <v>26676000</v>
          </cell>
          <cell r="W710">
            <v>176</v>
          </cell>
          <cell r="AA710">
            <v>13728000</v>
          </cell>
          <cell r="AB710">
            <v>10294800</v>
          </cell>
          <cell r="AC710">
            <v>8313396</v>
          </cell>
        </row>
        <row r="711">
          <cell r="A711" t="str">
            <v>W</v>
          </cell>
          <cell r="Q711">
            <v>4513210</v>
          </cell>
          <cell r="R711">
            <v>20264000</v>
          </cell>
          <cell r="W711">
            <v>194</v>
          </cell>
          <cell r="AA711">
            <v>13192000</v>
          </cell>
          <cell r="AB711">
            <v>10282400</v>
          </cell>
          <cell r="AC711">
            <v>8027060</v>
          </cell>
        </row>
        <row r="712">
          <cell r="A712" t="str">
            <v>W</v>
          </cell>
          <cell r="Q712">
            <v>1901060</v>
          </cell>
          <cell r="R712">
            <v>9176000</v>
          </cell>
          <cell r="W712">
            <v>105</v>
          </cell>
          <cell r="AA712">
            <v>6510000</v>
          </cell>
          <cell r="AB712">
            <v>5078200</v>
          </cell>
          <cell r="AC712">
            <v>3982632</v>
          </cell>
        </row>
        <row r="713">
          <cell r="A713" t="str">
            <v>W</v>
          </cell>
          <cell r="Q713">
            <v>2405605</v>
          </cell>
          <cell r="R713">
            <v>11622000</v>
          </cell>
          <cell r="W713">
            <v>90</v>
          </cell>
          <cell r="AA713">
            <v>7020000</v>
          </cell>
          <cell r="AB713">
            <v>5426200</v>
          </cell>
          <cell r="AC713">
            <v>4239456</v>
          </cell>
        </row>
        <row r="714">
          <cell r="A714" t="str">
            <v>W</v>
          </cell>
          <cell r="Q714">
            <v>5389775</v>
          </cell>
          <cell r="R714">
            <v>22910000</v>
          </cell>
          <cell r="W714">
            <v>123</v>
          </cell>
          <cell r="AA714">
            <v>7134000</v>
          </cell>
          <cell r="AB714">
            <v>5496480</v>
          </cell>
          <cell r="AC714">
            <v>4267350</v>
          </cell>
        </row>
        <row r="715">
          <cell r="A715" t="str">
            <v>W</v>
          </cell>
          <cell r="Q715">
            <v>497105</v>
          </cell>
          <cell r="R715">
            <v>2842000</v>
          </cell>
          <cell r="W715">
            <v>25</v>
          </cell>
          <cell r="AA715">
            <v>1450000</v>
          </cell>
          <cell r="AB715">
            <v>1110000</v>
          </cell>
          <cell r="AC715">
            <v>879512</v>
          </cell>
        </row>
        <row r="716">
          <cell r="A716" t="str">
            <v>W</v>
          </cell>
          <cell r="Q716">
            <v>6036065</v>
          </cell>
          <cell r="R716">
            <v>28826000</v>
          </cell>
          <cell r="W716">
            <v>257</v>
          </cell>
          <cell r="AA716">
            <v>14906000</v>
          </cell>
          <cell r="AB716">
            <v>11428000</v>
          </cell>
          <cell r="AC716">
            <v>8985012</v>
          </cell>
        </row>
        <row r="717">
          <cell r="A717" t="str">
            <v>W</v>
          </cell>
          <cell r="Q717">
            <v>1958605</v>
          </cell>
          <cell r="R717">
            <v>9238000</v>
          </cell>
          <cell r="W717">
            <v>100</v>
          </cell>
          <cell r="AA717">
            <v>6200000</v>
          </cell>
          <cell r="AB717">
            <v>4822400</v>
          </cell>
          <cell r="AC717">
            <v>3719380</v>
          </cell>
        </row>
        <row r="718">
          <cell r="A718" t="str">
            <v>W</v>
          </cell>
          <cell r="Q718">
            <v>35233980</v>
          </cell>
          <cell r="R718">
            <v>99700000</v>
          </cell>
          <cell r="W718">
            <v>2681</v>
          </cell>
          <cell r="AA718">
            <v>26810000</v>
          </cell>
          <cell r="AB718">
            <v>25757500</v>
          </cell>
          <cell r="AC718">
            <v>20210885</v>
          </cell>
        </row>
        <row r="719">
          <cell r="A719" t="str">
            <v>W</v>
          </cell>
          <cell r="Q719">
            <v>31142538</v>
          </cell>
          <cell r="R719">
            <v>122543000</v>
          </cell>
          <cell r="W719">
            <v>1373</v>
          </cell>
          <cell r="AA719">
            <v>81007000</v>
          </cell>
          <cell r="AB719">
            <v>53766144</v>
          </cell>
          <cell r="AC719">
            <v>40948366</v>
          </cell>
        </row>
        <row r="720">
          <cell r="A720" t="str">
            <v>W</v>
          </cell>
          <cell r="Q720">
            <v>66536915</v>
          </cell>
          <cell r="R720">
            <v>249065000</v>
          </cell>
          <cell r="W720">
            <v>554</v>
          </cell>
          <cell r="AA720">
            <v>60386000</v>
          </cell>
          <cell r="AB720">
            <v>38760434</v>
          </cell>
          <cell r="AC720">
            <v>28935011</v>
          </cell>
        </row>
        <row r="721">
          <cell r="A721" t="str">
            <v>W</v>
          </cell>
          <cell r="Q721">
            <v>157143680</v>
          </cell>
          <cell r="R721">
            <v>1088320000</v>
          </cell>
          <cell r="W721">
            <v>1198</v>
          </cell>
          <cell r="AA721">
            <v>428884000</v>
          </cell>
          <cell r="AB721">
            <v>152430900</v>
          </cell>
          <cell r="AC721">
            <v>120615117</v>
          </cell>
        </row>
        <row r="722">
          <cell r="A722" t="str">
            <v>W</v>
          </cell>
          <cell r="Q722">
            <v>46136000</v>
          </cell>
          <cell r="R722">
            <v>343100000</v>
          </cell>
          <cell r="W722">
            <v>1338</v>
          </cell>
          <cell r="AA722">
            <v>251544000</v>
          </cell>
          <cell r="AB722">
            <v>115884400</v>
          </cell>
          <cell r="AC722">
            <v>89622890</v>
          </cell>
        </row>
        <row r="723">
          <cell r="A723" t="str">
            <v>W</v>
          </cell>
          <cell r="Q723">
            <v>40650381</v>
          </cell>
          <cell r="R723">
            <v>276924000</v>
          </cell>
          <cell r="W723">
            <v>915</v>
          </cell>
          <cell r="AA723">
            <v>172020000</v>
          </cell>
          <cell r="AB723">
            <v>78837200</v>
          </cell>
          <cell r="AC723">
            <v>60665128</v>
          </cell>
        </row>
        <row r="724">
          <cell r="A724" t="str">
            <v>W</v>
          </cell>
          <cell r="Q724">
            <v>22075698</v>
          </cell>
          <cell r="R724">
            <v>151122000</v>
          </cell>
          <cell r="W724">
            <v>288</v>
          </cell>
          <cell r="AA724">
            <v>51264000</v>
          </cell>
          <cell r="AB724">
            <v>23889750</v>
          </cell>
          <cell r="AC724">
            <v>18400083</v>
          </cell>
        </row>
        <row r="725">
          <cell r="A725" t="str">
            <v>W</v>
          </cell>
          <cell r="Q725">
            <v>23236031</v>
          </cell>
          <cell r="R725">
            <v>182806000</v>
          </cell>
          <cell r="W725">
            <v>553</v>
          </cell>
          <cell r="AA725">
            <v>87374000</v>
          </cell>
          <cell r="AB725">
            <v>40331500</v>
          </cell>
          <cell r="AC725">
            <v>31550191</v>
          </cell>
        </row>
        <row r="726">
          <cell r="A726" t="str">
            <v>W</v>
          </cell>
          <cell r="Q726">
            <v>16928128</v>
          </cell>
          <cell r="R726">
            <v>123648000</v>
          </cell>
          <cell r="W726">
            <v>254</v>
          </cell>
          <cell r="AA726">
            <v>35052000</v>
          </cell>
          <cell r="AB726">
            <v>16340900</v>
          </cell>
          <cell r="AC726">
            <v>12757514</v>
          </cell>
        </row>
        <row r="727">
          <cell r="A727" t="str">
            <v>W</v>
          </cell>
          <cell r="Q727">
            <v>12531610</v>
          </cell>
          <cell r="R727">
            <v>108758000</v>
          </cell>
          <cell r="W727">
            <v>298</v>
          </cell>
          <cell r="AA727">
            <v>53044000</v>
          </cell>
          <cell r="AB727">
            <v>24726250</v>
          </cell>
          <cell r="AC727">
            <v>19013782</v>
          </cell>
        </row>
        <row r="728">
          <cell r="A728" t="str">
            <v>W</v>
          </cell>
          <cell r="Q728">
            <v>6226926</v>
          </cell>
          <cell r="R728">
            <v>47922000</v>
          </cell>
          <cell r="W728">
            <v>210</v>
          </cell>
          <cell r="AA728">
            <v>20580000</v>
          </cell>
          <cell r="AB728">
            <v>9822390</v>
          </cell>
          <cell r="AC728">
            <v>7515882</v>
          </cell>
        </row>
        <row r="729">
          <cell r="A729" t="str">
            <v>W</v>
          </cell>
          <cell r="Q729">
            <v>15644584</v>
          </cell>
          <cell r="R729">
            <v>112852000</v>
          </cell>
          <cell r="W729">
            <v>128</v>
          </cell>
          <cell r="AA729">
            <v>22784000</v>
          </cell>
          <cell r="AB729">
            <v>9381900</v>
          </cell>
          <cell r="AC729">
            <v>7060696</v>
          </cell>
        </row>
        <row r="730">
          <cell r="A730" t="str">
            <v>W</v>
          </cell>
          <cell r="Q730">
            <v>20174280</v>
          </cell>
          <cell r="R730">
            <v>204330000</v>
          </cell>
          <cell r="W730">
            <v>78</v>
          </cell>
          <cell r="AA730">
            <v>21684000</v>
          </cell>
          <cell r="AB730">
            <v>9211150</v>
          </cell>
          <cell r="AC730">
            <v>6901870</v>
          </cell>
        </row>
        <row r="731">
          <cell r="A731" t="str">
            <v>W</v>
          </cell>
          <cell r="Q731">
            <v>21619312</v>
          </cell>
          <cell r="R731">
            <v>187262000</v>
          </cell>
          <cell r="W731">
            <v>223</v>
          </cell>
          <cell r="AA731">
            <v>48614000</v>
          </cell>
          <cell r="AB731">
            <v>22305950</v>
          </cell>
          <cell r="AC731">
            <v>16820852</v>
          </cell>
        </row>
        <row r="732">
          <cell r="A732" t="str">
            <v>W</v>
          </cell>
          <cell r="Q732">
            <v>23557270</v>
          </cell>
          <cell r="R732">
            <v>205746000</v>
          </cell>
          <cell r="W732">
            <v>137</v>
          </cell>
          <cell r="AA732">
            <v>43566000</v>
          </cell>
          <cell r="AB732">
            <v>18974400</v>
          </cell>
          <cell r="AC732">
            <v>14680245</v>
          </cell>
        </row>
        <row r="733">
          <cell r="A733" t="str">
            <v>W</v>
          </cell>
          <cell r="Q733">
            <v>50451968</v>
          </cell>
          <cell r="R733">
            <v>373184000</v>
          </cell>
          <cell r="W733">
            <v>318</v>
          </cell>
          <cell r="AA733">
            <v>75684000</v>
          </cell>
          <cell r="AB733">
            <v>30557000</v>
          </cell>
          <cell r="AC733">
            <v>23166862</v>
          </cell>
        </row>
        <row r="734">
          <cell r="A734" t="str">
            <v>W</v>
          </cell>
          <cell r="Q734">
            <v>69207552</v>
          </cell>
          <cell r="R734">
            <v>644736000</v>
          </cell>
          <cell r="W734">
            <v>343</v>
          </cell>
          <cell r="AA734">
            <v>150234000</v>
          </cell>
          <cell r="AB734">
            <v>68359850</v>
          </cell>
          <cell r="AC734">
            <v>51505164</v>
          </cell>
        </row>
        <row r="735">
          <cell r="A735" t="str">
            <v>W</v>
          </cell>
          <cell r="Q735">
            <v>38629256</v>
          </cell>
          <cell r="R735">
            <v>387444000</v>
          </cell>
          <cell r="W735">
            <v>85</v>
          </cell>
          <cell r="AA735">
            <v>42330000</v>
          </cell>
          <cell r="AB735">
            <v>19616745</v>
          </cell>
          <cell r="AC735">
            <v>14510699</v>
          </cell>
        </row>
        <row r="736">
          <cell r="A736" t="str">
            <v>W</v>
          </cell>
          <cell r="Q736">
            <v>19708480</v>
          </cell>
          <cell r="R736">
            <v>156640000</v>
          </cell>
          <cell r="W736">
            <v>444</v>
          </cell>
          <cell r="AA736">
            <v>79032000</v>
          </cell>
          <cell r="AB736">
            <v>36560700</v>
          </cell>
          <cell r="AC736">
            <v>28193554</v>
          </cell>
        </row>
        <row r="737">
          <cell r="A737" t="str">
            <v>W</v>
          </cell>
          <cell r="Q737">
            <v>26401863</v>
          </cell>
          <cell r="R737">
            <v>204702000</v>
          </cell>
          <cell r="W737">
            <v>434</v>
          </cell>
          <cell r="AA737">
            <v>94612000</v>
          </cell>
          <cell r="AB737">
            <v>40717000</v>
          </cell>
          <cell r="AC737">
            <v>31605793</v>
          </cell>
        </row>
        <row r="738">
          <cell r="A738" t="str">
            <v>W</v>
          </cell>
          <cell r="Q738">
            <v>13035700</v>
          </cell>
          <cell r="R738">
            <v>145180000</v>
          </cell>
          <cell r="W738">
            <v>179</v>
          </cell>
          <cell r="AA738">
            <v>42602000</v>
          </cell>
          <cell r="AB738">
            <v>18173500</v>
          </cell>
          <cell r="AC738">
            <v>13409463</v>
          </cell>
        </row>
        <row r="739">
          <cell r="A739" t="str">
            <v>W</v>
          </cell>
          <cell r="Q739">
            <v>18027306</v>
          </cell>
          <cell r="R739">
            <v>141372000</v>
          </cell>
          <cell r="W739">
            <v>168</v>
          </cell>
          <cell r="AA739">
            <v>39984000</v>
          </cell>
          <cell r="AB739">
            <v>18664950</v>
          </cell>
          <cell r="AC739">
            <v>14239719</v>
          </cell>
        </row>
        <row r="740">
          <cell r="A740" t="str">
            <v>W</v>
          </cell>
          <cell r="Q740">
            <v>20714550</v>
          </cell>
          <cell r="R740">
            <v>195030000</v>
          </cell>
          <cell r="W740">
            <v>253</v>
          </cell>
          <cell r="AA740">
            <v>50094000</v>
          </cell>
          <cell r="AB740">
            <v>22887550</v>
          </cell>
          <cell r="AC740">
            <v>17756620</v>
          </cell>
        </row>
        <row r="741">
          <cell r="A741" t="str">
            <v>W</v>
          </cell>
          <cell r="Q741">
            <v>58544640</v>
          </cell>
          <cell r="R741">
            <v>398720000</v>
          </cell>
          <cell r="W741">
            <v>906</v>
          </cell>
          <cell r="AA741">
            <v>161268000</v>
          </cell>
          <cell r="AB741">
            <v>68879700</v>
          </cell>
          <cell r="AC741">
            <v>52335927</v>
          </cell>
        </row>
        <row r="742">
          <cell r="A742" t="str">
            <v>W</v>
          </cell>
          <cell r="Q742">
            <v>26342400</v>
          </cell>
          <cell r="R742">
            <v>46200000</v>
          </cell>
          <cell r="W742">
            <v>700</v>
          </cell>
          <cell r="AA742">
            <v>46200000</v>
          </cell>
          <cell r="AB742">
            <v>46200000</v>
          </cell>
          <cell r="AC742">
            <v>46200000</v>
          </cell>
        </row>
        <row r="743">
          <cell r="A743" t="str">
            <v>W</v>
          </cell>
          <cell r="Q743">
            <v>8156358</v>
          </cell>
          <cell r="R743">
            <v>11088000</v>
          </cell>
          <cell r="W743">
            <v>126</v>
          </cell>
          <cell r="AA743">
            <v>11088000</v>
          </cell>
          <cell r="AB743">
            <v>11088000</v>
          </cell>
          <cell r="AC743">
            <v>11088000</v>
          </cell>
        </row>
        <row r="744">
          <cell r="A744" t="str">
            <v>W</v>
          </cell>
          <cell r="Q744">
            <v>10142769</v>
          </cell>
          <cell r="R744">
            <v>96738000</v>
          </cell>
          <cell r="W744">
            <v>145</v>
          </cell>
          <cell r="AA744">
            <v>20010000</v>
          </cell>
          <cell r="AB744">
            <v>8867250</v>
          </cell>
          <cell r="AC744">
            <v>7198080</v>
          </cell>
        </row>
        <row r="745">
          <cell r="A745" t="str">
            <v>W</v>
          </cell>
          <cell r="Q745">
            <v>19207215</v>
          </cell>
          <cell r="R745">
            <v>136110000</v>
          </cell>
          <cell r="W745">
            <v>538</v>
          </cell>
          <cell r="AA745">
            <v>41964000</v>
          </cell>
          <cell r="AB745">
            <v>19357050</v>
          </cell>
          <cell r="AC745">
            <v>15129654</v>
          </cell>
        </row>
        <row r="746">
          <cell r="A746" t="str">
            <v>W</v>
          </cell>
          <cell r="Q746">
            <v>15264543</v>
          </cell>
          <cell r="R746">
            <v>124754000</v>
          </cell>
          <cell r="W746">
            <v>595</v>
          </cell>
          <cell r="AA746">
            <v>58310000</v>
          </cell>
          <cell r="AB746">
            <v>27411900</v>
          </cell>
          <cell r="AC746">
            <v>21163958</v>
          </cell>
        </row>
        <row r="747">
          <cell r="A747" t="str">
            <v>W</v>
          </cell>
          <cell r="Q747">
            <v>15633177</v>
          </cell>
          <cell r="R747">
            <v>136038000</v>
          </cell>
          <cell r="W747">
            <v>395</v>
          </cell>
          <cell r="AA747">
            <v>62410000</v>
          </cell>
          <cell r="AB747">
            <v>28531500</v>
          </cell>
          <cell r="AC747">
            <v>22554145</v>
          </cell>
        </row>
        <row r="748">
          <cell r="A748" t="str">
            <v>W</v>
          </cell>
          <cell r="Q748">
            <v>12948112</v>
          </cell>
          <cell r="R748">
            <v>117024000</v>
          </cell>
          <cell r="W748">
            <v>792</v>
          </cell>
          <cell r="AA748">
            <v>109296000</v>
          </cell>
          <cell r="AB748">
            <v>50440695</v>
          </cell>
          <cell r="AC748">
            <v>39342965</v>
          </cell>
        </row>
        <row r="749">
          <cell r="A749" t="str">
            <v>W</v>
          </cell>
          <cell r="Q749">
            <v>15845440</v>
          </cell>
          <cell r="R749">
            <v>133510000</v>
          </cell>
          <cell r="W749">
            <v>589</v>
          </cell>
          <cell r="AA749">
            <v>93062000</v>
          </cell>
          <cell r="AB749">
            <v>42532600</v>
          </cell>
          <cell r="AC749">
            <v>33793870</v>
          </cell>
        </row>
        <row r="750">
          <cell r="A750" t="str">
            <v>W</v>
          </cell>
          <cell r="Q750">
            <v>12816932</v>
          </cell>
          <cell r="R750">
            <v>98276000</v>
          </cell>
          <cell r="W750">
            <v>171</v>
          </cell>
          <cell r="AA750">
            <v>27018000</v>
          </cell>
          <cell r="AB750">
            <v>12135900</v>
          </cell>
          <cell r="AC750">
            <v>9328518</v>
          </cell>
        </row>
        <row r="751">
          <cell r="A751" t="str">
            <v>W</v>
          </cell>
          <cell r="Q751">
            <v>15962739</v>
          </cell>
          <cell r="R751">
            <v>129406000</v>
          </cell>
          <cell r="W751">
            <v>357</v>
          </cell>
          <cell r="AA751">
            <v>63546000</v>
          </cell>
          <cell r="AB751">
            <v>29052745</v>
          </cell>
          <cell r="AC751">
            <v>22349805</v>
          </cell>
        </row>
        <row r="752">
          <cell r="A752" t="str">
            <v>W</v>
          </cell>
          <cell r="Q752">
            <v>16707384</v>
          </cell>
          <cell r="R752">
            <v>121752000</v>
          </cell>
          <cell r="W752">
            <v>228</v>
          </cell>
          <cell r="AA752">
            <v>40584000</v>
          </cell>
          <cell r="AB752">
            <v>16986800</v>
          </cell>
          <cell r="AC752">
            <v>12870474</v>
          </cell>
        </row>
        <row r="753">
          <cell r="A753" t="str">
            <v>W</v>
          </cell>
          <cell r="Q753">
            <v>11348673</v>
          </cell>
          <cell r="R753">
            <v>91798000</v>
          </cell>
          <cell r="W753">
            <v>308</v>
          </cell>
          <cell r="AA753">
            <v>48664000</v>
          </cell>
          <cell r="AB753">
            <v>22566800</v>
          </cell>
          <cell r="AC753">
            <v>17354602</v>
          </cell>
        </row>
        <row r="754">
          <cell r="A754" t="str">
            <v>W</v>
          </cell>
          <cell r="Q754">
            <v>15480985</v>
          </cell>
          <cell r="R754">
            <v>124030000</v>
          </cell>
          <cell r="W754">
            <v>363</v>
          </cell>
          <cell r="AA754">
            <v>57354000</v>
          </cell>
          <cell r="AB754">
            <v>25943500</v>
          </cell>
          <cell r="AC754">
            <v>20328043</v>
          </cell>
        </row>
        <row r="755">
          <cell r="A755" t="str">
            <v>W</v>
          </cell>
          <cell r="Q755">
            <v>3483408</v>
          </cell>
          <cell r="R755">
            <v>29388000</v>
          </cell>
          <cell r="W755">
            <v>53</v>
          </cell>
          <cell r="AA755">
            <v>8374000</v>
          </cell>
          <cell r="AB755">
            <v>3743200</v>
          </cell>
          <cell r="AC755">
            <v>2998487</v>
          </cell>
        </row>
        <row r="756">
          <cell r="A756" t="str">
            <v>W</v>
          </cell>
          <cell r="Q756">
            <v>11848041</v>
          </cell>
          <cell r="R756">
            <v>103722000</v>
          </cell>
          <cell r="W756">
            <v>275</v>
          </cell>
          <cell r="AA756">
            <v>32450000</v>
          </cell>
          <cell r="AB756">
            <v>14742700</v>
          </cell>
          <cell r="AC756">
            <v>11935376</v>
          </cell>
        </row>
        <row r="757">
          <cell r="A757" t="str">
            <v>W</v>
          </cell>
          <cell r="Q757">
            <v>6252793</v>
          </cell>
          <cell r="R757">
            <v>47318000</v>
          </cell>
          <cell r="W757">
            <v>376</v>
          </cell>
          <cell r="AA757">
            <v>44368000</v>
          </cell>
          <cell r="AB757">
            <v>20189200</v>
          </cell>
          <cell r="AC757">
            <v>15927552</v>
          </cell>
        </row>
        <row r="758">
          <cell r="A758" t="str">
            <v>W</v>
          </cell>
          <cell r="Q758">
            <v>9542286</v>
          </cell>
          <cell r="R758">
            <v>82836000</v>
          </cell>
          <cell r="W758">
            <v>190</v>
          </cell>
          <cell r="AA758">
            <v>22420000</v>
          </cell>
          <cell r="AB758">
            <v>9942150</v>
          </cell>
          <cell r="AC758">
            <v>8172562</v>
          </cell>
        </row>
        <row r="759">
          <cell r="A759" t="str">
            <v>W</v>
          </cell>
          <cell r="Q759">
            <v>12066246</v>
          </cell>
          <cell r="R759">
            <v>124068000</v>
          </cell>
          <cell r="W759">
            <v>365</v>
          </cell>
          <cell r="AA759">
            <v>35770000</v>
          </cell>
          <cell r="AB759">
            <v>16043100</v>
          </cell>
          <cell r="AC759">
            <v>12151914</v>
          </cell>
        </row>
        <row r="760">
          <cell r="A760" t="str">
            <v>W</v>
          </cell>
          <cell r="Q760">
            <v>22451950</v>
          </cell>
          <cell r="R760">
            <v>175322000</v>
          </cell>
          <cell r="W760">
            <v>317</v>
          </cell>
          <cell r="AA760">
            <v>31066000</v>
          </cell>
          <cell r="AB760">
            <v>13207400</v>
          </cell>
          <cell r="AC760">
            <v>9922942</v>
          </cell>
        </row>
        <row r="761">
          <cell r="A761" t="str">
            <v>W</v>
          </cell>
          <cell r="Q761">
            <v>53767395</v>
          </cell>
          <cell r="R761">
            <v>397830000</v>
          </cell>
          <cell r="W761">
            <v>1106</v>
          </cell>
          <cell r="AA761">
            <v>196868000</v>
          </cell>
          <cell r="AB761">
            <v>91118940</v>
          </cell>
          <cell r="AC761">
            <v>71220497</v>
          </cell>
        </row>
        <row r="762">
          <cell r="A762" t="str">
            <v>W</v>
          </cell>
          <cell r="Q762">
            <v>33146532</v>
          </cell>
          <cell r="R762">
            <v>235138000</v>
          </cell>
          <cell r="W762">
            <v>500</v>
          </cell>
          <cell r="AA762">
            <v>89000000</v>
          </cell>
          <cell r="AB762">
            <v>41483645</v>
          </cell>
          <cell r="AC762">
            <v>32164934</v>
          </cell>
        </row>
        <row r="763">
          <cell r="A763" t="str">
            <v>W</v>
          </cell>
          <cell r="Q763">
            <v>20554700</v>
          </cell>
          <cell r="R763">
            <v>179760000</v>
          </cell>
          <cell r="W763">
            <v>349</v>
          </cell>
          <cell r="AA763">
            <v>58632000</v>
          </cell>
          <cell r="AB763">
            <v>25399200</v>
          </cell>
          <cell r="AC763">
            <v>19559964</v>
          </cell>
        </row>
        <row r="764">
          <cell r="A764" t="str">
            <v>W</v>
          </cell>
          <cell r="Q764">
            <v>20396890</v>
          </cell>
          <cell r="R764">
            <v>169990000</v>
          </cell>
          <cell r="W764">
            <v>704</v>
          </cell>
          <cell r="AA764">
            <v>125312000</v>
          </cell>
          <cell r="AB764">
            <v>57963000</v>
          </cell>
          <cell r="AC764">
            <v>44784578</v>
          </cell>
        </row>
        <row r="765">
          <cell r="A765" t="str">
            <v>W</v>
          </cell>
          <cell r="Q765">
            <v>29867832</v>
          </cell>
          <cell r="R765">
            <v>255682000</v>
          </cell>
          <cell r="W765">
            <v>1527</v>
          </cell>
          <cell r="AA765">
            <v>149646000</v>
          </cell>
          <cell r="AB765">
            <v>62978350</v>
          </cell>
          <cell r="AC765">
            <v>47951067</v>
          </cell>
        </row>
        <row r="766">
          <cell r="A766" t="str">
            <v>W</v>
          </cell>
          <cell r="Q766">
            <v>12225348</v>
          </cell>
          <cell r="R766">
            <v>100536000</v>
          </cell>
          <cell r="W766">
            <v>522</v>
          </cell>
          <cell r="AA766">
            <v>61596000</v>
          </cell>
          <cell r="AB766">
            <v>28415960</v>
          </cell>
          <cell r="AC766">
            <v>22578439</v>
          </cell>
        </row>
        <row r="767">
          <cell r="A767" t="str">
            <v>W</v>
          </cell>
          <cell r="Q767">
            <v>16401998</v>
          </cell>
          <cell r="R767">
            <v>131788000</v>
          </cell>
          <cell r="W767">
            <v>386</v>
          </cell>
          <cell r="AA767">
            <v>72568000</v>
          </cell>
          <cell r="AB767">
            <v>33531000</v>
          </cell>
          <cell r="AC767">
            <v>25780910</v>
          </cell>
        </row>
        <row r="768">
          <cell r="A768" t="str">
            <v>W</v>
          </cell>
          <cell r="Q768">
            <v>31685472</v>
          </cell>
          <cell r="R768">
            <v>240656000</v>
          </cell>
          <cell r="W768">
            <v>501</v>
          </cell>
          <cell r="AA768">
            <v>89178000</v>
          </cell>
          <cell r="AB768">
            <v>41034045</v>
          </cell>
          <cell r="AC768">
            <v>31883471</v>
          </cell>
        </row>
        <row r="769">
          <cell r="A769" t="str">
            <v>W</v>
          </cell>
          <cell r="Q769">
            <v>28758398</v>
          </cell>
          <cell r="R769">
            <v>243148000</v>
          </cell>
          <cell r="W769">
            <v>784</v>
          </cell>
          <cell r="AA769">
            <v>139552000</v>
          </cell>
          <cell r="AB769">
            <v>64472000</v>
          </cell>
          <cell r="AC769">
            <v>50102773</v>
          </cell>
        </row>
        <row r="770">
          <cell r="A770" t="str">
            <v>W</v>
          </cell>
          <cell r="Q770">
            <v>5033166</v>
          </cell>
          <cell r="R770">
            <v>46052000</v>
          </cell>
          <cell r="W770">
            <v>288</v>
          </cell>
          <cell r="AA770">
            <v>16704000</v>
          </cell>
          <cell r="AB770">
            <v>7804440</v>
          </cell>
          <cell r="AC770">
            <v>5970948</v>
          </cell>
        </row>
        <row r="771">
          <cell r="A771" t="str">
            <v>W</v>
          </cell>
          <cell r="Q771">
            <v>8018370</v>
          </cell>
          <cell r="R771">
            <v>60270000</v>
          </cell>
          <cell r="W771">
            <v>215</v>
          </cell>
          <cell r="AA771">
            <v>21070000</v>
          </cell>
          <cell r="AB771">
            <v>9420600</v>
          </cell>
          <cell r="AC771">
            <v>7126301</v>
          </cell>
        </row>
        <row r="772">
          <cell r="A772" t="str">
            <v>W</v>
          </cell>
          <cell r="Q772">
            <v>9488924</v>
          </cell>
          <cell r="R772">
            <v>78302000</v>
          </cell>
          <cell r="W772">
            <v>317</v>
          </cell>
          <cell r="AA772">
            <v>31066000</v>
          </cell>
          <cell r="AB772">
            <v>14728300</v>
          </cell>
          <cell r="AC772">
            <v>11167860</v>
          </cell>
        </row>
        <row r="773">
          <cell r="A773" t="str">
            <v>W</v>
          </cell>
          <cell r="Q773">
            <v>19728044</v>
          </cell>
          <cell r="R773">
            <v>161322000</v>
          </cell>
          <cell r="W773">
            <v>261</v>
          </cell>
          <cell r="AA773">
            <v>36018000</v>
          </cell>
          <cell r="AB773">
            <v>14568700</v>
          </cell>
          <cell r="AC773">
            <v>11312364</v>
          </cell>
        </row>
        <row r="774">
          <cell r="A774" t="str">
            <v>W</v>
          </cell>
          <cell r="Q774">
            <v>12283704</v>
          </cell>
          <cell r="R774">
            <v>112572000</v>
          </cell>
          <cell r="W774">
            <v>323</v>
          </cell>
          <cell r="AA774">
            <v>38114000</v>
          </cell>
          <cell r="AB774">
            <v>17187790</v>
          </cell>
          <cell r="AC774">
            <v>13632924</v>
          </cell>
        </row>
        <row r="775">
          <cell r="A775" t="str">
            <v>W</v>
          </cell>
          <cell r="Q775">
            <v>12041848</v>
          </cell>
          <cell r="R775">
            <v>95354000</v>
          </cell>
          <cell r="W775">
            <v>222</v>
          </cell>
          <cell r="AA775">
            <v>21756000</v>
          </cell>
          <cell r="AB775">
            <v>9684950</v>
          </cell>
          <cell r="AC775">
            <v>7427579</v>
          </cell>
        </row>
        <row r="776">
          <cell r="A776" t="str">
            <v>W</v>
          </cell>
          <cell r="Q776">
            <v>12682860</v>
          </cell>
          <cell r="R776">
            <v>106380000</v>
          </cell>
          <cell r="W776">
            <v>234</v>
          </cell>
          <cell r="AA776">
            <v>25272000</v>
          </cell>
          <cell r="AB776">
            <v>10156100</v>
          </cell>
          <cell r="AC776">
            <v>7820679</v>
          </cell>
        </row>
        <row r="777">
          <cell r="A777" t="str">
            <v>W</v>
          </cell>
          <cell r="Q777">
            <v>14017992</v>
          </cell>
          <cell r="R777">
            <v>127664000</v>
          </cell>
          <cell r="W777">
            <v>142</v>
          </cell>
          <cell r="AA777">
            <v>22436000</v>
          </cell>
          <cell r="AB777">
            <v>10079800</v>
          </cell>
          <cell r="AC777">
            <v>7948704</v>
          </cell>
        </row>
        <row r="778">
          <cell r="A778" t="str">
            <v>W</v>
          </cell>
          <cell r="Q778">
            <v>25289380</v>
          </cell>
          <cell r="R778">
            <v>193980000</v>
          </cell>
          <cell r="W778">
            <v>282</v>
          </cell>
          <cell r="AA778">
            <v>89676000</v>
          </cell>
          <cell r="AB778">
            <v>41417900</v>
          </cell>
          <cell r="AC778">
            <v>31467134</v>
          </cell>
        </row>
        <row r="779">
          <cell r="A779" t="str">
            <v>W</v>
          </cell>
          <cell r="Q779">
            <v>13123836</v>
          </cell>
          <cell r="R779">
            <v>102168000</v>
          </cell>
          <cell r="W779">
            <v>143</v>
          </cell>
          <cell r="AA779">
            <v>36894000</v>
          </cell>
          <cell r="AB779">
            <v>17299795</v>
          </cell>
          <cell r="AC779">
            <v>12863886</v>
          </cell>
        </row>
        <row r="780">
          <cell r="A780" t="str">
            <v>W</v>
          </cell>
          <cell r="Q780">
            <v>7173309</v>
          </cell>
          <cell r="R780">
            <v>68172000</v>
          </cell>
          <cell r="W780">
            <v>48</v>
          </cell>
          <cell r="AA780">
            <v>10944000</v>
          </cell>
          <cell r="AB780">
            <v>4388650</v>
          </cell>
          <cell r="AC780">
            <v>3153903</v>
          </cell>
        </row>
        <row r="781">
          <cell r="A781" t="str">
            <v>W</v>
          </cell>
          <cell r="Q781">
            <v>28053608</v>
          </cell>
          <cell r="R781">
            <v>191664000</v>
          </cell>
          <cell r="W781">
            <v>89</v>
          </cell>
          <cell r="AA781">
            <v>17622000</v>
          </cell>
          <cell r="AB781">
            <v>7403200</v>
          </cell>
          <cell r="AC781">
            <v>5477496</v>
          </cell>
        </row>
        <row r="782">
          <cell r="A782" t="str">
            <v>W</v>
          </cell>
          <cell r="Q782">
            <v>23108668</v>
          </cell>
          <cell r="R782">
            <v>155736000</v>
          </cell>
          <cell r="W782">
            <v>91</v>
          </cell>
          <cell r="AA782">
            <v>34398000</v>
          </cell>
          <cell r="AB782">
            <v>14577600</v>
          </cell>
          <cell r="AC782">
            <v>10806958</v>
          </cell>
        </row>
        <row r="783">
          <cell r="A783" t="str">
            <v>W</v>
          </cell>
          <cell r="Q783">
            <v>31239264</v>
          </cell>
          <cell r="R783">
            <v>249168000</v>
          </cell>
          <cell r="W783">
            <v>148</v>
          </cell>
          <cell r="AA783">
            <v>52984000</v>
          </cell>
          <cell r="AB783">
            <v>24425200</v>
          </cell>
          <cell r="AC783">
            <v>18207433</v>
          </cell>
        </row>
        <row r="784">
          <cell r="A784" t="str">
            <v>W</v>
          </cell>
          <cell r="Q784">
            <v>43514339</v>
          </cell>
          <cell r="R784">
            <v>318002000</v>
          </cell>
          <cell r="W784">
            <v>183</v>
          </cell>
          <cell r="AA784">
            <v>72834000</v>
          </cell>
          <cell r="AB784">
            <v>34455795</v>
          </cell>
          <cell r="AC784">
            <v>25815484</v>
          </cell>
        </row>
        <row r="785">
          <cell r="A785" t="str">
            <v>W</v>
          </cell>
          <cell r="Q785">
            <v>42662004</v>
          </cell>
          <cell r="R785">
            <v>367752000</v>
          </cell>
          <cell r="W785">
            <v>180</v>
          </cell>
          <cell r="AA785">
            <v>71640000</v>
          </cell>
          <cell r="AB785">
            <v>30287850</v>
          </cell>
          <cell r="AC785">
            <v>22633375</v>
          </cell>
        </row>
        <row r="786">
          <cell r="A786" t="str">
            <v>W</v>
          </cell>
          <cell r="Q786">
            <v>24094980</v>
          </cell>
          <cell r="R786">
            <v>197730000</v>
          </cell>
          <cell r="W786">
            <v>106</v>
          </cell>
          <cell r="AA786">
            <v>35828000</v>
          </cell>
          <cell r="AB786">
            <v>13987550</v>
          </cell>
          <cell r="AC786">
            <v>10361083</v>
          </cell>
        </row>
        <row r="787">
          <cell r="A787" t="str">
            <v>W</v>
          </cell>
          <cell r="Q787">
            <v>28008400</v>
          </cell>
          <cell r="R787">
            <v>202272000</v>
          </cell>
          <cell r="W787">
            <v>132</v>
          </cell>
          <cell r="AA787">
            <v>34056000</v>
          </cell>
          <cell r="AB787">
            <v>16120400</v>
          </cell>
          <cell r="AC787">
            <v>12242423</v>
          </cell>
        </row>
        <row r="788">
          <cell r="A788" t="str">
            <v>W</v>
          </cell>
          <cell r="Q788">
            <v>22817156</v>
          </cell>
          <cell r="R788">
            <v>207388000</v>
          </cell>
          <cell r="W788">
            <v>114</v>
          </cell>
          <cell r="AA788">
            <v>31692000</v>
          </cell>
          <cell r="AB788">
            <v>14520300</v>
          </cell>
          <cell r="AC788">
            <v>11235440</v>
          </cell>
        </row>
        <row r="789">
          <cell r="A789" t="str">
            <v>W</v>
          </cell>
          <cell r="Q789">
            <v>50094374</v>
          </cell>
          <cell r="R789">
            <v>475228000</v>
          </cell>
          <cell r="W789">
            <v>504</v>
          </cell>
          <cell r="AA789">
            <v>170352000</v>
          </cell>
          <cell r="AB789">
            <v>78608990</v>
          </cell>
          <cell r="AC789">
            <v>59162506</v>
          </cell>
        </row>
        <row r="790">
          <cell r="A790" t="str">
            <v>W</v>
          </cell>
          <cell r="Q790">
            <v>16226160</v>
          </cell>
          <cell r="R790">
            <v>128928000</v>
          </cell>
          <cell r="W790">
            <v>144</v>
          </cell>
          <cell r="AA790">
            <v>22752000</v>
          </cell>
          <cell r="AB790">
            <v>8084900</v>
          </cell>
          <cell r="AC790">
            <v>6122572</v>
          </cell>
        </row>
        <row r="791">
          <cell r="A791" t="str">
            <v>W</v>
          </cell>
          <cell r="Q791">
            <v>36988873</v>
          </cell>
          <cell r="R791">
            <v>301146000</v>
          </cell>
          <cell r="W791">
            <v>452</v>
          </cell>
          <cell r="AA791">
            <v>143736000</v>
          </cell>
          <cell r="AB791">
            <v>65596380</v>
          </cell>
          <cell r="AC791">
            <v>49553763</v>
          </cell>
        </row>
        <row r="792">
          <cell r="A792" t="str">
            <v>W</v>
          </cell>
          <cell r="Q792">
            <v>6931344</v>
          </cell>
          <cell r="R792">
            <v>83358000</v>
          </cell>
          <cell r="W792">
            <v>80</v>
          </cell>
          <cell r="AA792">
            <v>15840000</v>
          </cell>
          <cell r="AB792">
            <v>7080450</v>
          </cell>
          <cell r="AC792">
            <v>5593552</v>
          </cell>
        </row>
        <row r="793">
          <cell r="A793" t="str">
            <v>W</v>
          </cell>
          <cell r="Q793">
            <v>35930034</v>
          </cell>
          <cell r="R793">
            <v>322714000</v>
          </cell>
          <cell r="W793">
            <v>909</v>
          </cell>
          <cell r="AA793">
            <v>161802000</v>
          </cell>
          <cell r="AB793">
            <v>74319050</v>
          </cell>
          <cell r="AC793">
            <v>57850267</v>
          </cell>
        </row>
        <row r="794">
          <cell r="A794" t="str">
            <v>W</v>
          </cell>
          <cell r="Q794">
            <v>21095844</v>
          </cell>
          <cell r="R794">
            <v>172062000</v>
          </cell>
          <cell r="W794">
            <v>160</v>
          </cell>
          <cell r="AA794">
            <v>31680000</v>
          </cell>
          <cell r="AB794">
            <v>13530900</v>
          </cell>
          <cell r="AC794">
            <v>10085548</v>
          </cell>
        </row>
        <row r="795">
          <cell r="A795" t="str">
            <v>W</v>
          </cell>
          <cell r="Q795">
            <v>22494626</v>
          </cell>
          <cell r="R795">
            <v>184646000</v>
          </cell>
          <cell r="W795">
            <v>465</v>
          </cell>
          <cell r="AA795">
            <v>101370000</v>
          </cell>
          <cell r="AB795">
            <v>46968550</v>
          </cell>
          <cell r="AC795">
            <v>35847866</v>
          </cell>
        </row>
        <row r="796">
          <cell r="A796" t="str">
            <v>W</v>
          </cell>
          <cell r="Q796">
            <v>19240094</v>
          </cell>
          <cell r="R796">
            <v>162954000</v>
          </cell>
          <cell r="W796">
            <v>178</v>
          </cell>
          <cell r="AA796">
            <v>35244000</v>
          </cell>
          <cell r="AB796">
            <v>15889700</v>
          </cell>
          <cell r="AC796">
            <v>12378960</v>
          </cell>
        </row>
        <row r="797">
          <cell r="A797" t="str">
            <v>W</v>
          </cell>
          <cell r="Q797">
            <v>9438059</v>
          </cell>
          <cell r="R797">
            <v>90218000</v>
          </cell>
          <cell r="W797">
            <v>121</v>
          </cell>
          <cell r="AA797">
            <v>19118000</v>
          </cell>
          <cell r="AB797">
            <v>8079800</v>
          </cell>
          <cell r="AC797">
            <v>6258225</v>
          </cell>
        </row>
        <row r="798">
          <cell r="A798" t="str">
            <v>W</v>
          </cell>
          <cell r="Q798">
            <v>10409108</v>
          </cell>
          <cell r="R798">
            <v>89496000</v>
          </cell>
          <cell r="W798">
            <v>92</v>
          </cell>
          <cell r="AA798">
            <v>18216000</v>
          </cell>
          <cell r="AB798">
            <v>8282600</v>
          </cell>
          <cell r="AC798">
            <v>6355058</v>
          </cell>
        </row>
        <row r="799">
          <cell r="A799" t="str">
            <v>W</v>
          </cell>
          <cell r="Q799">
            <v>11324160</v>
          </cell>
          <cell r="R799">
            <v>113760000</v>
          </cell>
          <cell r="W799">
            <v>112</v>
          </cell>
          <cell r="AA799">
            <v>17696000</v>
          </cell>
          <cell r="AB799">
            <v>7940400</v>
          </cell>
          <cell r="AC799">
            <v>6292429</v>
          </cell>
        </row>
        <row r="800">
          <cell r="A800" t="str">
            <v>W</v>
          </cell>
          <cell r="Q800">
            <v>3636410</v>
          </cell>
          <cell r="R800">
            <v>26220000</v>
          </cell>
          <cell r="W800">
            <v>33</v>
          </cell>
          <cell r="AA800">
            <v>4554000</v>
          </cell>
          <cell r="AB800">
            <v>2190100</v>
          </cell>
          <cell r="AC800">
            <v>1677804</v>
          </cell>
        </row>
        <row r="801">
          <cell r="A801" t="str">
            <v>W</v>
          </cell>
          <cell r="Q801">
            <v>9367248</v>
          </cell>
          <cell r="R801">
            <v>99224000</v>
          </cell>
          <cell r="W801">
            <v>264</v>
          </cell>
          <cell r="AA801">
            <v>41712000</v>
          </cell>
          <cell r="AB801">
            <v>19049100</v>
          </cell>
          <cell r="AC801">
            <v>14793738</v>
          </cell>
        </row>
        <row r="802">
          <cell r="A802" t="str">
            <v>W</v>
          </cell>
          <cell r="Q802">
            <v>25636530</v>
          </cell>
          <cell r="R802">
            <v>310860000</v>
          </cell>
          <cell r="W802">
            <v>561</v>
          </cell>
          <cell r="AA802">
            <v>111078000</v>
          </cell>
          <cell r="AB802">
            <v>50809750</v>
          </cell>
          <cell r="AC802">
            <v>39534116</v>
          </cell>
        </row>
        <row r="803">
          <cell r="A803" t="str">
            <v>W</v>
          </cell>
          <cell r="Q803">
            <v>17144842</v>
          </cell>
          <cell r="R803">
            <v>141332000</v>
          </cell>
          <cell r="W803">
            <v>113</v>
          </cell>
          <cell r="AA803">
            <v>20114000</v>
          </cell>
          <cell r="AB803">
            <v>8761200</v>
          </cell>
          <cell r="AC803">
            <v>6708614</v>
          </cell>
        </row>
        <row r="804">
          <cell r="A804" t="str">
            <v>W</v>
          </cell>
          <cell r="Q804">
            <v>29618928</v>
          </cell>
          <cell r="R804">
            <v>320352000</v>
          </cell>
          <cell r="W804">
            <v>293</v>
          </cell>
          <cell r="AA804">
            <v>55084000</v>
          </cell>
          <cell r="AB804">
            <v>22964900</v>
          </cell>
          <cell r="AC804">
            <v>17345742</v>
          </cell>
        </row>
        <row r="805">
          <cell r="A805" t="str">
            <v>W</v>
          </cell>
          <cell r="Q805">
            <v>20305208</v>
          </cell>
          <cell r="R805">
            <v>178976000</v>
          </cell>
          <cell r="W805">
            <v>542</v>
          </cell>
          <cell r="AA805">
            <v>101896000</v>
          </cell>
          <cell r="AB805">
            <v>46806370</v>
          </cell>
          <cell r="AC805">
            <v>35565262</v>
          </cell>
        </row>
        <row r="806">
          <cell r="A806" t="str">
            <v>W</v>
          </cell>
          <cell r="Q806">
            <v>61869210</v>
          </cell>
          <cell r="R806">
            <v>469820000</v>
          </cell>
          <cell r="W806">
            <v>1178</v>
          </cell>
          <cell r="AA806">
            <v>327484000</v>
          </cell>
          <cell r="AB806">
            <v>150095130</v>
          </cell>
          <cell r="AC806">
            <v>113653072</v>
          </cell>
        </row>
        <row r="807">
          <cell r="A807" t="str">
            <v>W</v>
          </cell>
          <cell r="Q807">
            <v>4904250</v>
          </cell>
          <cell r="R807">
            <v>43500000</v>
          </cell>
          <cell r="W807">
            <v>146</v>
          </cell>
          <cell r="AA807">
            <v>8468000</v>
          </cell>
          <cell r="AB807">
            <v>3886650</v>
          </cell>
          <cell r="AC807">
            <v>2984216</v>
          </cell>
        </row>
        <row r="808">
          <cell r="A808" t="str">
            <v>W</v>
          </cell>
          <cell r="Q808">
            <v>14938006</v>
          </cell>
          <cell r="R808">
            <v>133852000</v>
          </cell>
          <cell r="W808">
            <v>184</v>
          </cell>
          <cell r="AA808">
            <v>40112000</v>
          </cell>
          <cell r="AB808">
            <v>18435000</v>
          </cell>
          <cell r="AC808">
            <v>14127327</v>
          </cell>
        </row>
        <row r="809">
          <cell r="A809" t="str">
            <v>W</v>
          </cell>
          <cell r="Q809">
            <v>12015443</v>
          </cell>
          <cell r="R809">
            <v>92466000</v>
          </cell>
          <cell r="W809">
            <v>114</v>
          </cell>
          <cell r="AA809">
            <v>22572000</v>
          </cell>
          <cell r="AB809">
            <v>10470400</v>
          </cell>
          <cell r="AC809">
            <v>7958462</v>
          </cell>
        </row>
        <row r="810">
          <cell r="A810" t="str">
            <v>W</v>
          </cell>
          <cell r="Q810">
            <v>40989697</v>
          </cell>
          <cell r="R810">
            <v>282374000</v>
          </cell>
          <cell r="W810">
            <v>1222</v>
          </cell>
          <cell r="AA810">
            <v>144196000</v>
          </cell>
          <cell r="AB810">
            <v>65123050</v>
          </cell>
          <cell r="AC810">
            <v>52047204</v>
          </cell>
        </row>
        <row r="811">
          <cell r="A811" t="str">
            <v>W</v>
          </cell>
          <cell r="Q811">
            <v>20994490</v>
          </cell>
          <cell r="R811">
            <v>213422000</v>
          </cell>
          <cell r="W811">
            <v>385</v>
          </cell>
          <cell r="AA811">
            <v>68530000</v>
          </cell>
          <cell r="AB811">
            <v>30563400</v>
          </cell>
          <cell r="AC811">
            <v>23072140</v>
          </cell>
        </row>
        <row r="812">
          <cell r="A812" t="str">
            <v>W</v>
          </cell>
          <cell r="Q812">
            <v>38682000</v>
          </cell>
          <cell r="R812">
            <v>297000000</v>
          </cell>
          <cell r="W812">
            <v>722</v>
          </cell>
          <cell r="AA812">
            <v>142956000</v>
          </cell>
          <cell r="AB812">
            <v>66557150</v>
          </cell>
          <cell r="AC812">
            <v>51106523</v>
          </cell>
        </row>
        <row r="813">
          <cell r="A813" t="str">
            <v>W</v>
          </cell>
          <cell r="Q813">
            <v>9827028</v>
          </cell>
          <cell r="R813">
            <v>86184000</v>
          </cell>
          <cell r="W813">
            <v>473</v>
          </cell>
          <cell r="AA813">
            <v>79464000</v>
          </cell>
          <cell r="AB813">
            <v>37698000</v>
          </cell>
          <cell r="AC813">
            <v>29230236</v>
          </cell>
        </row>
        <row r="814">
          <cell r="A814" t="str">
            <v>W</v>
          </cell>
          <cell r="Q814">
            <v>4772600</v>
          </cell>
          <cell r="R814">
            <v>38808000</v>
          </cell>
          <cell r="W814">
            <v>155</v>
          </cell>
          <cell r="AA814">
            <v>30690000</v>
          </cell>
          <cell r="AB814">
            <v>14160200</v>
          </cell>
          <cell r="AC814">
            <v>10821641</v>
          </cell>
        </row>
        <row r="815">
          <cell r="A815" t="str">
            <v>W</v>
          </cell>
          <cell r="Q815">
            <v>7150176</v>
          </cell>
          <cell r="R815">
            <v>58608000</v>
          </cell>
          <cell r="W815">
            <v>134</v>
          </cell>
          <cell r="AA815">
            <v>26532000</v>
          </cell>
          <cell r="AB815">
            <v>12358400</v>
          </cell>
          <cell r="AC815">
            <v>9563351</v>
          </cell>
        </row>
        <row r="816">
          <cell r="A816" t="str">
            <v>W</v>
          </cell>
          <cell r="Q816">
            <v>39114432</v>
          </cell>
          <cell r="R816">
            <v>318798000</v>
          </cell>
          <cell r="W816">
            <v>621</v>
          </cell>
          <cell r="AA816">
            <v>247158000</v>
          </cell>
          <cell r="AB816">
            <v>114589800</v>
          </cell>
          <cell r="AC816">
            <v>86451968</v>
          </cell>
        </row>
        <row r="817">
          <cell r="A817" t="str">
            <v>W</v>
          </cell>
          <cell r="Q817">
            <v>70709286</v>
          </cell>
          <cell r="R817">
            <v>532524000</v>
          </cell>
          <cell r="W817">
            <v>474</v>
          </cell>
          <cell r="AA817">
            <v>188652000</v>
          </cell>
          <cell r="AB817">
            <v>85873850</v>
          </cell>
          <cell r="AC817">
            <v>65010344</v>
          </cell>
        </row>
        <row r="818">
          <cell r="A818" t="str">
            <v>W</v>
          </cell>
          <cell r="Q818">
            <v>88975504</v>
          </cell>
          <cell r="R818">
            <v>728596000</v>
          </cell>
          <cell r="W818">
            <v>334</v>
          </cell>
          <cell r="AA818">
            <v>213092000</v>
          </cell>
          <cell r="AB818">
            <v>96737700</v>
          </cell>
          <cell r="AC818">
            <v>73247745</v>
          </cell>
        </row>
        <row r="819">
          <cell r="A819" t="str">
            <v>W</v>
          </cell>
          <cell r="Q819">
            <v>35811048</v>
          </cell>
          <cell r="R819">
            <v>310422000</v>
          </cell>
          <cell r="W819">
            <v>187</v>
          </cell>
          <cell r="AA819">
            <v>145486000</v>
          </cell>
          <cell r="AB819">
            <v>66027350</v>
          </cell>
          <cell r="AC819">
            <v>48617693</v>
          </cell>
        </row>
        <row r="820">
          <cell r="A820" t="str">
            <v>W</v>
          </cell>
          <cell r="Q820">
            <v>34153280</v>
          </cell>
          <cell r="R820">
            <v>275710000</v>
          </cell>
          <cell r="W820">
            <v>203</v>
          </cell>
          <cell r="AA820">
            <v>141694000</v>
          </cell>
          <cell r="AB820">
            <v>65445500</v>
          </cell>
          <cell r="AC820">
            <v>48509081</v>
          </cell>
        </row>
        <row r="821">
          <cell r="A821" t="str">
            <v>W</v>
          </cell>
          <cell r="Q821">
            <v>15015200</v>
          </cell>
          <cell r="R821">
            <v>86400000</v>
          </cell>
          <cell r="W821">
            <v>56</v>
          </cell>
          <cell r="AA821">
            <v>60480000</v>
          </cell>
          <cell r="AB821">
            <v>27778000</v>
          </cell>
          <cell r="AC821">
            <v>20204370</v>
          </cell>
        </row>
        <row r="822">
          <cell r="A822" t="str">
            <v>W</v>
          </cell>
          <cell r="Q822">
            <v>8633740</v>
          </cell>
          <cell r="R822">
            <v>49680000</v>
          </cell>
          <cell r="W822">
            <v>21</v>
          </cell>
          <cell r="AA822">
            <v>22680000</v>
          </cell>
          <cell r="AB822">
            <v>10098000</v>
          </cell>
          <cell r="AC822">
            <v>7062390</v>
          </cell>
        </row>
        <row r="823">
          <cell r="A823" t="str">
            <v>W</v>
          </cell>
          <cell r="Q823">
            <v>16141340</v>
          </cell>
          <cell r="R823">
            <v>92880000</v>
          </cell>
          <cell r="W823">
            <v>28</v>
          </cell>
          <cell r="AA823">
            <v>30240000</v>
          </cell>
          <cell r="AB823">
            <v>13660000</v>
          </cell>
          <cell r="AC823">
            <v>9945180</v>
          </cell>
        </row>
        <row r="824">
          <cell r="A824" t="str">
            <v>W</v>
          </cell>
          <cell r="Q824">
            <v>11288060</v>
          </cell>
          <cell r="R824">
            <v>55440000</v>
          </cell>
          <cell r="W824">
            <v>4</v>
          </cell>
          <cell r="AA824">
            <v>7920000</v>
          </cell>
          <cell r="AB824">
            <v>3465000</v>
          </cell>
          <cell r="AC824">
            <v>2398770</v>
          </cell>
        </row>
        <row r="825">
          <cell r="A825" t="str">
            <v>W</v>
          </cell>
          <cell r="Q825">
            <v>18495950</v>
          </cell>
          <cell r="R825">
            <v>90200000</v>
          </cell>
          <cell r="W825">
            <v>21</v>
          </cell>
          <cell r="AA825">
            <v>17220000</v>
          </cell>
          <cell r="AB825">
            <v>7708000</v>
          </cell>
          <cell r="AC825">
            <v>5641395</v>
          </cell>
        </row>
        <row r="826">
          <cell r="A826" t="str">
            <v>W</v>
          </cell>
          <cell r="Q826">
            <v>13350960</v>
          </cell>
          <cell r="R826">
            <v>65280000</v>
          </cell>
          <cell r="W826">
            <v>10</v>
          </cell>
          <cell r="AA826">
            <v>13600000</v>
          </cell>
          <cell r="AB826">
            <v>6256000</v>
          </cell>
          <cell r="AC826">
            <v>4575380</v>
          </cell>
        </row>
        <row r="827">
          <cell r="A827" t="str">
            <v>W</v>
          </cell>
          <cell r="Q827">
            <v>9556536</v>
          </cell>
          <cell r="R827">
            <v>75472000</v>
          </cell>
          <cell r="W827">
            <v>79</v>
          </cell>
          <cell r="AA827">
            <v>14062000</v>
          </cell>
          <cell r="AB827">
            <v>6440700</v>
          </cell>
          <cell r="AC827">
            <v>5114786</v>
          </cell>
        </row>
        <row r="828">
          <cell r="A828" t="str">
            <v>W</v>
          </cell>
          <cell r="Q828">
            <v>41339830</v>
          </cell>
          <cell r="R828">
            <v>308310000</v>
          </cell>
          <cell r="W828">
            <v>316</v>
          </cell>
          <cell r="AA828">
            <v>81528000</v>
          </cell>
          <cell r="AB828">
            <v>36207800</v>
          </cell>
          <cell r="AC828">
            <v>27556875</v>
          </cell>
        </row>
        <row r="829">
          <cell r="A829" t="str">
            <v>W</v>
          </cell>
          <cell r="Q829">
            <v>22605856</v>
          </cell>
          <cell r="R829">
            <v>187824000</v>
          </cell>
          <cell r="W829">
            <v>88</v>
          </cell>
          <cell r="AA829">
            <v>22704000</v>
          </cell>
          <cell r="AB829">
            <v>10575650</v>
          </cell>
          <cell r="AC829">
            <v>8121582</v>
          </cell>
        </row>
        <row r="830">
          <cell r="A830" t="str">
            <v>W</v>
          </cell>
          <cell r="Q830">
            <v>20085758</v>
          </cell>
          <cell r="R830">
            <v>158046000</v>
          </cell>
          <cell r="W830">
            <v>454</v>
          </cell>
          <cell r="AA830">
            <v>144372000</v>
          </cell>
          <cell r="AB830">
            <v>66206200</v>
          </cell>
          <cell r="AC830">
            <v>51987435</v>
          </cell>
        </row>
        <row r="831">
          <cell r="A831" t="str">
            <v>W</v>
          </cell>
          <cell r="Q831">
            <v>15454894</v>
          </cell>
          <cell r="R831">
            <v>129654000</v>
          </cell>
          <cell r="W831">
            <v>214</v>
          </cell>
          <cell r="AA831">
            <v>80892000</v>
          </cell>
          <cell r="AB831">
            <v>37820500</v>
          </cell>
          <cell r="AC831">
            <v>28663740</v>
          </cell>
        </row>
        <row r="832">
          <cell r="A832" t="str">
            <v>W</v>
          </cell>
          <cell r="Q832">
            <v>32457415</v>
          </cell>
          <cell r="R832">
            <v>266710000</v>
          </cell>
          <cell r="W832">
            <v>247</v>
          </cell>
          <cell r="AA832">
            <v>88426000</v>
          </cell>
          <cell r="AB832">
            <v>41267100</v>
          </cell>
          <cell r="AC832">
            <v>31155577</v>
          </cell>
        </row>
        <row r="833">
          <cell r="A833" t="str">
            <v>W</v>
          </cell>
          <cell r="Q833">
            <v>24120630</v>
          </cell>
          <cell r="R833">
            <v>188244000</v>
          </cell>
          <cell r="W833">
            <v>496</v>
          </cell>
          <cell r="AA833">
            <v>187488000</v>
          </cell>
          <cell r="AB833">
            <v>86735500</v>
          </cell>
          <cell r="AC833">
            <v>64778522</v>
          </cell>
        </row>
        <row r="834">
          <cell r="A834" t="str">
            <v>W</v>
          </cell>
          <cell r="Q834">
            <v>66743523</v>
          </cell>
          <cell r="R834">
            <v>548226000</v>
          </cell>
          <cell r="W834">
            <v>566</v>
          </cell>
          <cell r="AA834">
            <v>259228000</v>
          </cell>
          <cell r="AB834">
            <v>119310940</v>
          </cell>
          <cell r="AC834">
            <v>88979484</v>
          </cell>
        </row>
        <row r="835">
          <cell r="A835" t="str">
            <v>W</v>
          </cell>
          <cell r="Q835">
            <v>43376975</v>
          </cell>
          <cell r="R835">
            <v>448950000</v>
          </cell>
          <cell r="W835">
            <v>302</v>
          </cell>
          <cell r="AA835">
            <v>132276000</v>
          </cell>
          <cell r="AB835">
            <v>60164900</v>
          </cell>
          <cell r="AC835">
            <v>45534261</v>
          </cell>
        </row>
        <row r="836">
          <cell r="A836" t="str">
            <v>W</v>
          </cell>
          <cell r="Q836">
            <v>0</v>
          </cell>
          <cell r="R836">
            <v>568172000</v>
          </cell>
          <cell r="W836">
            <v>296</v>
          </cell>
          <cell r="AA836">
            <v>206608000</v>
          </cell>
          <cell r="AB836">
            <v>92767035</v>
          </cell>
          <cell r="AC836">
            <v>69009480</v>
          </cell>
        </row>
        <row r="837">
          <cell r="A837" t="str">
            <v>W</v>
          </cell>
          <cell r="Q837">
            <v>23414223</v>
          </cell>
          <cell r="R837">
            <v>181482000</v>
          </cell>
          <cell r="W837">
            <v>336</v>
          </cell>
          <cell r="AA837">
            <v>100128000</v>
          </cell>
          <cell r="AB837">
            <v>46462000</v>
          </cell>
          <cell r="AC837">
            <v>35028932</v>
          </cell>
        </row>
        <row r="838">
          <cell r="A838" t="str">
            <v>W</v>
          </cell>
          <cell r="Q838">
            <v>22748985</v>
          </cell>
          <cell r="R838">
            <v>198170000</v>
          </cell>
          <cell r="W838">
            <v>397</v>
          </cell>
          <cell r="AA838">
            <v>118306000</v>
          </cell>
          <cell r="AB838">
            <v>54964400</v>
          </cell>
          <cell r="AC838">
            <v>41783847</v>
          </cell>
        </row>
        <row r="839">
          <cell r="A839" t="str">
            <v>W</v>
          </cell>
          <cell r="Q839">
            <v>23478798</v>
          </cell>
          <cell r="R839">
            <v>205918000</v>
          </cell>
          <cell r="W839">
            <v>185</v>
          </cell>
          <cell r="AA839">
            <v>55130000</v>
          </cell>
          <cell r="AB839">
            <v>25269350</v>
          </cell>
          <cell r="AC839">
            <v>19441779</v>
          </cell>
        </row>
        <row r="840">
          <cell r="A840" t="str">
            <v>W</v>
          </cell>
          <cell r="Q840">
            <v>43095330</v>
          </cell>
          <cell r="R840">
            <v>323730000</v>
          </cell>
          <cell r="W840">
            <v>617</v>
          </cell>
          <cell r="AA840">
            <v>122166000</v>
          </cell>
          <cell r="AB840">
            <v>56912158</v>
          </cell>
          <cell r="AC840">
            <v>43813664</v>
          </cell>
        </row>
        <row r="841">
          <cell r="A841" t="str">
            <v>W</v>
          </cell>
          <cell r="Q841">
            <v>39653817</v>
          </cell>
          <cell r="R841">
            <v>310814000</v>
          </cell>
          <cell r="W841">
            <v>443</v>
          </cell>
          <cell r="AA841">
            <v>132014000</v>
          </cell>
          <cell r="AB841">
            <v>62901200</v>
          </cell>
          <cell r="AC841">
            <v>47660556</v>
          </cell>
        </row>
        <row r="842">
          <cell r="A842" t="str">
            <v>W</v>
          </cell>
          <cell r="Q842">
            <v>26953540</v>
          </cell>
          <cell r="R842">
            <v>196606000</v>
          </cell>
          <cell r="W842">
            <v>78</v>
          </cell>
          <cell r="AA842">
            <v>77844000</v>
          </cell>
          <cell r="AB842">
            <v>35847800</v>
          </cell>
          <cell r="AC842">
            <v>26629135</v>
          </cell>
        </row>
        <row r="843">
          <cell r="A843" t="str">
            <v>W</v>
          </cell>
          <cell r="Q843">
            <v>8743500</v>
          </cell>
          <cell r="R843">
            <v>35400000</v>
          </cell>
          <cell r="W843">
            <v>181</v>
          </cell>
          <cell r="AA843">
            <v>21358000</v>
          </cell>
          <cell r="AB843">
            <v>15835280</v>
          </cell>
          <cell r="AC843">
            <v>12549560</v>
          </cell>
        </row>
        <row r="844">
          <cell r="A844" t="str">
            <v>W</v>
          </cell>
          <cell r="Q844">
            <v>5741565</v>
          </cell>
          <cell r="R844">
            <v>27186000</v>
          </cell>
          <cell r="W844">
            <v>94</v>
          </cell>
          <cell r="AA844">
            <v>12972000</v>
          </cell>
          <cell r="AB844">
            <v>9775200</v>
          </cell>
          <cell r="AC844">
            <v>7593036</v>
          </cell>
        </row>
        <row r="845">
          <cell r="A845" t="str">
            <v>W</v>
          </cell>
          <cell r="Q845">
            <v>3593985</v>
          </cell>
          <cell r="R845">
            <v>22794000</v>
          </cell>
          <cell r="W845">
            <v>278</v>
          </cell>
          <cell r="AA845">
            <v>16124000</v>
          </cell>
          <cell r="AB845">
            <v>12038480</v>
          </cell>
          <cell r="AC845">
            <v>9482165</v>
          </cell>
        </row>
        <row r="846">
          <cell r="A846" t="str">
            <v>W</v>
          </cell>
          <cell r="Q846">
            <v>1998565</v>
          </cell>
          <cell r="R846">
            <v>9456000</v>
          </cell>
          <cell r="W846">
            <v>46</v>
          </cell>
          <cell r="AA846">
            <v>2208000</v>
          </cell>
          <cell r="AB846">
            <v>1698200</v>
          </cell>
          <cell r="AC846">
            <v>1319544</v>
          </cell>
        </row>
        <row r="847">
          <cell r="A847" t="str">
            <v>W</v>
          </cell>
          <cell r="Q847">
            <v>4992960</v>
          </cell>
          <cell r="R847">
            <v>25984000</v>
          </cell>
          <cell r="W847">
            <v>205</v>
          </cell>
          <cell r="AA847">
            <v>11890000</v>
          </cell>
          <cell r="AB847">
            <v>9080600</v>
          </cell>
          <cell r="AC847">
            <v>7162942</v>
          </cell>
        </row>
        <row r="848">
          <cell r="A848" t="str">
            <v>W</v>
          </cell>
          <cell r="Q848">
            <v>6377275</v>
          </cell>
          <cell r="R848">
            <v>24490000</v>
          </cell>
          <cell r="W848">
            <v>277</v>
          </cell>
          <cell r="AA848">
            <v>17174000</v>
          </cell>
          <cell r="AB848">
            <v>13168000</v>
          </cell>
          <cell r="AC848">
            <v>10364850</v>
          </cell>
        </row>
        <row r="849">
          <cell r="A849" t="str">
            <v>W</v>
          </cell>
          <cell r="Q849">
            <v>1998040</v>
          </cell>
          <cell r="R849">
            <v>9424000</v>
          </cell>
          <cell r="W849">
            <v>134</v>
          </cell>
          <cell r="AA849">
            <v>8308000</v>
          </cell>
          <cell r="AB849">
            <v>6486600</v>
          </cell>
          <cell r="AC849">
            <v>5035268</v>
          </cell>
        </row>
        <row r="850">
          <cell r="A850" t="str">
            <v>W</v>
          </cell>
          <cell r="Q850">
            <v>3013855</v>
          </cell>
          <cell r="R850">
            <v>12338000</v>
          </cell>
          <cell r="W850">
            <v>120</v>
          </cell>
          <cell r="AA850">
            <v>7440000</v>
          </cell>
          <cell r="AB850">
            <v>5846800</v>
          </cell>
          <cell r="AC850">
            <v>4438580</v>
          </cell>
        </row>
        <row r="851">
          <cell r="A851" t="str">
            <v>W</v>
          </cell>
          <cell r="Q851">
            <v>2742645</v>
          </cell>
          <cell r="R851">
            <v>12462000</v>
          </cell>
          <cell r="W851">
            <v>114</v>
          </cell>
          <cell r="AA851">
            <v>7068000</v>
          </cell>
          <cell r="AB851">
            <v>5346720</v>
          </cell>
          <cell r="AC851">
            <v>4255804</v>
          </cell>
        </row>
        <row r="852">
          <cell r="A852" t="str">
            <v>W</v>
          </cell>
          <cell r="Q852">
            <v>2402550</v>
          </cell>
          <cell r="R852">
            <v>11020000</v>
          </cell>
          <cell r="W852">
            <v>75</v>
          </cell>
          <cell r="AA852">
            <v>4350000</v>
          </cell>
          <cell r="AB852">
            <v>3300000</v>
          </cell>
          <cell r="AC852">
            <v>2628908</v>
          </cell>
        </row>
        <row r="853">
          <cell r="A853" t="str">
            <v>W</v>
          </cell>
          <cell r="Q853">
            <v>2814855</v>
          </cell>
          <cell r="R853">
            <v>12338000</v>
          </cell>
          <cell r="W853">
            <v>150</v>
          </cell>
          <cell r="AA853">
            <v>9300000</v>
          </cell>
          <cell r="AB853">
            <v>7353200</v>
          </cell>
          <cell r="AC853">
            <v>5747028</v>
          </cell>
        </row>
        <row r="854">
          <cell r="A854" t="str">
            <v>W</v>
          </cell>
          <cell r="Q854">
            <v>3013855</v>
          </cell>
          <cell r="R854">
            <v>13532000</v>
          </cell>
          <cell r="W854">
            <v>161</v>
          </cell>
          <cell r="AA854">
            <v>10948000</v>
          </cell>
          <cell r="AB854">
            <v>8300400</v>
          </cell>
          <cell r="AC854">
            <v>6656860</v>
          </cell>
        </row>
        <row r="855">
          <cell r="A855" t="str">
            <v>W</v>
          </cell>
          <cell r="Q855">
            <v>4452080</v>
          </cell>
          <cell r="R855">
            <v>20672000</v>
          </cell>
          <cell r="W855">
            <v>162</v>
          </cell>
          <cell r="AA855">
            <v>11016000</v>
          </cell>
          <cell r="AB855">
            <v>8426400</v>
          </cell>
          <cell r="AC855">
            <v>6551120</v>
          </cell>
        </row>
        <row r="856">
          <cell r="A856" t="str">
            <v>W</v>
          </cell>
          <cell r="Q856">
            <v>4821565</v>
          </cell>
          <cell r="R856">
            <v>23026000</v>
          </cell>
          <cell r="W856">
            <v>243</v>
          </cell>
          <cell r="AA856">
            <v>14094000</v>
          </cell>
          <cell r="AB856">
            <v>11385600</v>
          </cell>
          <cell r="AC856">
            <v>8799180</v>
          </cell>
        </row>
        <row r="857">
          <cell r="A857" t="str">
            <v>W</v>
          </cell>
          <cell r="Q857">
            <v>7161405</v>
          </cell>
          <cell r="R857">
            <v>28362000</v>
          </cell>
          <cell r="W857">
            <v>372</v>
          </cell>
          <cell r="AA857">
            <v>21576000</v>
          </cell>
          <cell r="AB857">
            <v>16567680</v>
          </cell>
          <cell r="AC857">
            <v>12990528</v>
          </cell>
        </row>
        <row r="858">
          <cell r="A858" t="str">
            <v>W</v>
          </cell>
          <cell r="Q858">
            <v>2217855</v>
          </cell>
          <cell r="R858">
            <v>11542000</v>
          </cell>
          <cell r="W858">
            <v>62</v>
          </cell>
          <cell r="AA858">
            <v>3596000</v>
          </cell>
          <cell r="AB858">
            <v>2791600</v>
          </cell>
          <cell r="AC858">
            <v>2186136</v>
          </cell>
        </row>
        <row r="859">
          <cell r="A859" t="str">
            <v>W</v>
          </cell>
          <cell r="Q859">
            <v>4662210</v>
          </cell>
          <cell r="R859">
            <v>20264000</v>
          </cell>
          <cell r="W859">
            <v>165</v>
          </cell>
          <cell r="AA859">
            <v>11220000</v>
          </cell>
          <cell r="AB859">
            <v>8713280</v>
          </cell>
          <cell r="AC859">
            <v>6963118</v>
          </cell>
        </row>
        <row r="860">
          <cell r="A860" t="str">
            <v>W</v>
          </cell>
          <cell r="Q860">
            <v>4215210</v>
          </cell>
          <cell r="R860">
            <v>20264000</v>
          </cell>
          <cell r="W860">
            <v>66</v>
          </cell>
          <cell r="AA860">
            <v>4488000</v>
          </cell>
          <cell r="AB860">
            <v>3460400</v>
          </cell>
          <cell r="AC860">
            <v>2717552</v>
          </cell>
        </row>
        <row r="861">
          <cell r="A861" t="str">
            <v>W</v>
          </cell>
          <cell r="Q861">
            <v>4186920</v>
          </cell>
          <cell r="R861">
            <v>20128000</v>
          </cell>
          <cell r="W861">
            <v>104</v>
          </cell>
          <cell r="AA861">
            <v>7072000</v>
          </cell>
          <cell r="AB861">
            <v>5362000</v>
          </cell>
          <cell r="AC861">
            <v>4338128</v>
          </cell>
        </row>
        <row r="862">
          <cell r="A862" t="str">
            <v>W</v>
          </cell>
          <cell r="Q862">
            <v>3470210</v>
          </cell>
          <cell r="R862">
            <v>17284000</v>
          </cell>
          <cell r="W862">
            <v>123</v>
          </cell>
          <cell r="AA862">
            <v>7134000</v>
          </cell>
          <cell r="AB862">
            <v>5592000</v>
          </cell>
          <cell r="AC862">
            <v>4366530</v>
          </cell>
        </row>
        <row r="863">
          <cell r="A863" t="str">
            <v>W</v>
          </cell>
          <cell r="Q863">
            <v>3214500</v>
          </cell>
          <cell r="R863">
            <v>13800000</v>
          </cell>
          <cell r="W863">
            <v>40</v>
          </cell>
          <cell r="AA863">
            <v>5520000</v>
          </cell>
          <cell r="AB863">
            <v>3937600</v>
          </cell>
          <cell r="AC863">
            <v>3062358</v>
          </cell>
        </row>
        <row r="864">
          <cell r="A864" t="str">
            <v>W</v>
          </cell>
          <cell r="Q864">
            <v>7192855</v>
          </cell>
          <cell r="R864">
            <v>29452000</v>
          </cell>
          <cell r="W864">
            <v>13</v>
          </cell>
          <cell r="AA864">
            <v>1924000</v>
          </cell>
          <cell r="AB864">
            <v>1450000</v>
          </cell>
          <cell r="AC864">
            <v>1095496</v>
          </cell>
        </row>
        <row r="865">
          <cell r="A865" t="str">
            <v>W</v>
          </cell>
          <cell r="Q865">
            <v>40627884</v>
          </cell>
          <cell r="R865">
            <v>159654000</v>
          </cell>
          <cell r="W865">
            <v>1395</v>
          </cell>
          <cell r="AA865">
            <v>82305000</v>
          </cell>
          <cell r="AB865">
            <v>54305475</v>
          </cell>
          <cell r="AC865">
            <v>41288947</v>
          </cell>
        </row>
        <row r="866">
          <cell r="A866" t="str">
            <v>W</v>
          </cell>
          <cell r="Q866">
            <v>141428664</v>
          </cell>
          <cell r="R866">
            <v>1089036000</v>
          </cell>
          <cell r="W866">
            <v>1318</v>
          </cell>
          <cell r="AA866">
            <v>471844000</v>
          </cell>
          <cell r="AB866">
            <v>171727050</v>
          </cell>
          <cell r="AC866">
            <v>131806446</v>
          </cell>
        </row>
        <row r="867">
          <cell r="A867" t="str">
            <v>W</v>
          </cell>
          <cell r="Q867">
            <v>68707557</v>
          </cell>
          <cell r="R867">
            <v>321657000</v>
          </cell>
          <cell r="W867">
            <v>794</v>
          </cell>
          <cell r="AA867">
            <v>94486000</v>
          </cell>
          <cell r="AB867">
            <v>54405185</v>
          </cell>
          <cell r="AC867">
            <v>40738484</v>
          </cell>
        </row>
        <row r="868">
          <cell r="A868" t="str">
            <v>W</v>
          </cell>
          <cell r="Q868">
            <v>27057064</v>
          </cell>
          <cell r="R868">
            <v>211344000</v>
          </cell>
          <cell r="W868">
            <v>640</v>
          </cell>
          <cell r="AA868">
            <v>107520000</v>
          </cell>
          <cell r="AB868">
            <v>49514040</v>
          </cell>
          <cell r="AC868">
            <v>38046368</v>
          </cell>
        </row>
        <row r="869">
          <cell r="A869" t="str">
            <v>W</v>
          </cell>
          <cell r="Q869">
            <v>9884478</v>
          </cell>
          <cell r="R869">
            <v>101388000</v>
          </cell>
          <cell r="W869">
            <v>168</v>
          </cell>
          <cell r="AA869">
            <v>39984000</v>
          </cell>
          <cell r="AB869">
            <v>18358200</v>
          </cell>
          <cell r="AC869">
            <v>13706956</v>
          </cell>
        </row>
        <row r="870">
          <cell r="A870" t="str">
            <v>W</v>
          </cell>
          <cell r="Q870">
            <v>25690752</v>
          </cell>
          <cell r="R870">
            <v>185832000</v>
          </cell>
          <cell r="W870">
            <v>491</v>
          </cell>
          <cell r="AA870">
            <v>87398000</v>
          </cell>
          <cell r="AB870">
            <v>40279948</v>
          </cell>
          <cell r="AC870">
            <v>31046516</v>
          </cell>
        </row>
        <row r="871">
          <cell r="A871" t="str">
            <v>W</v>
          </cell>
          <cell r="Q871">
            <v>8747484</v>
          </cell>
          <cell r="R871">
            <v>75828000</v>
          </cell>
          <cell r="W871">
            <v>150</v>
          </cell>
          <cell r="AA871">
            <v>26700000</v>
          </cell>
          <cell r="AB871">
            <v>12029500</v>
          </cell>
          <cell r="AC871">
            <v>9412017</v>
          </cell>
        </row>
        <row r="872">
          <cell r="A872" t="str">
            <v>W</v>
          </cell>
          <cell r="Q872">
            <v>11655231</v>
          </cell>
          <cell r="R872">
            <v>94326000</v>
          </cell>
          <cell r="W872">
            <v>244</v>
          </cell>
          <cell r="AA872">
            <v>38552000</v>
          </cell>
          <cell r="AB872">
            <v>17631300</v>
          </cell>
          <cell r="AC872">
            <v>13744341</v>
          </cell>
        </row>
        <row r="873">
          <cell r="A873" t="str">
            <v>W</v>
          </cell>
          <cell r="Q873">
            <v>14947744</v>
          </cell>
          <cell r="R873">
            <v>123872000</v>
          </cell>
          <cell r="W873">
            <v>384</v>
          </cell>
          <cell r="AA873">
            <v>60672000</v>
          </cell>
          <cell r="AB873">
            <v>28219500</v>
          </cell>
          <cell r="AC873">
            <v>21641023</v>
          </cell>
        </row>
        <row r="874">
          <cell r="A874" t="str">
            <v>W</v>
          </cell>
          <cell r="Q874">
            <v>16188795</v>
          </cell>
          <cell r="R874">
            <v>130536000</v>
          </cell>
          <cell r="W874">
            <v>77</v>
          </cell>
          <cell r="AA874">
            <v>12936000</v>
          </cell>
          <cell r="AB874">
            <v>5203000</v>
          </cell>
          <cell r="AC874">
            <v>3960713</v>
          </cell>
        </row>
        <row r="875">
          <cell r="A875" t="str">
            <v>W</v>
          </cell>
          <cell r="Q875">
            <v>13429632</v>
          </cell>
          <cell r="R875">
            <v>129888000</v>
          </cell>
          <cell r="W875">
            <v>169</v>
          </cell>
          <cell r="AA875">
            <v>33462000</v>
          </cell>
          <cell r="AB875">
            <v>15513445</v>
          </cell>
          <cell r="AC875">
            <v>11904790</v>
          </cell>
        </row>
        <row r="876">
          <cell r="A876" t="str">
            <v>W</v>
          </cell>
          <cell r="Q876">
            <v>4595130</v>
          </cell>
          <cell r="R876">
            <v>35990000</v>
          </cell>
          <cell r="W876">
            <v>93</v>
          </cell>
          <cell r="AA876">
            <v>10974000</v>
          </cell>
          <cell r="AB876">
            <v>5030000</v>
          </cell>
          <cell r="AC876">
            <v>4012207</v>
          </cell>
        </row>
        <row r="877">
          <cell r="A877" t="str">
            <v>W</v>
          </cell>
          <cell r="Q877">
            <v>12286656</v>
          </cell>
          <cell r="R877">
            <v>101772000</v>
          </cell>
          <cell r="W877">
            <v>60</v>
          </cell>
          <cell r="AA877">
            <v>11880000</v>
          </cell>
          <cell r="AB877">
            <v>5010000</v>
          </cell>
          <cell r="AC877">
            <v>3826530</v>
          </cell>
        </row>
        <row r="878">
          <cell r="A878" t="str">
            <v>W</v>
          </cell>
          <cell r="Q878">
            <v>19738176</v>
          </cell>
          <cell r="R878">
            <v>141828000</v>
          </cell>
          <cell r="W878">
            <v>14</v>
          </cell>
          <cell r="AA878">
            <v>4452000</v>
          </cell>
          <cell r="AB878">
            <v>1770100</v>
          </cell>
          <cell r="AC878">
            <v>1303827</v>
          </cell>
        </row>
        <row r="879">
          <cell r="A879" t="str">
            <v>W</v>
          </cell>
          <cell r="Q879">
            <v>37148000</v>
          </cell>
          <cell r="R879">
            <v>298690000</v>
          </cell>
          <cell r="W879">
            <v>516</v>
          </cell>
          <cell r="AA879">
            <v>122808000</v>
          </cell>
          <cell r="AB879">
            <v>50735345</v>
          </cell>
          <cell r="AC879">
            <v>38466817</v>
          </cell>
        </row>
        <row r="880">
          <cell r="A880" t="str">
            <v>W</v>
          </cell>
          <cell r="Q880">
            <v>13606232</v>
          </cell>
          <cell r="R880">
            <v>111888000</v>
          </cell>
          <cell r="W880">
            <v>143</v>
          </cell>
          <cell r="AA880">
            <v>54054000</v>
          </cell>
          <cell r="AB880">
            <v>25520700</v>
          </cell>
          <cell r="AC880">
            <v>19079267</v>
          </cell>
        </row>
        <row r="881">
          <cell r="A881" t="str">
            <v>W</v>
          </cell>
          <cell r="Q881">
            <v>61062989</v>
          </cell>
          <cell r="R881">
            <v>460486000</v>
          </cell>
          <cell r="W881">
            <v>312</v>
          </cell>
          <cell r="AA881">
            <v>124176000</v>
          </cell>
          <cell r="AB881">
            <v>56382950</v>
          </cell>
          <cell r="AC881">
            <v>42733061</v>
          </cell>
        </row>
        <row r="882">
          <cell r="A882" t="str">
            <v>W</v>
          </cell>
          <cell r="Q882">
            <v>20279052</v>
          </cell>
          <cell r="R882">
            <v>174276000</v>
          </cell>
          <cell r="W882">
            <v>159</v>
          </cell>
          <cell r="AA882">
            <v>29892000</v>
          </cell>
          <cell r="AB882">
            <v>13586600</v>
          </cell>
          <cell r="AC882">
            <v>10802292</v>
          </cell>
        </row>
        <row r="883">
          <cell r="A883" t="str">
            <v>W</v>
          </cell>
          <cell r="Q883">
            <v>11439216</v>
          </cell>
          <cell r="R883">
            <v>140896000</v>
          </cell>
          <cell r="W883">
            <v>235</v>
          </cell>
          <cell r="AA883">
            <v>55930000</v>
          </cell>
          <cell r="AB883">
            <v>25693350</v>
          </cell>
          <cell r="AC883">
            <v>19760367</v>
          </cell>
        </row>
        <row r="884">
          <cell r="A884" t="str">
            <v>W</v>
          </cell>
          <cell r="Q884">
            <v>30021006</v>
          </cell>
          <cell r="R884">
            <v>288932000</v>
          </cell>
          <cell r="W884">
            <v>302</v>
          </cell>
          <cell r="AA884">
            <v>71876000</v>
          </cell>
          <cell r="AB884">
            <v>33075300</v>
          </cell>
          <cell r="AC884">
            <v>25356818</v>
          </cell>
        </row>
        <row r="885">
          <cell r="A885" t="str">
            <v>W</v>
          </cell>
          <cell r="Q885">
            <v>14258901</v>
          </cell>
          <cell r="R885">
            <v>138402000</v>
          </cell>
          <cell r="W885">
            <v>303</v>
          </cell>
          <cell r="AA885">
            <v>59994000</v>
          </cell>
          <cell r="AB885">
            <v>27613650</v>
          </cell>
          <cell r="AC885">
            <v>21552449</v>
          </cell>
        </row>
        <row r="886">
          <cell r="A886" t="str">
            <v>W</v>
          </cell>
          <cell r="Q886">
            <v>84649873</v>
          </cell>
          <cell r="R886">
            <v>667222000</v>
          </cell>
          <cell r="W886">
            <v>1492</v>
          </cell>
          <cell r="AA886">
            <v>444616000</v>
          </cell>
          <cell r="AB886">
            <v>207299895</v>
          </cell>
          <cell r="AC886">
            <v>157526935</v>
          </cell>
        </row>
        <row r="887">
          <cell r="A887" t="str">
            <v>W</v>
          </cell>
          <cell r="Q887">
            <v>18496500</v>
          </cell>
          <cell r="R887">
            <v>149226000</v>
          </cell>
          <cell r="W887">
            <v>210</v>
          </cell>
          <cell r="AA887">
            <v>49980000</v>
          </cell>
          <cell r="AB887">
            <v>23168050</v>
          </cell>
          <cell r="AC887">
            <v>18150832</v>
          </cell>
        </row>
        <row r="888">
          <cell r="A888" t="str">
            <v>W</v>
          </cell>
          <cell r="Q888">
            <v>28356264</v>
          </cell>
          <cell r="R888">
            <v>206658000</v>
          </cell>
          <cell r="W888">
            <v>442</v>
          </cell>
          <cell r="AA888">
            <v>78676000</v>
          </cell>
          <cell r="AB888">
            <v>33425400</v>
          </cell>
          <cell r="AC888">
            <v>25605833</v>
          </cell>
        </row>
        <row r="889">
          <cell r="A889" t="str">
            <v>W</v>
          </cell>
          <cell r="Q889">
            <v>45574518</v>
          </cell>
          <cell r="R889">
            <v>319572000</v>
          </cell>
          <cell r="W889">
            <v>1316</v>
          </cell>
          <cell r="AA889">
            <v>260568000</v>
          </cell>
          <cell r="AB889">
            <v>111541250</v>
          </cell>
          <cell r="AC889">
            <v>86322094</v>
          </cell>
        </row>
        <row r="890">
          <cell r="A890" t="str">
            <v>V</v>
          </cell>
          <cell r="Q890">
            <v>31445272</v>
          </cell>
          <cell r="R890">
            <v>200616000</v>
          </cell>
          <cell r="W890">
            <v>1788</v>
          </cell>
          <cell r="AA890">
            <v>139464000</v>
          </cell>
          <cell r="AB890">
            <v>68065550</v>
          </cell>
          <cell r="AC890">
            <v>52257797</v>
          </cell>
        </row>
        <row r="891">
          <cell r="A891" t="str">
            <v>V</v>
          </cell>
          <cell r="Q891">
            <v>15990413</v>
          </cell>
          <cell r="R891">
            <v>129858000</v>
          </cell>
          <cell r="W891">
            <v>601</v>
          </cell>
          <cell r="AA891">
            <v>82938000</v>
          </cell>
          <cell r="AB891">
            <v>39992250</v>
          </cell>
          <cell r="AC891">
            <v>30923316</v>
          </cell>
        </row>
        <row r="892">
          <cell r="A892" t="str">
            <v>V</v>
          </cell>
          <cell r="Q892">
            <v>4903168</v>
          </cell>
          <cell r="R892">
            <v>45568000</v>
          </cell>
          <cell r="W892">
            <v>49</v>
          </cell>
          <cell r="AA892">
            <v>8722000</v>
          </cell>
          <cell r="AB892">
            <v>4110900</v>
          </cell>
          <cell r="AC892">
            <v>3229721</v>
          </cell>
        </row>
        <row r="893">
          <cell r="A893" t="str">
            <v>V</v>
          </cell>
          <cell r="Q893">
            <v>11887194</v>
          </cell>
          <cell r="R893">
            <v>96462000</v>
          </cell>
          <cell r="W893">
            <v>439</v>
          </cell>
          <cell r="AA893">
            <v>60582000</v>
          </cell>
          <cell r="AB893">
            <v>29290600</v>
          </cell>
          <cell r="AC893">
            <v>22798497</v>
          </cell>
        </row>
        <row r="894">
          <cell r="A894" t="str">
            <v>V</v>
          </cell>
          <cell r="Q894">
            <v>30330300</v>
          </cell>
          <cell r="R894">
            <v>239976000</v>
          </cell>
          <cell r="W894">
            <v>912</v>
          </cell>
          <cell r="AA894">
            <v>180576000</v>
          </cell>
          <cell r="AB894">
            <v>86957500</v>
          </cell>
          <cell r="AC894">
            <v>66394053</v>
          </cell>
        </row>
        <row r="895">
          <cell r="A895" t="str">
            <v>V</v>
          </cell>
          <cell r="Q895">
            <v>15956224</v>
          </cell>
          <cell r="R895">
            <v>125452000</v>
          </cell>
          <cell r="W895">
            <v>175</v>
          </cell>
          <cell r="AA895">
            <v>27650000</v>
          </cell>
          <cell r="AB895">
            <v>12672300</v>
          </cell>
          <cell r="AC895">
            <v>10148419</v>
          </cell>
        </row>
        <row r="896">
          <cell r="A896" t="str">
            <v>V</v>
          </cell>
          <cell r="Q896">
            <v>18849330</v>
          </cell>
          <cell r="R896">
            <v>173010000</v>
          </cell>
          <cell r="W896">
            <v>380</v>
          </cell>
          <cell r="AA896">
            <v>60040000</v>
          </cell>
          <cell r="AB896">
            <v>28623600</v>
          </cell>
          <cell r="AC896">
            <v>21705764</v>
          </cell>
        </row>
        <row r="897">
          <cell r="A897" t="str">
            <v>V</v>
          </cell>
          <cell r="Q897">
            <v>15893670</v>
          </cell>
          <cell r="R897">
            <v>131140000</v>
          </cell>
          <cell r="W897">
            <v>250</v>
          </cell>
          <cell r="AA897">
            <v>39500000</v>
          </cell>
          <cell r="AB897">
            <v>17730900</v>
          </cell>
          <cell r="AC897">
            <v>14551761</v>
          </cell>
        </row>
        <row r="898">
          <cell r="A898" t="str">
            <v>V</v>
          </cell>
          <cell r="Q898">
            <v>18606016</v>
          </cell>
          <cell r="R898">
            <v>185966000</v>
          </cell>
          <cell r="W898">
            <v>461</v>
          </cell>
          <cell r="AA898">
            <v>72838000</v>
          </cell>
          <cell r="AB898">
            <v>35178700</v>
          </cell>
          <cell r="AC898">
            <v>27447365</v>
          </cell>
        </row>
        <row r="899">
          <cell r="A899" t="str">
            <v>V</v>
          </cell>
          <cell r="Q899">
            <v>7123416</v>
          </cell>
          <cell r="R899">
            <v>57428000</v>
          </cell>
          <cell r="W899">
            <v>176</v>
          </cell>
          <cell r="AA899">
            <v>17248000</v>
          </cell>
          <cell r="AB899">
            <v>8405800</v>
          </cell>
          <cell r="AC899">
            <v>6379751</v>
          </cell>
        </row>
        <row r="900">
          <cell r="A900" t="str">
            <v>V</v>
          </cell>
          <cell r="Q900">
            <v>18774172</v>
          </cell>
          <cell r="R900">
            <v>155112000</v>
          </cell>
          <cell r="W900">
            <v>988</v>
          </cell>
          <cell r="AA900">
            <v>136344000</v>
          </cell>
          <cell r="AB900">
            <v>66618800</v>
          </cell>
          <cell r="AC900">
            <v>50567168</v>
          </cell>
        </row>
        <row r="901">
          <cell r="A901" t="str">
            <v>V</v>
          </cell>
          <cell r="Q901">
            <v>21396854</v>
          </cell>
          <cell r="R901">
            <v>164116000</v>
          </cell>
          <cell r="W901">
            <v>435</v>
          </cell>
          <cell r="AA901">
            <v>77430000</v>
          </cell>
          <cell r="AB901">
            <v>35109750</v>
          </cell>
          <cell r="AC901">
            <v>28638109</v>
          </cell>
        </row>
        <row r="902">
          <cell r="A902" t="str">
            <v>V</v>
          </cell>
          <cell r="Q902">
            <v>22430628</v>
          </cell>
          <cell r="R902">
            <v>168744000</v>
          </cell>
          <cell r="W902">
            <v>550</v>
          </cell>
          <cell r="AA902">
            <v>97900000</v>
          </cell>
          <cell r="AB902">
            <v>45949995</v>
          </cell>
          <cell r="AC902">
            <v>35770146</v>
          </cell>
        </row>
        <row r="903">
          <cell r="A903" t="str">
            <v>V</v>
          </cell>
          <cell r="Q903">
            <v>19238418</v>
          </cell>
          <cell r="R903">
            <v>158598000</v>
          </cell>
          <cell r="W903">
            <v>209</v>
          </cell>
          <cell r="AA903">
            <v>41382000</v>
          </cell>
          <cell r="AB903">
            <v>18225900</v>
          </cell>
          <cell r="AC903">
            <v>15111756</v>
          </cell>
        </row>
        <row r="904">
          <cell r="A904" t="str">
            <v>V</v>
          </cell>
          <cell r="Q904">
            <v>13196351</v>
          </cell>
          <cell r="R904">
            <v>139794000</v>
          </cell>
          <cell r="W904">
            <v>809</v>
          </cell>
          <cell r="AA904">
            <v>111642000</v>
          </cell>
          <cell r="AB904">
            <v>53578400</v>
          </cell>
          <cell r="AC904">
            <v>41386181</v>
          </cell>
        </row>
        <row r="905">
          <cell r="A905" t="str">
            <v>V</v>
          </cell>
          <cell r="Q905">
            <v>21165000</v>
          </cell>
          <cell r="R905">
            <v>199920000</v>
          </cell>
          <cell r="W905">
            <v>1189</v>
          </cell>
          <cell r="AA905">
            <v>116522000</v>
          </cell>
          <cell r="AB905">
            <v>55157150</v>
          </cell>
          <cell r="AC905">
            <v>42409500</v>
          </cell>
        </row>
        <row r="906">
          <cell r="A906" t="str">
            <v>V</v>
          </cell>
          <cell r="Q906">
            <v>18390348</v>
          </cell>
          <cell r="R906">
            <v>133668000</v>
          </cell>
          <cell r="W906">
            <v>531</v>
          </cell>
          <cell r="AA906">
            <v>83898000</v>
          </cell>
          <cell r="AB906">
            <v>39723100</v>
          </cell>
          <cell r="AC906">
            <v>30738466</v>
          </cell>
        </row>
        <row r="907">
          <cell r="A907" t="str">
            <v>V</v>
          </cell>
          <cell r="Q907">
            <v>55248409</v>
          </cell>
          <cell r="R907">
            <v>388766000</v>
          </cell>
          <cell r="W907">
            <v>2196</v>
          </cell>
          <cell r="AA907">
            <v>215208000</v>
          </cell>
          <cell r="AB907">
            <v>80798570</v>
          </cell>
          <cell r="AC907">
            <v>68262718</v>
          </cell>
        </row>
        <row r="908">
          <cell r="A908" t="str">
            <v>V</v>
          </cell>
          <cell r="Q908">
            <v>23997147</v>
          </cell>
          <cell r="R908">
            <v>172578000</v>
          </cell>
          <cell r="W908">
            <v>1265</v>
          </cell>
          <cell r="AA908">
            <v>123970000</v>
          </cell>
          <cell r="AB908">
            <v>54664750</v>
          </cell>
          <cell r="AC908">
            <v>45126632</v>
          </cell>
        </row>
        <row r="909">
          <cell r="A909" t="str">
            <v>V</v>
          </cell>
          <cell r="Q909">
            <v>27696630</v>
          </cell>
          <cell r="R909">
            <v>217516000</v>
          </cell>
          <cell r="W909">
            <v>673</v>
          </cell>
          <cell r="AA909">
            <v>119794000</v>
          </cell>
          <cell r="AB909">
            <v>55647900</v>
          </cell>
          <cell r="AC909">
            <v>43603993</v>
          </cell>
        </row>
        <row r="910">
          <cell r="A910" t="str">
            <v>V</v>
          </cell>
          <cell r="Q910">
            <v>35828072</v>
          </cell>
          <cell r="R910">
            <v>277858000</v>
          </cell>
          <cell r="W910">
            <v>933</v>
          </cell>
          <cell r="AA910">
            <v>166074000</v>
          </cell>
          <cell r="AB910">
            <v>78178365</v>
          </cell>
          <cell r="AC910">
            <v>60952366</v>
          </cell>
        </row>
        <row r="911">
          <cell r="A911" t="str">
            <v>V</v>
          </cell>
          <cell r="Q911">
            <v>22366848</v>
          </cell>
          <cell r="R911">
            <v>159488000</v>
          </cell>
          <cell r="W911">
            <v>194</v>
          </cell>
          <cell r="AA911">
            <v>34532000</v>
          </cell>
          <cell r="AB911">
            <v>16501100</v>
          </cell>
          <cell r="AC911">
            <v>12570391</v>
          </cell>
        </row>
        <row r="912">
          <cell r="A912" t="str">
            <v>V</v>
          </cell>
          <cell r="Q912">
            <v>19287072</v>
          </cell>
          <cell r="R912">
            <v>136512000</v>
          </cell>
          <cell r="W912">
            <v>181</v>
          </cell>
          <cell r="AA912">
            <v>28598000</v>
          </cell>
          <cell r="AB912">
            <v>13781850</v>
          </cell>
          <cell r="AC912">
            <v>10725593</v>
          </cell>
        </row>
        <row r="913">
          <cell r="A913" t="str">
            <v>V</v>
          </cell>
          <cell r="Q913">
            <v>19969380</v>
          </cell>
          <cell r="R913">
            <v>169290000</v>
          </cell>
          <cell r="W913">
            <v>732</v>
          </cell>
          <cell r="AA913">
            <v>144936000</v>
          </cell>
          <cell r="AB913">
            <v>69080045</v>
          </cell>
          <cell r="AC913">
            <v>53409574</v>
          </cell>
        </row>
        <row r="914">
          <cell r="A914" t="str">
            <v>V</v>
          </cell>
          <cell r="Q914">
            <v>20566223</v>
          </cell>
          <cell r="R914">
            <v>196218000</v>
          </cell>
          <cell r="W914">
            <v>441</v>
          </cell>
          <cell r="AA914">
            <v>87318000</v>
          </cell>
          <cell r="AB914">
            <v>41811900</v>
          </cell>
          <cell r="AC914">
            <v>32670058</v>
          </cell>
        </row>
        <row r="915">
          <cell r="A915" t="str">
            <v>V</v>
          </cell>
          <cell r="Q915">
            <v>38951880</v>
          </cell>
          <cell r="R915">
            <v>281336000</v>
          </cell>
          <cell r="W915">
            <v>611</v>
          </cell>
          <cell r="AA915">
            <v>169858000</v>
          </cell>
          <cell r="AB915">
            <v>79513100</v>
          </cell>
          <cell r="AC915">
            <v>61517856</v>
          </cell>
        </row>
        <row r="916">
          <cell r="A916" t="str">
            <v>V</v>
          </cell>
          <cell r="Q916">
            <v>18821420</v>
          </cell>
          <cell r="R916">
            <v>157608000</v>
          </cell>
          <cell r="W916">
            <v>220</v>
          </cell>
          <cell r="AA916">
            <v>43560000</v>
          </cell>
          <cell r="AB916">
            <v>20350250</v>
          </cell>
          <cell r="AC916">
            <v>15853959</v>
          </cell>
        </row>
        <row r="917">
          <cell r="A917" t="str">
            <v>V</v>
          </cell>
          <cell r="Q917">
            <v>47772144</v>
          </cell>
          <cell r="R917">
            <v>320712000</v>
          </cell>
          <cell r="W917">
            <v>1063</v>
          </cell>
          <cell r="AA917">
            <v>146694000</v>
          </cell>
          <cell r="AB917">
            <v>68738390</v>
          </cell>
          <cell r="AC917">
            <v>53214672</v>
          </cell>
        </row>
        <row r="918">
          <cell r="A918" t="str">
            <v>V</v>
          </cell>
          <cell r="Q918">
            <v>39998242</v>
          </cell>
          <cell r="R918">
            <v>283732000</v>
          </cell>
          <cell r="W918">
            <v>842</v>
          </cell>
          <cell r="AA918">
            <v>149876000</v>
          </cell>
          <cell r="AB918">
            <v>69446770</v>
          </cell>
          <cell r="AC918">
            <v>54281857</v>
          </cell>
        </row>
        <row r="919">
          <cell r="A919" t="str">
            <v>V</v>
          </cell>
          <cell r="Q919">
            <v>30337083</v>
          </cell>
          <cell r="R919">
            <v>215226000</v>
          </cell>
          <cell r="W919">
            <v>320</v>
          </cell>
          <cell r="AA919">
            <v>63360000</v>
          </cell>
          <cell r="AB919">
            <v>29174650</v>
          </cell>
          <cell r="AC919">
            <v>22782029</v>
          </cell>
        </row>
        <row r="920">
          <cell r="A920" t="str">
            <v>V</v>
          </cell>
          <cell r="Q920">
            <v>16269888</v>
          </cell>
          <cell r="R920">
            <v>127664000</v>
          </cell>
          <cell r="W920">
            <v>169</v>
          </cell>
          <cell r="AA920">
            <v>26702000</v>
          </cell>
          <cell r="AB920">
            <v>12447100</v>
          </cell>
          <cell r="AC920">
            <v>9667072</v>
          </cell>
        </row>
        <row r="921">
          <cell r="A921" t="str">
            <v>V</v>
          </cell>
          <cell r="Q921">
            <v>8881218</v>
          </cell>
          <cell r="R921">
            <v>77262000</v>
          </cell>
          <cell r="W921">
            <v>100</v>
          </cell>
          <cell r="AA921">
            <v>15800000</v>
          </cell>
          <cell r="AB921">
            <v>7484600</v>
          </cell>
          <cell r="AC921">
            <v>5681127</v>
          </cell>
        </row>
        <row r="922">
          <cell r="A922" t="str">
            <v>V</v>
          </cell>
          <cell r="Q922">
            <v>13067668</v>
          </cell>
          <cell r="R922">
            <v>98968000</v>
          </cell>
          <cell r="W922">
            <v>215</v>
          </cell>
          <cell r="AA922">
            <v>38270000</v>
          </cell>
          <cell r="AB922">
            <v>17845500</v>
          </cell>
          <cell r="AC922">
            <v>13905654</v>
          </cell>
        </row>
        <row r="923">
          <cell r="A923" t="str">
            <v>V</v>
          </cell>
          <cell r="Q923">
            <v>14511498</v>
          </cell>
          <cell r="R923">
            <v>113444000</v>
          </cell>
          <cell r="W923">
            <v>626</v>
          </cell>
          <cell r="AA923">
            <v>98908000</v>
          </cell>
          <cell r="AB923">
            <v>46501350</v>
          </cell>
          <cell r="AC923">
            <v>36362801</v>
          </cell>
        </row>
        <row r="924">
          <cell r="A924" t="str">
            <v>V</v>
          </cell>
          <cell r="Q924">
            <v>11882112</v>
          </cell>
          <cell r="R924">
            <v>123888000</v>
          </cell>
          <cell r="W924">
            <v>157</v>
          </cell>
          <cell r="AA924">
            <v>27946000</v>
          </cell>
          <cell r="AB924">
            <v>12792050</v>
          </cell>
          <cell r="AC924">
            <v>9833299</v>
          </cell>
        </row>
        <row r="925">
          <cell r="A925" t="str">
            <v>V</v>
          </cell>
          <cell r="Q925">
            <v>2949450</v>
          </cell>
          <cell r="R925">
            <v>26700000</v>
          </cell>
          <cell r="W925">
            <v>150</v>
          </cell>
          <cell r="AA925">
            <v>26700000</v>
          </cell>
          <cell r="AB925">
            <v>12789900</v>
          </cell>
          <cell r="AC925">
            <v>9934714</v>
          </cell>
        </row>
        <row r="926">
          <cell r="A926" t="str">
            <v>V</v>
          </cell>
          <cell r="Q926">
            <v>8745116</v>
          </cell>
          <cell r="R926">
            <v>70666000</v>
          </cell>
          <cell r="W926">
            <v>87</v>
          </cell>
          <cell r="AA926">
            <v>15486000</v>
          </cell>
          <cell r="AB926">
            <v>7305295</v>
          </cell>
          <cell r="AC926">
            <v>5607401</v>
          </cell>
        </row>
        <row r="927">
          <cell r="A927" t="str">
            <v>V</v>
          </cell>
          <cell r="Q927">
            <v>10347432</v>
          </cell>
          <cell r="R927">
            <v>96744000</v>
          </cell>
          <cell r="W927">
            <v>80</v>
          </cell>
          <cell r="AA927">
            <v>22240000</v>
          </cell>
          <cell r="AB927">
            <v>10258100</v>
          </cell>
          <cell r="AC927">
            <v>7983187</v>
          </cell>
        </row>
        <row r="928">
          <cell r="A928" t="str">
            <v>V</v>
          </cell>
          <cell r="Q928">
            <v>9918750</v>
          </cell>
          <cell r="R928">
            <v>89010000</v>
          </cell>
          <cell r="W928">
            <v>45</v>
          </cell>
          <cell r="AA928">
            <v>11610000</v>
          </cell>
          <cell r="AB928">
            <v>5095000</v>
          </cell>
          <cell r="AC928">
            <v>4272996</v>
          </cell>
        </row>
        <row r="929">
          <cell r="A929" t="str">
            <v>V</v>
          </cell>
          <cell r="Q929">
            <v>48949175</v>
          </cell>
          <cell r="R929">
            <v>357302000</v>
          </cell>
          <cell r="W929">
            <v>221</v>
          </cell>
          <cell r="AA929">
            <v>65858000</v>
          </cell>
          <cell r="AB929">
            <v>30090150</v>
          </cell>
          <cell r="AC929">
            <v>23742480</v>
          </cell>
        </row>
        <row r="930">
          <cell r="A930" t="str">
            <v>V</v>
          </cell>
          <cell r="Q930">
            <v>26116438</v>
          </cell>
          <cell r="R930">
            <v>200554000</v>
          </cell>
          <cell r="W930">
            <v>116</v>
          </cell>
          <cell r="AA930">
            <v>34568000</v>
          </cell>
          <cell r="AB930">
            <v>15977395</v>
          </cell>
          <cell r="AC930">
            <v>12262529</v>
          </cell>
        </row>
        <row r="931">
          <cell r="A931" t="str">
            <v>V</v>
          </cell>
          <cell r="Q931">
            <v>30332360</v>
          </cell>
          <cell r="R931">
            <v>272080000</v>
          </cell>
          <cell r="W931">
            <v>157</v>
          </cell>
          <cell r="AA931">
            <v>56206000</v>
          </cell>
          <cell r="AB931">
            <v>26083200</v>
          </cell>
          <cell r="AC931">
            <v>19812257</v>
          </cell>
        </row>
        <row r="932">
          <cell r="A932" t="str">
            <v>V</v>
          </cell>
          <cell r="Q932">
            <v>15276230</v>
          </cell>
          <cell r="R932">
            <v>115290000</v>
          </cell>
          <cell r="W932">
            <v>71</v>
          </cell>
          <cell r="AA932">
            <v>26838000</v>
          </cell>
          <cell r="AB932">
            <v>12185200</v>
          </cell>
          <cell r="AC932">
            <v>9343782</v>
          </cell>
        </row>
        <row r="933">
          <cell r="A933" t="str">
            <v>V</v>
          </cell>
          <cell r="Q933">
            <v>39005180</v>
          </cell>
          <cell r="R933">
            <v>317206000</v>
          </cell>
          <cell r="W933">
            <v>223</v>
          </cell>
          <cell r="AA933">
            <v>88754000</v>
          </cell>
          <cell r="AB933">
            <v>41286345</v>
          </cell>
          <cell r="AC933">
            <v>31260820</v>
          </cell>
        </row>
        <row r="934">
          <cell r="A934" t="str">
            <v>V</v>
          </cell>
          <cell r="Q934">
            <v>19893555</v>
          </cell>
          <cell r="R934">
            <v>177210000</v>
          </cell>
          <cell r="W934">
            <v>160</v>
          </cell>
          <cell r="AA934">
            <v>57280000</v>
          </cell>
          <cell r="AB934">
            <v>26595850</v>
          </cell>
          <cell r="AC934">
            <v>19994748</v>
          </cell>
        </row>
        <row r="935">
          <cell r="A935" t="str">
            <v>V</v>
          </cell>
          <cell r="Q935">
            <v>20318155</v>
          </cell>
          <cell r="R935">
            <v>184470000</v>
          </cell>
          <cell r="W935">
            <v>202</v>
          </cell>
          <cell r="AA935">
            <v>52116000</v>
          </cell>
          <cell r="AB935">
            <v>24124300</v>
          </cell>
          <cell r="AC935">
            <v>18992283</v>
          </cell>
        </row>
        <row r="936">
          <cell r="A936" t="str">
            <v>V</v>
          </cell>
          <cell r="Q936">
            <v>15921693</v>
          </cell>
          <cell r="R936">
            <v>124266000</v>
          </cell>
          <cell r="W936">
            <v>250</v>
          </cell>
          <cell r="AA936">
            <v>69500000</v>
          </cell>
          <cell r="AB936">
            <v>31695600</v>
          </cell>
          <cell r="AC936">
            <v>24744016</v>
          </cell>
        </row>
        <row r="937">
          <cell r="A937" t="str">
            <v>V</v>
          </cell>
          <cell r="Q937">
            <v>12663861</v>
          </cell>
          <cell r="R937">
            <v>92106000</v>
          </cell>
          <cell r="W937">
            <v>216</v>
          </cell>
          <cell r="AA937">
            <v>55728000</v>
          </cell>
          <cell r="AB937">
            <v>26974700</v>
          </cell>
          <cell r="AC937">
            <v>20999136</v>
          </cell>
        </row>
        <row r="938">
          <cell r="A938" t="str">
            <v>V</v>
          </cell>
          <cell r="Q938">
            <v>15048048</v>
          </cell>
          <cell r="R938">
            <v>123432000</v>
          </cell>
          <cell r="W938">
            <v>128</v>
          </cell>
          <cell r="AA938">
            <v>35584000</v>
          </cell>
          <cell r="AB938">
            <v>16311300</v>
          </cell>
          <cell r="AC938">
            <v>13011095</v>
          </cell>
        </row>
        <row r="939">
          <cell r="A939" t="str">
            <v>V</v>
          </cell>
          <cell r="Q939">
            <v>27893264</v>
          </cell>
          <cell r="R939">
            <v>201824000</v>
          </cell>
          <cell r="W939">
            <v>523</v>
          </cell>
          <cell r="AA939">
            <v>124474000</v>
          </cell>
          <cell r="AB939">
            <v>58646070</v>
          </cell>
          <cell r="AC939">
            <v>45568432</v>
          </cell>
        </row>
        <row r="940">
          <cell r="A940" t="str">
            <v>V</v>
          </cell>
          <cell r="Q940">
            <v>40640037</v>
          </cell>
          <cell r="R940">
            <v>271782000</v>
          </cell>
          <cell r="W940">
            <v>157</v>
          </cell>
          <cell r="AA940">
            <v>59346000</v>
          </cell>
          <cell r="AB940">
            <v>28438100</v>
          </cell>
          <cell r="AC940">
            <v>21562443</v>
          </cell>
        </row>
        <row r="941">
          <cell r="A941" t="str">
            <v>V</v>
          </cell>
          <cell r="Q941">
            <v>7908144</v>
          </cell>
          <cell r="R941">
            <v>105056000</v>
          </cell>
          <cell r="W941">
            <v>313</v>
          </cell>
          <cell r="AA941">
            <v>30674000</v>
          </cell>
          <cell r="AB941">
            <v>13347900</v>
          </cell>
          <cell r="AC941">
            <v>11000951</v>
          </cell>
        </row>
        <row r="942">
          <cell r="A942" t="str">
            <v>V</v>
          </cell>
          <cell r="Q942">
            <v>17275776</v>
          </cell>
          <cell r="R942">
            <v>152832000</v>
          </cell>
          <cell r="W942">
            <v>280</v>
          </cell>
          <cell r="AA942">
            <v>111440000</v>
          </cell>
          <cell r="AB942">
            <v>54313150</v>
          </cell>
          <cell r="AC942">
            <v>41458267</v>
          </cell>
        </row>
        <row r="943">
          <cell r="A943" t="str">
            <v>V</v>
          </cell>
          <cell r="Q943">
            <v>8840637</v>
          </cell>
          <cell r="R943">
            <v>84334000</v>
          </cell>
          <cell r="W943">
            <v>209</v>
          </cell>
          <cell r="AA943">
            <v>62282000</v>
          </cell>
          <cell r="AB943">
            <v>29803000</v>
          </cell>
          <cell r="AC943">
            <v>22714752</v>
          </cell>
        </row>
        <row r="944">
          <cell r="A944" t="str">
            <v>V</v>
          </cell>
          <cell r="Q944">
            <v>45336388</v>
          </cell>
          <cell r="R944">
            <v>342248000</v>
          </cell>
          <cell r="W944">
            <v>706</v>
          </cell>
          <cell r="AA944">
            <v>252748000</v>
          </cell>
          <cell r="AB944">
            <v>121563545</v>
          </cell>
          <cell r="AC944">
            <v>93210607</v>
          </cell>
        </row>
        <row r="945">
          <cell r="A945" t="str">
            <v>V</v>
          </cell>
          <cell r="Q945">
            <v>22016032</v>
          </cell>
          <cell r="R945">
            <v>158006000</v>
          </cell>
          <cell r="W945">
            <v>146</v>
          </cell>
          <cell r="AA945">
            <v>58108000</v>
          </cell>
          <cell r="AB945">
            <v>26928900</v>
          </cell>
          <cell r="AC945">
            <v>20881369</v>
          </cell>
        </row>
        <row r="946">
          <cell r="A946" t="str">
            <v>V</v>
          </cell>
          <cell r="Q946">
            <v>35465593</v>
          </cell>
          <cell r="R946">
            <v>284022000</v>
          </cell>
          <cell r="W946">
            <v>124</v>
          </cell>
          <cell r="AA946">
            <v>69192000</v>
          </cell>
          <cell r="AB946">
            <v>32574200</v>
          </cell>
          <cell r="AC946">
            <v>25095492</v>
          </cell>
        </row>
        <row r="947">
          <cell r="A947" t="str">
            <v>V</v>
          </cell>
          <cell r="Q947">
            <v>20335282</v>
          </cell>
          <cell r="R947">
            <v>166364000</v>
          </cell>
          <cell r="W947">
            <v>169</v>
          </cell>
          <cell r="AA947">
            <v>67262000</v>
          </cell>
          <cell r="AB947">
            <v>31915250</v>
          </cell>
          <cell r="AC947">
            <v>23821594</v>
          </cell>
        </row>
        <row r="948">
          <cell r="A948" t="str">
            <v>V</v>
          </cell>
          <cell r="Q948">
            <v>38895464</v>
          </cell>
          <cell r="R948">
            <v>294412000</v>
          </cell>
          <cell r="W948">
            <v>696</v>
          </cell>
          <cell r="AA948">
            <v>123888000</v>
          </cell>
          <cell r="AB948">
            <v>55759150</v>
          </cell>
          <cell r="AC948">
            <v>43057682</v>
          </cell>
        </row>
        <row r="949">
          <cell r="A949" t="str">
            <v>V</v>
          </cell>
          <cell r="Q949">
            <v>28561056</v>
          </cell>
          <cell r="R949">
            <v>239424000</v>
          </cell>
          <cell r="W949">
            <v>489</v>
          </cell>
          <cell r="AA949">
            <v>126162000</v>
          </cell>
          <cell r="AB949">
            <v>62019095</v>
          </cell>
          <cell r="AC949">
            <v>47752936</v>
          </cell>
        </row>
        <row r="950">
          <cell r="A950" t="str">
            <v>V</v>
          </cell>
          <cell r="Q950">
            <v>8451592</v>
          </cell>
          <cell r="R950">
            <v>78864000</v>
          </cell>
          <cell r="W950">
            <v>161</v>
          </cell>
          <cell r="AA950">
            <v>51198000</v>
          </cell>
          <cell r="AB950">
            <v>24915900</v>
          </cell>
          <cell r="AC950">
            <v>18616038</v>
          </cell>
        </row>
        <row r="951">
          <cell r="A951" t="str">
            <v>V</v>
          </cell>
          <cell r="Q951">
            <v>29202884</v>
          </cell>
          <cell r="R951">
            <v>250618000</v>
          </cell>
          <cell r="W951">
            <v>271</v>
          </cell>
          <cell r="AA951">
            <v>80758000</v>
          </cell>
          <cell r="AB951">
            <v>39554500</v>
          </cell>
          <cell r="AC951">
            <v>30510581</v>
          </cell>
        </row>
        <row r="952">
          <cell r="A952" t="str">
            <v>V</v>
          </cell>
          <cell r="Q952">
            <v>35285544</v>
          </cell>
          <cell r="R952">
            <v>300888000</v>
          </cell>
          <cell r="W952">
            <v>301</v>
          </cell>
          <cell r="AA952">
            <v>119798000</v>
          </cell>
          <cell r="AB952">
            <v>58191200</v>
          </cell>
          <cell r="AC952">
            <v>44698783</v>
          </cell>
        </row>
        <row r="953">
          <cell r="A953" t="str">
            <v>V</v>
          </cell>
          <cell r="Q953">
            <v>41930595</v>
          </cell>
          <cell r="R953">
            <v>338310000</v>
          </cell>
          <cell r="W953">
            <v>479</v>
          </cell>
          <cell r="AA953">
            <v>171482000</v>
          </cell>
          <cell r="AB953">
            <v>81336900</v>
          </cell>
          <cell r="AC953">
            <v>62977660</v>
          </cell>
        </row>
        <row r="954">
          <cell r="A954" t="str">
            <v>V</v>
          </cell>
          <cell r="Q954">
            <v>47560963</v>
          </cell>
          <cell r="R954">
            <v>374518000</v>
          </cell>
          <cell r="W954">
            <v>316</v>
          </cell>
          <cell r="AA954">
            <v>125768000</v>
          </cell>
          <cell r="AB954">
            <v>55941500</v>
          </cell>
          <cell r="AC954">
            <v>41524335</v>
          </cell>
        </row>
        <row r="955">
          <cell r="A955" t="str">
            <v>V</v>
          </cell>
          <cell r="Q955">
            <v>112830057</v>
          </cell>
          <cell r="R955">
            <v>933378000</v>
          </cell>
          <cell r="W955">
            <v>238</v>
          </cell>
          <cell r="AA955">
            <v>104244000</v>
          </cell>
          <cell r="AB955">
            <v>46047060</v>
          </cell>
          <cell r="AC955">
            <v>35323233</v>
          </cell>
        </row>
        <row r="956">
          <cell r="A956" t="str">
            <v>V</v>
          </cell>
          <cell r="Q956">
            <v>57417236</v>
          </cell>
          <cell r="R956">
            <v>527324000</v>
          </cell>
          <cell r="W956">
            <v>166</v>
          </cell>
          <cell r="AA956">
            <v>85988000</v>
          </cell>
          <cell r="AB956">
            <v>38890380</v>
          </cell>
          <cell r="AC956">
            <v>29120302</v>
          </cell>
        </row>
        <row r="957">
          <cell r="A957" t="str">
            <v>V</v>
          </cell>
          <cell r="Q957">
            <v>45862375</v>
          </cell>
          <cell r="R957">
            <v>449230000</v>
          </cell>
          <cell r="W957">
            <v>81</v>
          </cell>
          <cell r="AA957">
            <v>43578000</v>
          </cell>
          <cell r="AB957">
            <v>19821550</v>
          </cell>
          <cell r="AC957">
            <v>15231722</v>
          </cell>
        </row>
        <row r="958">
          <cell r="A958" t="str">
            <v>V</v>
          </cell>
          <cell r="Q958">
            <v>121653030</v>
          </cell>
          <cell r="R958">
            <v>1030782000</v>
          </cell>
          <cell r="W958">
            <v>1717</v>
          </cell>
          <cell r="AA958">
            <v>511666000</v>
          </cell>
          <cell r="AB958">
            <v>242648735</v>
          </cell>
          <cell r="AC958">
            <v>186329366</v>
          </cell>
        </row>
        <row r="959">
          <cell r="A959" t="str">
            <v>V</v>
          </cell>
          <cell r="Q959">
            <v>71283402</v>
          </cell>
          <cell r="R959">
            <v>695628000</v>
          </cell>
          <cell r="W959">
            <v>150</v>
          </cell>
          <cell r="AA959">
            <v>101700000</v>
          </cell>
          <cell r="AB959">
            <v>44801600</v>
          </cell>
          <cell r="AC959">
            <v>34063737</v>
          </cell>
        </row>
        <row r="960">
          <cell r="A960" t="str">
            <v>V</v>
          </cell>
          <cell r="Q960">
            <v>43123200</v>
          </cell>
          <cell r="R960">
            <v>420480000</v>
          </cell>
          <cell r="W960">
            <v>238</v>
          </cell>
          <cell r="AA960">
            <v>104244000</v>
          </cell>
          <cell r="AB960">
            <v>49625795</v>
          </cell>
          <cell r="AC960">
            <v>38181610</v>
          </cell>
        </row>
        <row r="961">
          <cell r="A961" t="str">
            <v>V</v>
          </cell>
          <cell r="Q961">
            <v>60538720</v>
          </cell>
          <cell r="R961">
            <v>500320000</v>
          </cell>
          <cell r="W961">
            <v>135</v>
          </cell>
          <cell r="AA961">
            <v>159300000</v>
          </cell>
          <cell r="AB961">
            <v>74329000</v>
          </cell>
          <cell r="AC961">
            <v>55572690</v>
          </cell>
        </row>
        <row r="962">
          <cell r="A962" t="str">
            <v>V</v>
          </cell>
          <cell r="Q962">
            <v>51017150</v>
          </cell>
          <cell r="R962">
            <v>387030000</v>
          </cell>
          <cell r="W962">
            <v>210</v>
          </cell>
          <cell r="AA962">
            <v>167580000</v>
          </cell>
          <cell r="AB962">
            <v>78171400</v>
          </cell>
          <cell r="AC962">
            <v>58634447</v>
          </cell>
        </row>
        <row r="963">
          <cell r="A963" t="str">
            <v>V</v>
          </cell>
          <cell r="Q963">
            <v>44389737</v>
          </cell>
          <cell r="R963">
            <v>347634000</v>
          </cell>
          <cell r="W963">
            <v>1154</v>
          </cell>
          <cell r="AA963">
            <v>205412000</v>
          </cell>
          <cell r="AB963">
            <v>98518950</v>
          </cell>
          <cell r="AC963">
            <v>76049833</v>
          </cell>
        </row>
        <row r="964">
          <cell r="A964" t="str">
            <v>V</v>
          </cell>
          <cell r="Q964">
            <v>21570682</v>
          </cell>
          <cell r="R964">
            <v>161756000</v>
          </cell>
          <cell r="W964">
            <v>384</v>
          </cell>
          <cell r="AA964">
            <v>83712000</v>
          </cell>
          <cell r="AB964">
            <v>40190000</v>
          </cell>
          <cell r="AC964">
            <v>30874359</v>
          </cell>
        </row>
        <row r="965">
          <cell r="A965" t="str">
            <v>V</v>
          </cell>
          <cell r="Q965">
            <v>10404768</v>
          </cell>
          <cell r="R965">
            <v>111864000</v>
          </cell>
          <cell r="W965">
            <v>481</v>
          </cell>
          <cell r="AA965">
            <v>75998000</v>
          </cell>
          <cell r="AB965">
            <v>36875100</v>
          </cell>
          <cell r="AC965">
            <v>28512522</v>
          </cell>
        </row>
        <row r="966">
          <cell r="A966" t="str">
            <v>V</v>
          </cell>
          <cell r="Q966">
            <v>23402354</v>
          </cell>
          <cell r="R966">
            <v>181382000</v>
          </cell>
          <cell r="W966">
            <v>676</v>
          </cell>
          <cell r="AA966">
            <v>120328000</v>
          </cell>
          <cell r="AB966">
            <v>58226550</v>
          </cell>
          <cell r="AC966">
            <v>44686544</v>
          </cell>
        </row>
        <row r="967">
          <cell r="A967" t="str">
            <v>V</v>
          </cell>
          <cell r="Q967">
            <v>18565794</v>
          </cell>
          <cell r="R967">
            <v>169812000</v>
          </cell>
          <cell r="W967">
            <v>250</v>
          </cell>
          <cell r="AA967">
            <v>44500000</v>
          </cell>
          <cell r="AB967">
            <v>21261950</v>
          </cell>
          <cell r="AC967">
            <v>16263415</v>
          </cell>
        </row>
        <row r="968">
          <cell r="A968" t="str">
            <v>V</v>
          </cell>
          <cell r="Q968">
            <v>13993660</v>
          </cell>
          <cell r="R968">
            <v>114840000</v>
          </cell>
          <cell r="W968">
            <v>272</v>
          </cell>
          <cell r="AA968">
            <v>53856000</v>
          </cell>
          <cell r="AB968">
            <v>25970900</v>
          </cell>
          <cell r="AC968">
            <v>19964538</v>
          </cell>
        </row>
        <row r="969">
          <cell r="A969" t="str">
            <v>V</v>
          </cell>
          <cell r="Q969">
            <v>30489008</v>
          </cell>
          <cell r="R969">
            <v>280126000</v>
          </cell>
          <cell r="W969">
            <v>713</v>
          </cell>
          <cell r="AA969">
            <v>169694000</v>
          </cell>
          <cell r="AB969">
            <v>81503100</v>
          </cell>
          <cell r="AC969">
            <v>62651120</v>
          </cell>
        </row>
        <row r="970">
          <cell r="A970" t="str">
            <v>V</v>
          </cell>
          <cell r="Q970">
            <v>32085118</v>
          </cell>
          <cell r="R970">
            <v>265122000</v>
          </cell>
          <cell r="W970">
            <v>805</v>
          </cell>
          <cell r="AA970">
            <v>159390000</v>
          </cell>
          <cell r="AB970">
            <v>76630800</v>
          </cell>
          <cell r="AC970">
            <v>58592111</v>
          </cell>
        </row>
        <row r="971">
          <cell r="A971" t="str">
            <v>V</v>
          </cell>
          <cell r="Q971">
            <v>91198542</v>
          </cell>
          <cell r="R971">
            <v>643218000</v>
          </cell>
          <cell r="W971">
            <v>2440</v>
          </cell>
          <cell r="AA971">
            <v>385520000</v>
          </cell>
          <cell r="AB971">
            <v>179525740</v>
          </cell>
          <cell r="AC971">
            <v>141040462</v>
          </cell>
        </row>
        <row r="972">
          <cell r="A972" t="str">
            <v>V</v>
          </cell>
          <cell r="Q972">
            <v>41659470</v>
          </cell>
          <cell r="R972">
            <v>359964000</v>
          </cell>
          <cell r="W972">
            <v>966</v>
          </cell>
          <cell r="AA972">
            <v>191268000</v>
          </cell>
          <cell r="AB972">
            <v>87332345</v>
          </cell>
          <cell r="AC972">
            <v>68962326</v>
          </cell>
        </row>
        <row r="973">
          <cell r="A973" t="str">
            <v>V</v>
          </cell>
          <cell r="Q973">
            <v>34515882</v>
          </cell>
          <cell r="R973">
            <v>279378000</v>
          </cell>
          <cell r="W973">
            <v>981</v>
          </cell>
          <cell r="AA973">
            <v>194238000</v>
          </cell>
          <cell r="AB973">
            <v>89901200</v>
          </cell>
          <cell r="AC973">
            <v>69967139</v>
          </cell>
        </row>
        <row r="974">
          <cell r="A974" t="str">
            <v>V</v>
          </cell>
          <cell r="Q974">
            <v>26925500</v>
          </cell>
          <cell r="R974">
            <v>261562000</v>
          </cell>
          <cell r="W974">
            <v>543</v>
          </cell>
          <cell r="AA974">
            <v>129234000</v>
          </cell>
          <cell r="AB974">
            <v>58598635</v>
          </cell>
          <cell r="AC974">
            <v>45840079</v>
          </cell>
        </row>
        <row r="975">
          <cell r="A975" t="str">
            <v>V</v>
          </cell>
          <cell r="Q975">
            <v>13651470</v>
          </cell>
          <cell r="R975">
            <v>132246000</v>
          </cell>
          <cell r="W975">
            <v>348</v>
          </cell>
          <cell r="AA975">
            <v>54984000</v>
          </cell>
          <cell r="AB975">
            <v>25416100</v>
          </cell>
          <cell r="AC975">
            <v>19939793</v>
          </cell>
        </row>
        <row r="976">
          <cell r="A976" t="str">
            <v>V</v>
          </cell>
          <cell r="Q976">
            <v>31807272</v>
          </cell>
          <cell r="R976">
            <v>276612000</v>
          </cell>
          <cell r="W976">
            <v>235</v>
          </cell>
          <cell r="AA976">
            <v>41830000</v>
          </cell>
          <cell r="AB976">
            <v>19515300</v>
          </cell>
          <cell r="AC976">
            <v>15093065</v>
          </cell>
        </row>
        <row r="977">
          <cell r="A977" t="str">
            <v>V</v>
          </cell>
          <cell r="Q977">
            <v>31184450</v>
          </cell>
          <cell r="R977">
            <v>245322000</v>
          </cell>
          <cell r="W977">
            <v>149</v>
          </cell>
          <cell r="AA977">
            <v>56322000</v>
          </cell>
          <cell r="AB977">
            <v>25847000</v>
          </cell>
          <cell r="AC977">
            <v>19733963</v>
          </cell>
        </row>
        <row r="978">
          <cell r="A978" t="str">
            <v>V</v>
          </cell>
          <cell r="Q978">
            <v>26852796</v>
          </cell>
          <cell r="R978">
            <v>244926000</v>
          </cell>
          <cell r="W978">
            <v>423</v>
          </cell>
          <cell r="AA978">
            <v>83754000</v>
          </cell>
          <cell r="AB978">
            <v>38737950</v>
          </cell>
          <cell r="AC978">
            <v>30369240</v>
          </cell>
        </row>
        <row r="979">
          <cell r="A979" t="str">
            <v>V</v>
          </cell>
          <cell r="Q979">
            <v>15059296</v>
          </cell>
          <cell r="R979">
            <v>140392000</v>
          </cell>
          <cell r="W979">
            <v>662</v>
          </cell>
          <cell r="AA979">
            <v>144316000</v>
          </cell>
          <cell r="AB979">
            <v>68140000</v>
          </cell>
          <cell r="AC979">
            <v>53219250</v>
          </cell>
        </row>
        <row r="980">
          <cell r="A980" t="str">
            <v>V</v>
          </cell>
          <cell r="Q980">
            <v>19720000</v>
          </cell>
          <cell r="R980">
            <v>148240000</v>
          </cell>
          <cell r="W980">
            <v>501</v>
          </cell>
          <cell r="AA980">
            <v>109218000</v>
          </cell>
          <cell r="AB980">
            <v>50562750</v>
          </cell>
          <cell r="AC980">
            <v>39568581</v>
          </cell>
        </row>
        <row r="981">
          <cell r="A981" t="str">
            <v>V</v>
          </cell>
          <cell r="Q981">
            <v>16680177</v>
          </cell>
          <cell r="R981">
            <v>145842000</v>
          </cell>
          <cell r="W981">
            <v>281</v>
          </cell>
          <cell r="AA981">
            <v>61258000</v>
          </cell>
          <cell r="AB981">
            <v>28598000</v>
          </cell>
          <cell r="AC981">
            <v>22461794</v>
          </cell>
        </row>
        <row r="982">
          <cell r="A982" t="str">
            <v>V</v>
          </cell>
          <cell r="Q982">
            <v>22261307</v>
          </cell>
          <cell r="R982">
            <v>191466000</v>
          </cell>
          <cell r="W982">
            <v>466</v>
          </cell>
          <cell r="AA982">
            <v>92268000</v>
          </cell>
          <cell r="AB982">
            <v>43042000</v>
          </cell>
          <cell r="AC982">
            <v>33294344</v>
          </cell>
        </row>
        <row r="983">
          <cell r="A983" t="str">
            <v>V</v>
          </cell>
          <cell r="Q983">
            <v>42269205</v>
          </cell>
          <cell r="R983">
            <v>363902000</v>
          </cell>
          <cell r="W983">
            <v>646</v>
          </cell>
          <cell r="AA983">
            <v>153748000</v>
          </cell>
          <cell r="AB983">
            <v>70248845</v>
          </cell>
          <cell r="AC983">
            <v>54637331</v>
          </cell>
        </row>
        <row r="984">
          <cell r="A984" t="str">
            <v>V</v>
          </cell>
          <cell r="Q984">
            <v>21456387</v>
          </cell>
          <cell r="R984">
            <v>190638000</v>
          </cell>
          <cell r="W984">
            <v>352</v>
          </cell>
          <cell r="AA984">
            <v>83776000</v>
          </cell>
          <cell r="AB984">
            <v>38125945</v>
          </cell>
          <cell r="AC984">
            <v>30066838</v>
          </cell>
        </row>
        <row r="985">
          <cell r="A985" t="str">
            <v>V</v>
          </cell>
          <cell r="Q985">
            <v>6939790</v>
          </cell>
          <cell r="R985">
            <v>58236000</v>
          </cell>
          <cell r="W985">
            <v>164</v>
          </cell>
          <cell r="AA985">
            <v>22632000</v>
          </cell>
          <cell r="AB985">
            <v>10637350</v>
          </cell>
          <cell r="AC985">
            <v>8261819</v>
          </cell>
        </row>
        <row r="986">
          <cell r="A986" t="str">
            <v>V</v>
          </cell>
          <cell r="Q986">
            <v>6077200</v>
          </cell>
          <cell r="R986">
            <v>55200000</v>
          </cell>
          <cell r="W986">
            <v>200</v>
          </cell>
          <cell r="AA986">
            <v>27600000</v>
          </cell>
          <cell r="AB986">
            <v>13347250</v>
          </cell>
          <cell r="AC986">
            <v>9988475</v>
          </cell>
        </row>
        <row r="987">
          <cell r="A987" t="str">
            <v>V</v>
          </cell>
          <cell r="Q987">
            <v>7479864</v>
          </cell>
          <cell r="R987">
            <v>57424000</v>
          </cell>
          <cell r="W987">
            <v>298</v>
          </cell>
          <cell r="AA987">
            <v>44104000</v>
          </cell>
          <cell r="AB987">
            <v>20916600</v>
          </cell>
          <cell r="AC987">
            <v>15986516</v>
          </cell>
        </row>
        <row r="988">
          <cell r="A988" t="str">
            <v>V</v>
          </cell>
          <cell r="Q988">
            <v>8144864</v>
          </cell>
          <cell r="R988">
            <v>65728000</v>
          </cell>
          <cell r="W988">
            <v>198</v>
          </cell>
          <cell r="AA988">
            <v>31284000</v>
          </cell>
          <cell r="AB988">
            <v>14955995</v>
          </cell>
          <cell r="AC988">
            <v>11369384</v>
          </cell>
        </row>
        <row r="989">
          <cell r="A989" t="str">
            <v>V</v>
          </cell>
          <cell r="Q989">
            <v>7717819</v>
          </cell>
          <cell r="R989">
            <v>57038000</v>
          </cell>
          <cell r="W989">
            <v>205</v>
          </cell>
          <cell r="AA989">
            <v>32390000</v>
          </cell>
          <cell r="AB989">
            <v>15058250</v>
          </cell>
          <cell r="AC989">
            <v>11657438</v>
          </cell>
        </row>
        <row r="990">
          <cell r="A990" t="str">
            <v>V</v>
          </cell>
          <cell r="Q990">
            <v>5949072</v>
          </cell>
          <cell r="R990">
            <v>59616000</v>
          </cell>
          <cell r="W990">
            <v>316</v>
          </cell>
          <cell r="AA990">
            <v>43608000</v>
          </cell>
          <cell r="AB990">
            <v>21633440</v>
          </cell>
          <cell r="AC990">
            <v>16763243</v>
          </cell>
        </row>
        <row r="991">
          <cell r="A991" t="str">
            <v>V</v>
          </cell>
          <cell r="Q991">
            <v>4231716</v>
          </cell>
          <cell r="R991">
            <v>38364000</v>
          </cell>
          <cell r="W991">
            <v>169</v>
          </cell>
          <cell r="AA991">
            <v>23322000</v>
          </cell>
          <cell r="AB991">
            <v>11363200</v>
          </cell>
          <cell r="AC991">
            <v>8708835</v>
          </cell>
        </row>
        <row r="992">
          <cell r="A992" t="str">
            <v>V</v>
          </cell>
          <cell r="Q992">
            <v>5937112</v>
          </cell>
          <cell r="R992">
            <v>49612000</v>
          </cell>
          <cell r="W992">
            <v>97</v>
          </cell>
          <cell r="AA992">
            <v>15326000</v>
          </cell>
          <cell r="AB992">
            <v>7142400</v>
          </cell>
          <cell r="AC992">
            <v>5569026</v>
          </cell>
        </row>
        <row r="993">
          <cell r="A993" t="str">
            <v>V</v>
          </cell>
          <cell r="Q993">
            <v>8882730</v>
          </cell>
          <cell r="R993">
            <v>66192000</v>
          </cell>
          <cell r="W993">
            <v>156</v>
          </cell>
          <cell r="AA993">
            <v>26208000</v>
          </cell>
          <cell r="AB993">
            <v>12236000</v>
          </cell>
          <cell r="AC993">
            <v>9474276</v>
          </cell>
        </row>
        <row r="994">
          <cell r="A994" t="str">
            <v>V</v>
          </cell>
          <cell r="Q994">
            <v>13441582</v>
          </cell>
          <cell r="R994">
            <v>87024000</v>
          </cell>
          <cell r="W994">
            <v>206</v>
          </cell>
          <cell r="AA994">
            <v>34608000</v>
          </cell>
          <cell r="AB994">
            <v>16252000</v>
          </cell>
          <cell r="AC994">
            <v>12478956</v>
          </cell>
        </row>
        <row r="995">
          <cell r="A995" t="str">
            <v>V</v>
          </cell>
          <cell r="Q995">
            <v>18089045</v>
          </cell>
          <cell r="R995">
            <v>163930000</v>
          </cell>
          <cell r="W995">
            <v>311</v>
          </cell>
          <cell r="AA995">
            <v>105118000</v>
          </cell>
          <cell r="AB995">
            <v>51206900</v>
          </cell>
          <cell r="AC995">
            <v>39141330</v>
          </cell>
        </row>
        <row r="996">
          <cell r="A996" t="str">
            <v>V</v>
          </cell>
          <cell r="Q996">
            <v>24103530</v>
          </cell>
          <cell r="R996">
            <v>187110000</v>
          </cell>
          <cell r="W996">
            <v>310</v>
          </cell>
          <cell r="AA996">
            <v>117180000</v>
          </cell>
          <cell r="AB996">
            <v>55576700</v>
          </cell>
          <cell r="AC996">
            <v>42165900</v>
          </cell>
        </row>
        <row r="997">
          <cell r="A997" t="str">
            <v>V</v>
          </cell>
          <cell r="Q997">
            <v>16468266</v>
          </cell>
          <cell r="R997">
            <v>126564000</v>
          </cell>
          <cell r="W997">
            <v>138</v>
          </cell>
          <cell r="AA997">
            <v>54924000</v>
          </cell>
          <cell r="AB997">
            <v>26223900</v>
          </cell>
          <cell r="AC997">
            <v>20208450</v>
          </cell>
        </row>
        <row r="998">
          <cell r="A998" t="str">
            <v>V</v>
          </cell>
          <cell r="Q998">
            <v>21907276</v>
          </cell>
          <cell r="R998">
            <v>188696000</v>
          </cell>
          <cell r="W998">
            <v>361</v>
          </cell>
          <cell r="AA998">
            <v>165338000</v>
          </cell>
          <cell r="AB998">
            <v>80370845</v>
          </cell>
          <cell r="AC998">
            <v>61223322</v>
          </cell>
        </row>
        <row r="999">
          <cell r="A999" t="str">
            <v>V</v>
          </cell>
          <cell r="Q999">
            <v>18059914</v>
          </cell>
          <cell r="R999">
            <v>178294000</v>
          </cell>
          <cell r="W999">
            <v>164</v>
          </cell>
          <cell r="AA999">
            <v>78392000</v>
          </cell>
          <cell r="AB999">
            <v>37286600</v>
          </cell>
          <cell r="AC999">
            <v>28291147</v>
          </cell>
        </row>
        <row r="1000">
          <cell r="A1000" t="str">
            <v>V</v>
          </cell>
          <cell r="Q1000">
            <v>18873900</v>
          </cell>
          <cell r="R1000">
            <v>155874000</v>
          </cell>
          <cell r="W1000">
            <v>134</v>
          </cell>
          <cell r="AA1000">
            <v>66732000</v>
          </cell>
          <cell r="AB1000">
            <v>31603050</v>
          </cell>
          <cell r="AC1000">
            <v>23726837</v>
          </cell>
        </row>
        <row r="1001">
          <cell r="A1001" t="str">
            <v>V</v>
          </cell>
          <cell r="Q1001">
            <v>26139270</v>
          </cell>
          <cell r="R1001">
            <v>192510000</v>
          </cell>
          <cell r="W1001">
            <v>47</v>
          </cell>
          <cell r="AA1001">
            <v>26226000</v>
          </cell>
          <cell r="AB1001">
            <v>12548700</v>
          </cell>
          <cell r="AC1001">
            <v>9420435</v>
          </cell>
        </row>
        <row r="1002">
          <cell r="A1002" t="str">
            <v>V</v>
          </cell>
          <cell r="Q1002">
            <v>21307050</v>
          </cell>
          <cell r="R1002">
            <v>209790000</v>
          </cell>
          <cell r="W1002">
            <v>282</v>
          </cell>
          <cell r="AA1002">
            <v>146076000</v>
          </cell>
          <cell r="AB1002">
            <v>68683960</v>
          </cell>
          <cell r="AC1002">
            <v>52780833</v>
          </cell>
        </row>
        <row r="1003">
          <cell r="A1003" t="str">
            <v>V</v>
          </cell>
          <cell r="Q1003">
            <v>13606736</v>
          </cell>
          <cell r="R1003">
            <v>124564000</v>
          </cell>
          <cell r="W1003">
            <v>223</v>
          </cell>
          <cell r="AA1003">
            <v>66454000</v>
          </cell>
          <cell r="AB1003">
            <v>31321000</v>
          </cell>
          <cell r="AC1003">
            <v>24226804</v>
          </cell>
        </row>
        <row r="1004">
          <cell r="A1004" t="str">
            <v>V</v>
          </cell>
          <cell r="Q1004">
            <v>11048535</v>
          </cell>
          <cell r="R1004">
            <v>109366000</v>
          </cell>
          <cell r="W1004">
            <v>91</v>
          </cell>
          <cell r="AA1004">
            <v>27118000</v>
          </cell>
          <cell r="AB1004">
            <v>12682350</v>
          </cell>
          <cell r="AC1004">
            <v>9893302</v>
          </cell>
        </row>
        <row r="1005">
          <cell r="A1005" t="str">
            <v>V</v>
          </cell>
          <cell r="Q1005">
            <v>26938340</v>
          </cell>
          <cell r="R1005">
            <v>193908000</v>
          </cell>
          <cell r="W1005">
            <v>35</v>
          </cell>
          <cell r="AA1005">
            <v>23730000</v>
          </cell>
          <cell r="AB1005">
            <v>11022600</v>
          </cell>
          <cell r="AC1005">
            <v>8328213</v>
          </cell>
        </row>
        <row r="1006">
          <cell r="A1006" t="str">
            <v>V</v>
          </cell>
          <cell r="Q1006">
            <v>24410848</v>
          </cell>
          <cell r="R1006">
            <v>210496000</v>
          </cell>
          <cell r="W1006">
            <v>140</v>
          </cell>
          <cell r="AA1006">
            <v>83720000</v>
          </cell>
          <cell r="AB1006">
            <v>36895000</v>
          </cell>
          <cell r="AC1006">
            <v>28312011</v>
          </cell>
        </row>
        <row r="1007">
          <cell r="A1007" t="str">
            <v>V</v>
          </cell>
          <cell r="Q1007">
            <v>60309480</v>
          </cell>
          <cell r="R1007">
            <v>552552000</v>
          </cell>
          <cell r="W1007">
            <v>114</v>
          </cell>
          <cell r="AA1007">
            <v>68172000</v>
          </cell>
          <cell r="AB1007">
            <v>30486200</v>
          </cell>
          <cell r="AC1007">
            <v>23318263</v>
          </cell>
        </row>
        <row r="1008">
          <cell r="A1008" t="str">
            <v>V</v>
          </cell>
          <cell r="Q1008">
            <v>50893020</v>
          </cell>
          <cell r="R1008">
            <v>494190000</v>
          </cell>
          <cell r="W1008">
            <v>53</v>
          </cell>
          <cell r="AA1008">
            <v>30634000</v>
          </cell>
          <cell r="AB1008">
            <v>13772100</v>
          </cell>
          <cell r="AC1008">
            <v>10532027</v>
          </cell>
        </row>
        <row r="1009">
          <cell r="A1009" t="str">
            <v>V</v>
          </cell>
          <cell r="Q1009">
            <v>98127286</v>
          </cell>
          <cell r="R1009">
            <v>735764000</v>
          </cell>
          <cell r="W1009">
            <v>198</v>
          </cell>
          <cell r="AA1009">
            <v>173844000</v>
          </cell>
          <cell r="AB1009">
            <v>76756190</v>
          </cell>
          <cell r="AC1009">
            <v>57664977</v>
          </cell>
        </row>
        <row r="1010">
          <cell r="A1010" t="str">
            <v>V</v>
          </cell>
          <cell r="Q1010">
            <v>55932842</v>
          </cell>
          <cell r="R1010">
            <v>514740000</v>
          </cell>
          <cell r="W1010">
            <v>88</v>
          </cell>
          <cell r="AA1010">
            <v>121440000</v>
          </cell>
          <cell r="AB1010">
            <v>57489000</v>
          </cell>
          <cell r="AC1010">
            <v>43182615</v>
          </cell>
        </row>
        <row r="1011">
          <cell r="A1011" t="str">
            <v>V</v>
          </cell>
          <cell r="Q1011">
            <v>62868436</v>
          </cell>
          <cell r="R1011">
            <v>584924000</v>
          </cell>
          <cell r="W1011">
            <v>289</v>
          </cell>
          <cell r="AA1011">
            <v>201722000</v>
          </cell>
          <cell r="AB1011">
            <v>89242340</v>
          </cell>
          <cell r="AC1011">
            <v>66979049</v>
          </cell>
        </row>
        <row r="1012">
          <cell r="A1012" t="str">
            <v>V</v>
          </cell>
          <cell r="Q1012">
            <v>8137492</v>
          </cell>
          <cell r="R1012">
            <v>70334000</v>
          </cell>
          <cell r="W1012">
            <v>66</v>
          </cell>
          <cell r="AA1012">
            <v>18348000</v>
          </cell>
          <cell r="AB1012">
            <v>8796350</v>
          </cell>
          <cell r="AC1012">
            <v>6764922</v>
          </cell>
        </row>
        <row r="1013">
          <cell r="A1013" t="str">
            <v>V</v>
          </cell>
          <cell r="Q1013">
            <v>40637276</v>
          </cell>
          <cell r="R1013">
            <v>279976000</v>
          </cell>
          <cell r="W1013">
            <v>1153</v>
          </cell>
          <cell r="AA1013">
            <v>182174000</v>
          </cell>
          <cell r="AB1013">
            <v>85323090</v>
          </cell>
          <cell r="AC1013">
            <v>66418313</v>
          </cell>
        </row>
        <row r="1014">
          <cell r="A1014" t="str">
            <v>V</v>
          </cell>
          <cell r="Q1014">
            <v>16490411</v>
          </cell>
          <cell r="R1014">
            <v>124046000</v>
          </cell>
          <cell r="W1014">
            <v>81</v>
          </cell>
          <cell r="AA1014">
            <v>27378000</v>
          </cell>
          <cell r="AB1014">
            <v>12624540</v>
          </cell>
          <cell r="AC1014">
            <v>9968803</v>
          </cell>
        </row>
        <row r="1015">
          <cell r="A1015" t="str">
            <v>V</v>
          </cell>
          <cell r="Q1015">
            <v>2060223</v>
          </cell>
          <cell r="R1015">
            <v>11622000</v>
          </cell>
          <cell r="W1015">
            <v>43</v>
          </cell>
          <cell r="AA1015">
            <v>3354000</v>
          </cell>
          <cell r="AB1015">
            <v>2553200</v>
          </cell>
          <cell r="AC1015">
            <v>1927536</v>
          </cell>
        </row>
        <row r="1016">
          <cell r="A1016" t="str">
            <v>V</v>
          </cell>
          <cell r="Q1016">
            <v>2074050</v>
          </cell>
          <cell r="R1016">
            <v>11700000</v>
          </cell>
          <cell r="W1016">
            <v>63</v>
          </cell>
          <cell r="AA1016">
            <v>4914000</v>
          </cell>
          <cell r="AB1016">
            <v>3681200</v>
          </cell>
          <cell r="AC1016">
            <v>2847936</v>
          </cell>
        </row>
        <row r="1017">
          <cell r="A1017" t="str">
            <v>V</v>
          </cell>
          <cell r="Q1017">
            <v>2897286</v>
          </cell>
          <cell r="R1017">
            <v>11514000</v>
          </cell>
          <cell r="W1017">
            <v>102</v>
          </cell>
          <cell r="AA1017">
            <v>3876000</v>
          </cell>
          <cell r="AB1017">
            <v>3056400</v>
          </cell>
          <cell r="AC1017">
            <v>2343992</v>
          </cell>
        </row>
        <row r="1018">
          <cell r="A1018" t="str">
            <v>V</v>
          </cell>
          <cell r="Q1018">
            <v>3338100</v>
          </cell>
          <cell r="R1018">
            <v>16200000</v>
          </cell>
          <cell r="W1018">
            <v>179</v>
          </cell>
          <cell r="AA1018">
            <v>9666000</v>
          </cell>
          <cell r="AB1018">
            <v>7528400</v>
          </cell>
          <cell r="AC1018">
            <v>5733180</v>
          </cell>
        </row>
        <row r="1019">
          <cell r="A1019" t="str">
            <v>V</v>
          </cell>
          <cell r="Q1019">
            <v>1669050</v>
          </cell>
          <cell r="R1019">
            <v>8100000</v>
          </cell>
          <cell r="W1019">
            <v>112</v>
          </cell>
          <cell r="AA1019">
            <v>6048000</v>
          </cell>
          <cell r="AB1019">
            <v>4696800</v>
          </cell>
          <cell r="AC1019">
            <v>3651804</v>
          </cell>
        </row>
        <row r="1020">
          <cell r="A1020" t="str">
            <v>V</v>
          </cell>
          <cell r="Q1020">
            <v>3528957</v>
          </cell>
          <cell r="R1020">
            <v>16878000</v>
          </cell>
          <cell r="W1020">
            <v>32</v>
          </cell>
          <cell r="AA1020">
            <v>1856000</v>
          </cell>
          <cell r="AB1020">
            <v>1484800</v>
          </cell>
          <cell r="AC1020">
            <v>1088080</v>
          </cell>
        </row>
        <row r="1021">
          <cell r="A1021" t="str">
            <v>V</v>
          </cell>
          <cell r="Q1021">
            <v>3453219</v>
          </cell>
          <cell r="R1021">
            <v>17226000</v>
          </cell>
          <cell r="W1021">
            <v>130</v>
          </cell>
          <cell r="AA1021">
            <v>7540000</v>
          </cell>
          <cell r="AB1021">
            <v>5863000</v>
          </cell>
          <cell r="AC1021">
            <v>4476208</v>
          </cell>
        </row>
        <row r="1022">
          <cell r="A1022" t="str">
            <v>V</v>
          </cell>
          <cell r="Q1022">
            <v>4406292</v>
          </cell>
          <cell r="R1022">
            <v>22968000</v>
          </cell>
          <cell r="W1022">
            <v>212</v>
          </cell>
          <cell r="AA1022">
            <v>12296000</v>
          </cell>
          <cell r="AB1022">
            <v>9637000</v>
          </cell>
          <cell r="AC1022">
            <v>7325400</v>
          </cell>
        </row>
        <row r="1023">
          <cell r="A1023" t="str">
            <v>V</v>
          </cell>
          <cell r="Q1023">
            <v>3524196</v>
          </cell>
          <cell r="R1023">
            <v>20184000</v>
          </cell>
          <cell r="W1023">
            <v>103</v>
          </cell>
          <cell r="AA1023">
            <v>5974000</v>
          </cell>
          <cell r="AB1023">
            <v>4619200</v>
          </cell>
          <cell r="AC1023">
            <v>3502968</v>
          </cell>
        </row>
        <row r="1024">
          <cell r="A1024" t="str">
            <v>V</v>
          </cell>
          <cell r="Q1024">
            <v>4232323</v>
          </cell>
          <cell r="R1024">
            <v>18846000</v>
          </cell>
          <cell r="W1024">
            <v>70</v>
          </cell>
          <cell r="AA1024">
            <v>3780000</v>
          </cell>
          <cell r="AB1024">
            <v>2954800</v>
          </cell>
          <cell r="AC1024">
            <v>2260116</v>
          </cell>
        </row>
        <row r="1025">
          <cell r="A1025" t="str">
            <v>V</v>
          </cell>
          <cell r="Q1025">
            <v>5461665</v>
          </cell>
          <cell r="R1025">
            <v>26860000</v>
          </cell>
          <cell r="W1025">
            <v>175</v>
          </cell>
          <cell r="AA1025">
            <v>11900000</v>
          </cell>
          <cell r="AB1025">
            <v>9187200</v>
          </cell>
          <cell r="AC1025">
            <v>7082744</v>
          </cell>
        </row>
        <row r="1026">
          <cell r="A1026" t="str">
            <v>V</v>
          </cell>
          <cell r="Q1026">
            <v>2783019</v>
          </cell>
          <cell r="R1026">
            <v>11426000</v>
          </cell>
          <cell r="W1026">
            <v>98</v>
          </cell>
          <cell r="AA1026">
            <v>5684000</v>
          </cell>
          <cell r="AB1026">
            <v>4467200</v>
          </cell>
          <cell r="AC1026">
            <v>3471416</v>
          </cell>
        </row>
        <row r="1027">
          <cell r="A1027" t="str">
            <v>V</v>
          </cell>
          <cell r="Q1027">
            <v>5224546</v>
          </cell>
          <cell r="R1027">
            <v>23084000</v>
          </cell>
          <cell r="W1027">
            <v>351</v>
          </cell>
          <cell r="AA1027">
            <v>20358000</v>
          </cell>
          <cell r="AB1027">
            <v>16159600</v>
          </cell>
          <cell r="AC1027">
            <v>12203722</v>
          </cell>
        </row>
        <row r="1028">
          <cell r="A1028" t="str">
            <v>V</v>
          </cell>
          <cell r="Q1028">
            <v>3781750</v>
          </cell>
          <cell r="R1028">
            <v>18000000</v>
          </cell>
          <cell r="W1028">
            <v>102</v>
          </cell>
          <cell r="AA1028">
            <v>7344000</v>
          </cell>
          <cell r="AB1028">
            <v>5745200</v>
          </cell>
          <cell r="AC1028">
            <v>4421232</v>
          </cell>
        </row>
        <row r="1029">
          <cell r="A1029" t="str">
            <v>V</v>
          </cell>
          <cell r="Q1029">
            <v>1806923</v>
          </cell>
          <cell r="R1029">
            <v>8642000</v>
          </cell>
          <cell r="W1029">
            <v>119</v>
          </cell>
          <cell r="AA1029">
            <v>6902000</v>
          </cell>
          <cell r="AB1029">
            <v>5521600</v>
          </cell>
          <cell r="AC1029">
            <v>4142128</v>
          </cell>
        </row>
        <row r="1030">
          <cell r="A1030" t="str">
            <v>V</v>
          </cell>
          <cell r="Q1030">
            <v>7000896</v>
          </cell>
          <cell r="R1030">
            <v>32256000</v>
          </cell>
          <cell r="W1030">
            <v>356</v>
          </cell>
          <cell r="AA1030">
            <v>25632000</v>
          </cell>
          <cell r="AB1030">
            <v>19919600</v>
          </cell>
          <cell r="AC1030">
            <v>15347952</v>
          </cell>
        </row>
        <row r="1031">
          <cell r="A1031" t="str">
            <v>V</v>
          </cell>
          <cell r="Q1031">
            <v>8549769</v>
          </cell>
          <cell r="R1031">
            <v>34866000</v>
          </cell>
          <cell r="W1031">
            <v>215</v>
          </cell>
          <cell r="AA1031">
            <v>16770000</v>
          </cell>
          <cell r="AB1031">
            <v>13144000</v>
          </cell>
          <cell r="AC1031">
            <v>10205208</v>
          </cell>
        </row>
        <row r="1032">
          <cell r="A1032" t="str">
            <v>V</v>
          </cell>
          <cell r="Q1032">
            <v>5252846</v>
          </cell>
          <cell r="R1032">
            <v>23244000</v>
          </cell>
          <cell r="W1032">
            <v>168</v>
          </cell>
          <cell r="AA1032">
            <v>13104000</v>
          </cell>
          <cell r="AB1032">
            <v>9963200</v>
          </cell>
          <cell r="AC1032">
            <v>7920120</v>
          </cell>
        </row>
        <row r="1033">
          <cell r="A1033" t="str">
            <v>V</v>
          </cell>
          <cell r="Q1033">
            <v>3193146</v>
          </cell>
          <cell r="R1033">
            <v>13464000</v>
          </cell>
          <cell r="W1033">
            <v>73</v>
          </cell>
          <cell r="AA1033">
            <v>4964000</v>
          </cell>
          <cell r="AB1033">
            <v>3823600</v>
          </cell>
          <cell r="AC1033">
            <v>3010836</v>
          </cell>
        </row>
        <row r="1034">
          <cell r="A1034" t="str">
            <v>V</v>
          </cell>
          <cell r="Q1034">
            <v>3330942</v>
          </cell>
          <cell r="R1034">
            <v>20068000</v>
          </cell>
          <cell r="W1034">
            <v>163</v>
          </cell>
          <cell r="AA1034">
            <v>9454000</v>
          </cell>
          <cell r="AB1034">
            <v>7353200</v>
          </cell>
          <cell r="AC1034">
            <v>5666484</v>
          </cell>
        </row>
        <row r="1035">
          <cell r="A1035" t="str">
            <v>V</v>
          </cell>
          <cell r="Q1035">
            <v>846400</v>
          </cell>
          <cell r="R1035">
            <v>4761000</v>
          </cell>
          <cell r="W1035">
            <v>149</v>
          </cell>
          <cell r="AA1035">
            <v>1341000</v>
          </cell>
          <cell r="AB1035">
            <v>1072800</v>
          </cell>
          <cell r="AC1035">
            <v>788688</v>
          </cell>
        </row>
        <row r="1036">
          <cell r="A1036" t="str">
            <v>V</v>
          </cell>
          <cell r="Q1036">
            <v>1208000</v>
          </cell>
          <cell r="R1036">
            <v>6040000</v>
          </cell>
          <cell r="W1036">
            <v>343</v>
          </cell>
          <cell r="AA1036">
            <v>3430000</v>
          </cell>
          <cell r="AB1036">
            <v>2744000</v>
          </cell>
          <cell r="AC1036">
            <v>1990880</v>
          </cell>
        </row>
        <row r="1037">
          <cell r="A1037" t="str">
            <v>V</v>
          </cell>
          <cell r="Q1037">
            <v>1353200</v>
          </cell>
          <cell r="R1037">
            <v>7960000</v>
          </cell>
          <cell r="W1037">
            <v>231</v>
          </cell>
          <cell r="AA1037">
            <v>2310000</v>
          </cell>
          <cell r="AB1037">
            <v>1855000</v>
          </cell>
          <cell r="AC1037">
            <v>1323920</v>
          </cell>
        </row>
        <row r="1038">
          <cell r="A1038" t="str">
            <v>V</v>
          </cell>
          <cell r="Q1038">
            <v>49586760</v>
          </cell>
          <cell r="R1038">
            <v>340280000</v>
          </cell>
          <cell r="W1038">
            <v>975</v>
          </cell>
          <cell r="AA1038">
            <v>183300000</v>
          </cell>
          <cell r="AB1038">
            <v>84150770</v>
          </cell>
          <cell r="AC1038">
            <v>65684827</v>
          </cell>
        </row>
        <row r="1039">
          <cell r="A1039" t="str">
            <v>V</v>
          </cell>
          <cell r="Q1039">
            <v>56835099</v>
          </cell>
          <cell r="R1039">
            <v>397996000</v>
          </cell>
          <cell r="W1039">
            <v>1088</v>
          </cell>
          <cell r="AA1039">
            <v>204544000</v>
          </cell>
          <cell r="AB1039">
            <v>94244900</v>
          </cell>
          <cell r="AC1039">
            <v>73019350</v>
          </cell>
        </row>
        <row r="1040">
          <cell r="A1040" t="str">
            <v>V</v>
          </cell>
          <cell r="Q1040">
            <v>34376535</v>
          </cell>
          <cell r="R1040">
            <v>270022000</v>
          </cell>
          <cell r="W1040">
            <v>846</v>
          </cell>
          <cell r="AA1040">
            <v>133668000</v>
          </cell>
          <cell r="AB1040">
            <v>62640500</v>
          </cell>
          <cell r="AC1040">
            <v>48517534</v>
          </cell>
        </row>
        <row r="1041">
          <cell r="A1041" t="str">
            <v>V</v>
          </cell>
          <cell r="Q1041">
            <v>25167350</v>
          </cell>
          <cell r="R1041">
            <v>175708000</v>
          </cell>
          <cell r="W1041">
            <v>347</v>
          </cell>
          <cell r="AA1041">
            <v>75646000</v>
          </cell>
          <cell r="AB1041">
            <v>34892300</v>
          </cell>
          <cell r="AC1041">
            <v>27555418</v>
          </cell>
        </row>
        <row r="1042">
          <cell r="A1042" t="str">
            <v>V</v>
          </cell>
          <cell r="Q1042">
            <v>14980158</v>
          </cell>
          <cell r="R1042">
            <v>120396000</v>
          </cell>
          <cell r="W1042">
            <v>298</v>
          </cell>
          <cell r="AA1042">
            <v>47084000</v>
          </cell>
          <cell r="AB1042">
            <v>22201250</v>
          </cell>
          <cell r="AC1042">
            <v>17005422</v>
          </cell>
        </row>
        <row r="1043">
          <cell r="A1043" t="str">
            <v>V</v>
          </cell>
          <cell r="Q1043">
            <v>10579012</v>
          </cell>
          <cell r="R1043">
            <v>87848000</v>
          </cell>
          <cell r="W1043">
            <v>179</v>
          </cell>
          <cell r="AA1043">
            <v>28282000</v>
          </cell>
          <cell r="AB1043">
            <v>12946000</v>
          </cell>
          <cell r="AC1043">
            <v>10215332</v>
          </cell>
        </row>
        <row r="1044">
          <cell r="A1044" t="str">
            <v>V</v>
          </cell>
          <cell r="Q1044">
            <v>17164628</v>
          </cell>
          <cell r="R1044">
            <v>139672000</v>
          </cell>
          <cell r="W1044">
            <v>173</v>
          </cell>
          <cell r="AA1044">
            <v>27334000</v>
          </cell>
          <cell r="AB1044">
            <v>12536100</v>
          </cell>
          <cell r="AC1044">
            <v>9818792</v>
          </cell>
        </row>
        <row r="1045">
          <cell r="A1045" t="str">
            <v>V</v>
          </cell>
          <cell r="Q1045">
            <v>17143001</v>
          </cell>
          <cell r="R1045">
            <v>167954000</v>
          </cell>
          <cell r="W1045">
            <v>336</v>
          </cell>
          <cell r="AA1045">
            <v>53088000</v>
          </cell>
          <cell r="AB1045">
            <v>24796870</v>
          </cell>
          <cell r="AC1045">
            <v>19223228</v>
          </cell>
        </row>
        <row r="1046">
          <cell r="A1046" t="str">
            <v>V</v>
          </cell>
          <cell r="Q1046">
            <v>34000785</v>
          </cell>
          <cell r="R1046">
            <v>276822000</v>
          </cell>
          <cell r="W1046">
            <v>141</v>
          </cell>
          <cell r="AA1046">
            <v>47658000</v>
          </cell>
          <cell r="AB1046">
            <v>22232145</v>
          </cell>
          <cell r="AC1046">
            <v>17460041</v>
          </cell>
        </row>
        <row r="1047">
          <cell r="A1047" t="str">
            <v>V</v>
          </cell>
          <cell r="Q1047">
            <v>36472200</v>
          </cell>
          <cell r="R1047">
            <v>243148000</v>
          </cell>
          <cell r="W1047">
            <v>827</v>
          </cell>
          <cell r="AA1047">
            <v>147206000</v>
          </cell>
          <cell r="AB1047">
            <v>68933350</v>
          </cell>
          <cell r="AC1047">
            <v>53941966</v>
          </cell>
        </row>
        <row r="1048">
          <cell r="A1048" t="str">
            <v>V</v>
          </cell>
          <cell r="Q1048">
            <v>53886850</v>
          </cell>
          <cell r="R1048">
            <v>435100000</v>
          </cell>
          <cell r="W1048">
            <v>50</v>
          </cell>
          <cell r="AA1048">
            <v>22900000</v>
          </cell>
          <cell r="AB1048">
            <v>10737800</v>
          </cell>
          <cell r="AC1048">
            <v>8229344</v>
          </cell>
        </row>
        <row r="1049">
          <cell r="A1049" t="str">
            <v>V</v>
          </cell>
          <cell r="Q1049">
            <v>17602780</v>
          </cell>
          <cell r="R1049">
            <v>140620000</v>
          </cell>
          <cell r="W1049">
            <v>498</v>
          </cell>
          <cell r="AA1049">
            <v>88644000</v>
          </cell>
          <cell r="AB1049">
            <v>41716850</v>
          </cell>
          <cell r="AC1049">
            <v>31599183</v>
          </cell>
        </row>
        <row r="1050">
          <cell r="A1050" t="str">
            <v>V</v>
          </cell>
          <cell r="Q1050">
            <v>34391406</v>
          </cell>
          <cell r="R1050">
            <v>288932000</v>
          </cell>
          <cell r="W1050">
            <v>377</v>
          </cell>
          <cell r="AA1050">
            <v>89726000</v>
          </cell>
          <cell r="AB1050">
            <v>41225500</v>
          </cell>
          <cell r="AC1050">
            <v>32197711</v>
          </cell>
        </row>
        <row r="1051">
          <cell r="A1051" t="str">
            <v>V</v>
          </cell>
          <cell r="Q1051">
            <v>4653312</v>
          </cell>
          <cell r="R1051">
            <v>46136000</v>
          </cell>
          <cell r="W1051">
            <v>292</v>
          </cell>
          <cell r="AA1051">
            <v>46136000</v>
          </cell>
          <cell r="AB1051">
            <v>14600000</v>
          </cell>
          <cell r="AC1051">
            <v>9636000</v>
          </cell>
        </row>
        <row r="1052">
          <cell r="A1052" t="str">
            <v>V</v>
          </cell>
          <cell r="Q1052">
            <v>2400530</v>
          </cell>
          <cell r="R1052">
            <v>4400000</v>
          </cell>
          <cell r="W1052">
            <v>55</v>
          </cell>
          <cell r="AA1052">
            <v>4400000</v>
          </cell>
          <cell r="AB1052">
            <v>4400000</v>
          </cell>
          <cell r="AC1052">
            <v>4400000</v>
          </cell>
        </row>
        <row r="1053">
          <cell r="A1053" t="str">
            <v>V</v>
          </cell>
          <cell r="Q1053">
            <v>26951022</v>
          </cell>
          <cell r="R1053">
            <v>201474000</v>
          </cell>
          <cell r="W1053">
            <v>1582</v>
          </cell>
          <cell r="AA1053">
            <v>123396000</v>
          </cell>
          <cell r="AB1053">
            <v>60204500</v>
          </cell>
          <cell r="AC1053">
            <v>45692884</v>
          </cell>
        </row>
        <row r="1054">
          <cell r="A1054" t="str">
            <v>V</v>
          </cell>
          <cell r="Q1054">
            <v>21580650</v>
          </cell>
          <cell r="R1054">
            <v>182988000</v>
          </cell>
          <cell r="W1054">
            <v>592</v>
          </cell>
          <cell r="AA1054">
            <v>81696000</v>
          </cell>
          <cell r="AB1054">
            <v>38402100</v>
          </cell>
          <cell r="AC1054">
            <v>29867448</v>
          </cell>
        </row>
        <row r="1055">
          <cell r="A1055" t="str">
            <v>V</v>
          </cell>
          <cell r="Q1055">
            <v>13258028</v>
          </cell>
          <cell r="R1055">
            <v>114954000</v>
          </cell>
          <cell r="W1055">
            <v>595</v>
          </cell>
          <cell r="AA1055">
            <v>82110000</v>
          </cell>
          <cell r="AB1055">
            <v>39120100</v>
          </cell>
          <cell r="AC1055">
            <v>30323982</v>
          </cell>
        </row>
        <row r="1056">
          <cell r="A1056" t="str">
            <v>V</v>
          </cell>
          <cell r="Q1056">
            <v>16583364</v>
          </cell>
          <cell r="R1056">
            <v>149784000</v>
          </cell>
          <cell r="W1056">
            <v>704</v>
          </cell>
          <cell r="AA1056">
            <v>111232000</v>
          </cell>
          <cell r="AB1056">
            <v>52781800</v>
          </cell>
          <cell r="AC1056">
            <v>39817146</v>
          </cell>
        </row>
        <row r="1057">
          <cell r="A1057" t="str">
            <v>V</v>
          </cell>
          <cell r="Q1057">
            <v>14949748</v>
          </cell>
          <cell r="R1057">
            <v>133496000</v>
          </cell>
          <cell r="W1057">
            <v>652</v>
          </cell>
          <cell r="AA1057">
            <v>96496000</v>
          </cell>
          <cell r="AB1057">
            <v>45883800</v>
          </cell>
          <cell r="AC1057">
            <v>35369632</v>
          </cell>
        </row>
        <row r="1058">
          <cell r="A1058" t="str">
            <v>V</v>
          </cell>
          <cell r="Q1058">
            <v>11626488</v>
          </cell>
          <cell r="R1058">
            <v>87792000</v>
          </cell>
          <cell r="W1058">
            <v>330</v>
          </cell>
          <cell r="AA1058">
            <v>38940000</v>
          </cell>
          <cell r="AB1058">
            <v>18355950</v>
          </cell>
          <cell r="AC1058">
            <v>14193011</v>
          </cell>
        </row>
        <row r="1059">
          <cell r="A1059" t="str">
            <v>V</v>
          </cell>
          <cell r="Q1059">
            <v>19970964</v>
          </cell>
          <cell r="R1059">
            <v>154728000</v>
          </cell>
          <cell r="W1059">
            <v>472</v>
          </cell>
          <cell r="AA1059">
            <v>79296000</v>
          </cell>
          <cell r="AB1059">
            <v>37474420</v>
          </cell>
          <cell r="AC1059">
            <v>28906248</v>
          </cell>
        </row>
        <row r="1060">
          <cell r="A1060" t="str">
            <v>V</v>
          </cell>
          <cell r="Q1060">
            <v>16989259</v>
          </cell>
          <cell r="R1060">
            <v>144886000</v>
          </cell>
          <cell r="W1060">
            <v>225</v>
          </cell>
          <cell r="AA1060">
            <v>35550000</v>
          </cell>
          <cell r="AB1060">
            <v>15839950</v>
          </cell>
          <cell r="AC1060">
            <v>12715754</v>
          </cell>
        </row>
        <row r="1061">
          <cell r="A1061" t="str">
            <v>V</v>
          </cell>
          <cell r="Q1061">
            <v>16698231</v>
          </cell>
          <cell r="R1061">
            <v>140778000</v>
          </cell>
          <cell r="W1061">
            <v>545</v>
          </cell>
          <cell r="AA1061">
            <v>86110000</v>
          </cell>
          <cell r="AB1061">
            <v>40932250</v>
          </cell>
          <cell r="AC1061">
            <v>31442514</v>
          </cell>
        </row>
        <row r="1062">
          <cell r="A1062" t="str">
            <v>V</v>
          </cell>
          <cell r="Q1062">
            <v>11865732</v>
          </cell>
          <cell r="R1062">
            <v>89444000</v>
          </cell>
          <cell r="W1062">
            <v>540</v>
          </cell>
          <cell r="AA1062">
            <v>63720000</v>
          </cell>
          <cell r="AB1062">
            <v>29737550</v>
          </cell>
          <cell r="AC1062">
            <v>23234450</v>
          </cell>
        </row>
        <row r="1063">
          <cell r="A1063" t="str">
            <v>V</v>
          </cell>
          <cell r="Q1063">
            <v>9244235</v>
          </cell>
          <cell r="R1063">
            <v>98098000</v>
          </cell>
          <cell r="W1063">
            <v>674</v>
          </cell>
          <cell r="AA1063">
            <v>66052000</v>
          </cell>
          <cell r="AB1063">
            <v>31314345</v>
          </cell>
          <cell r="AC1063">
            <v>24206221</v>
          </cell>
        </row>
        <row r="1064">
          <cell r="A1064" t="str">
            <v>V</v>
          </cell>
          <cell r="Q1064">
            <v>19736794</v>
          </cell>
          <cell r="R1064">
            <v>144396000</v>
          </cell>
          <cell r="W1064">
            <v>658</v>
          </cell>
          <cell r="AA1064">
            <v>71064000</v>
          </cell>
          <cell r="AB1064">
            <v>31866200</v>
          </cell>
          <cell r="AC1064">
            <v>25862355</v>
          </cell>
        </row>
        <row r="1065">
          <cell r="A1065" t="str">
            <v>V</v>
          </cell>
          <cell r="Q1065">
            <v>60713410</v>
          </cell>
          <cell r="R1065">
            <v>463730000</v>
          </cell>
          <cell r="W1065">
            <v>1522</v>
          </cell>
          <cell r="AA1065">
            <v>240476000</v>
          </cell>
          <cell r="AB1065">
            <v>109009660</v>
          </cell>
          <cell r="AC1065">
            <v>85653724</v>
          </cell>
        </row>
        <row r="1066">
          <cell r="A1066" t="str">
            <v>V</v>
          </cell>
          <cell r="Q1066">
            <v>39352840</v>
          </cell>
          <cell r="R1066">
            <v>286160000</v>
          </cell>
          <cell r="W1066">
            <v>1108</v>
          </cell>
          <cell r="AA1066">
            <v>108584000</v>
          </cell>
          <cell r="AB1066">
            <v>40386150</v>
          </cell>
          <cell r="AC1066">
            <v>34159139</v>
          </cell>
        </row>
        <row r="1067">
          <cell r="A1067" t="str">
            <v>V</v>
          </cell>
          <cell r="Q1067">
            <v>15463606</v>
          </cell>
          <cell r="R1067">
            <v>115444000</v>
          </cell>
          <cell r="W1067">
            <v>858</v>
          </cell>
          <cell r="AA1067">
            <v>84084000</v>
          </cell>
          <cell r="AB1067">
            <v>37053750</v>
          </cell>
          <cell r="AC1067">
            <v>30858621</v>
          </cell>
        </row>
        <row r="1068">
          <cell r="A1068" t="str">
            <v>V</v>
          </cell>
          <cell r="Q1068">
            <v>24619364</v>
          </cell>
          <cell r="R1068">
            <v>189916000</v>
          </cell>
          <cell r="W1068">
            <v>439</v>
          </cell>
          <cell r="AA1068">
            <v>69362000</v>
          </cell>
          <cell r="AB1068">
            <v>32004600</v>
          </cell>
          <cell r="AC1068">
            <v>25069465</v>
          </cell>
        </row>
        <row r="1069">
          <cell r="A1069" t="str">
            <v>V</v>
          </cell>
          <cell r="Q1069">
            <v>28078560</v>
          </cell>
          <cell r="R1069">
            <v>205632000</v>
          </cell>
          <cell r="W1069">
            <v>269</v>
          </cell>
          <cell r="AA1069">
            <v>45192000</v>
          </cell>
          <cell r="AB1069">
            <v>21079200</v>
          </cell>
          <cell r="AC1069">
            <v>16329894</v>
          </cell>
        </row>
        <row r="1070">
          <cell r="A1070" t="str">
            <v>V</v>
          </cell>
          <cell r="Q1070">
            <v>28400625</v>
          </cell>
          <cell r="R1070">
            <v>222750000</v>
          </cell>
          <cell r="W1070">
            <v>209</v>
          </cell>
          <cell r="AA1070">
            <v>41382000</v>
          </cell>
          <cell r="AB1070">
            <v>18977220</v>
          </cell>
          <cell r="AC1070">
            <v>14967167</v>
          </cell>
        </row>
        <row r="1071">
          <cell r="A1071" t="str">
            <v>V</v>
          </cell>
          <cell r="Q1071">
            <v>23571495</v>
          </cell>
          <cell r="R1071">
            <v>192774000</v>
          </cell>
          <cell r="W1071">
            <v>203</v>
          </cell>
          <cell r="AA1071">
            <v>36134000</v>
          </cell>
          <cell r="AB1071">
            <v>16481800</v>
          </cell>
          <cell r="AC1071">
            <v>13014693</v>
          </cell>
        </row>
        <row r="1072">
          <cell r="A1072" t="str">
            <v>V</v>
          </cell>
          <cell r="Q1072">
            <v>26473230</v>
          </cell>
          <cell r="R1072">
            <v>191268000</v>
          </cell>
          <cell r="W1072">
            <v>296</v>
          </cell>
          <cell r="AA1072">
            <v>58608000</v>
          </cell>
          <cell r="AB1072">
            <v>26912200</v>
          </cell>
          <cell r="AC1072">
            <v>21153825</v>
          </cell>
        </row>
        <row r="1073">
          <cell r="A1073" t="str">
            <v>V</v>
          </cell>
          <cell r="Q1073">
            <v>20561931</v>
          </cell>
          <cell r="R1073">
            <v>142632000</v>
          </cell>
          <cell r="W1073">
            <v>306</v>
          </cell>
          <cell r="AA1073">
            <v>51408000</v>
          </cell>
          <cell r="AB1073">
            <v>23055600</v>
          </cell>
          <cell r="AC1073">
            <v>18343500</v>
          </cell>
        </row>
        <row r="1074">
          <cell r="A1074" t="str">
            <v>V</v>
          </cell>
          <cell r="Q1074">
            <v>35110125</v>
          </cell>
          <cell r="R1074">
            <v>269670000</v>
          </cell>
          <cell r="W1074">
            <v>1274</v>
          </cell>
          <cell r="AA1074">
            <v>226772000</v>
          </cell>
          <cell r="AB1074">
            <v>104313045</v>
          </cell>
          <cell r="AC1074">
            <v>81982030</v>
          </cell>
        </row>
        <row r="1075">
          <cell r="A1075" t="str">
            <v>V</v>
          </cell>
          <cell r="Q1075">
            <v>39508441</v>
          </cell>
          <cell r="R1075">
            <v>289606000</v>
          </cell>
          <cell r="W1075">
            <v>681</v>
          </cell>
          <cell r="AA1075">
            <v>121218000</v>
          </cell>
          <cell r="AB1075">
            <v>54462300</v>
          </cell>
          <cell r="AC1075">
            <v>43106794</v>
          </cell>
        </row>
        <row r="1076">
          <cell r="A1076" t="str">
            <v>V</v>
          </cell>
          <cell r="Q1076">
            <v>9807504</v>
          </cell>
          <cell r="R1076">
            <v>59994000</v>
          </cell>
          <cell r="W1076">
            <v>72</v>
          </cell>
          <cell r="AA1076">
            <v>14256000</v>
          </cell>
          <cell r="AB1076">
            <v>6754950</v>
          </cell>
          <cell r="AC1076">
            <v>5226705</v>
          </cell>
        </row>
        <row r="1077">
          <cell r="A1077" t="str">
            <v>V</v>
          </cell>
          <cell r="Q1077">
            <v>33559681</v>
          </cell>
          <cell r="R1077">
            <v>245818000</v>
          </cell>
          <cell r="W1077">
            <v>721</v>
          </cell>
          <cell r="AA1077">
            <v>128338000</v>
          </cell>
          <cell r="AB1077">
            <v>58966590</v>
          </cell>
          <cell r="AC1077">
            <v>45903219</v>
          </cell>
        </row>
        <row r="1078">
          <cell r="A1078" t="str">
            <v>V</v>
          </cell>
          <cell r="Q1078">
            <v>39709216</v>
          </cell>
          <cell r="R1078">
            <v>315772000</v>
          </cell>
          <cell r="W1078">
            <v>1078</v>
          </cell>
          <cell r="AA1078">
            <v>191884000</v>
          </cell>
          <cell r="AB1078">
            <v>89774050</v>
          </cell>
          <cell r="AC1078">
            <v>70023643</v>
          </cell>
        </row>
        <row r="1079">
          <cell r="A1079" t="str">
            <v>V</v>
          </cell>
          <cell r="Q1079">
            <v>29776902</v>
          </cell>
          <cell r="R1079">
            <v>211108000</v>
          </cell>
          <cell r="W1079">
            <v>528</v>
          </cell>
          <cell r="AA1079">
            <v>93984000</v>
          </cell>
          <cell r="AB1079">
            <v>43182280</v>
          </cell>
          <cell r="AC1079">
            <v>33813556</v>
          </cell>
        </row>
        <row r="1080">
          <cell r="A1080" t="str">
            <v>V</v>
          </cell>
          <cell r="Q1080">
            <v>21663663</v>
          </cell>
          <cell r="R1080">
            <v>165318000</v>
          </cell>
          <cell r="W1080">
            <v>447</v>
          </cell>
          <cell r="AA1080">
            <v>52746000</v>
          </cell>
          <cell r="AB1080">
            <v>23604615</v>
          </cell>
          <cell r="AC1080">
            <v>19073482</v>
          </cell>
        </row>
        <row r="1081">
          <cell r="A1081" t="str">
            <v>V</v>
          </cell>
          <cell r="Q1081">
            <v>14272090</v>
          </cell>
          <cell r="R1081">
            <v>117180000</v>
          </cell>
          <cell r="W1081">
            <v>319</v>
          </cell>
          <cell r="AA1081">
            <v>34452000</v>
          </cell>
          <cell r="AB1081">
            <v>15542720</v>
          </cell>
          <cell r="AC1081">
            <v>12346128</v>
          </cell>
        </row>
        <row r="1082">
          <cell r="A1082" t="str">
            <v>V</v>
          </cell>
          <cell r="Q1082">
            <v>13390772</v>
          </cell>
          <cell r="R1082">
            <v>109944000</v>
          </cell>
          <cell r="W1082">
            <v>496</v>
          </cell>
          <cell r="AA1082">
            <v>53568000</v>
          </cell>
          <cell r="AB1082">
            <v>23430720</v>
          </cell>
          <cell r="AC1082">
            <v>19211796</v>
          </cell>
        </row>
        <row r="1083">
          <cell r="A1083" t="str">
            <v>V</v>
          </cell>
          <cell r="Q1083">
            <v>12008948</v>
          </cell>
          <cell r="R1083">
            <v>98434000</v>
          </cell>
          <cell r="W1083">
            <v>134</v>
          </cell>
          <cell r="AA1083">
            <v>21172000</v>
          </cell>
          <cell r="AB1083">
            <v>9625300</v>
          </cell>
          <cell r="AC1083">
            <v>7694047</v>
          </cell>
        </row>
        <row r="1084">
          <cell r="A1084" t="str">
            <v>V</v>
          </cell>
          <cell r="Q1084">
            <v>17701260</v>
          </cell>
          <cell r="R1084">
            <v>150420000</v>
          </cell>
          <cell r="W1084">
            <v>206</v>
          </cell>
          <cell r="AA1084">
            <v>44908000</v>
          </cell>
          <cell r="AB1084">
            <v>21513250</v>
          </cell>
          <cell r="AC1084">
            <v>16196201</v>
          </cell>
        </row>
        <row r="1085">
          <cell r="A1085" t="str">
            <v>V</v>
          </cell>
          <cell r="Q1085">
            <v>13133202</v>
          </cell>
          <cell r="R1085">
            <v>112194000</v>
          </cell>
          <cell r="W1085">
            <v>308</v>
          </cell>
          <cell r="AA1085">
            <v>42504000</v>
          </cell>
          <cell r="AB1085">
            <v>19758350</v>
          </cell>
          <cell r="AC1085">
            <v>15525897</v>
          </cell>
        </row>
        <row r="1086">
          <cell r="A1086" t="str">
            <v>V</v>
          </cell>
          <cell r="Q1086">
            <v>16837922</v>
          </cell>
          <cell r="R1086">
            <v>155788000</v>
          </cell>
          <cell r="W1086">
            <v>204</v>
          </cell>
          <cell r="AA1086">
            <v>32232000</v>
          </cell>
          <cell r="AB1086">
            <v>14641400</v>
          </cell>
          <cell r="AC1086">
            <v>11594672</v>
          </cell>
        </row>
        <row r="1087">
          <cell r="A1087" t="str">
            <v>V</v>
          </cell>
          <cell r="Q1087">
            <v>27251010</v>
          </cell>
          <cell r="R1087">
            <v>205110000</v>
          </cell>
          <cell r="W1087">
            <v>291</v>
          </cell>
          <cell r="AA1087">
            <v>75078000</v>
          </cell>
          <cell r="AB1087">
            <v>34459900</v>
          </cell>
          <cell r="AC1087">
            <v>26976609</v>
          </cell>
        </row>
        <row r="1088">
          <cell r="A1088" t="str">
            <v>V</v>
          </cell>
          <cell r="Q1088">
            <v>27030142</v>
          </cell>
          <cell r="R1088">
            <v>204852000</v>
          </cell>
          <cell r="W1088">
            <v>185</v>
          </cell>
          <cell r="AA1088">
            <v>47730000</v>
          </cell>
          <cell r="AB1088">
            <v>22195600</v>
          </cell>
          <cell r="AC1088">
            <v>17196668</v>
          </cell>
        </row>
        <row r="1089">
          <cell r="A1089" t="str">
            <v>V</v>
          </cell>
          <cell r="Q1089">
            <v>15412360</v>
          </cell>
          <cell r="R1089">
            <v>126074000</v>
          </cell>
          <cell r="W1089">
            <v>137</v>
          </cell>
          <cell r="AA1089">
            <v>46306000</v>
          </cell>
          <cell r="AB1089">
            <v>20922695</v>
          </cell>
          <cell r="AC1089">
            <v>16129504</v>
          </cell>
        </row>
        <row r="1090">
          <cell r="A1090" t="str">
            <v>V</v>
          </cell>
          <cell r="Q1090">
            <v>45373088</v>
          </cell>
          <cell r="R1090">
            <v>335296000</v>
          </cell>
          <cell r="W1090">
            <v>79</v>
          </cell>
          <cell r="AA1090">
            <v>26702000</v>
          </cell>
          <cell r="AB1090">
            <v>12056700</v>
          </cell>
          <cell r="AC1090">
            <v>9335222</v>
          </cell>
        </row>
        <row r="1091">
          <cell r="A1091" t="str">
            <v>V</v>
          </cell>
          <cell r="Q1091">
            <v>29304300</v>
          </cell>
          <cell r="R1091">
            <v>230950000</v>
          </cell>
          <cell r="W1091">
            <v>125</v>
          </cell>
          <cell r="AA1091">
            <v>37250000</v>
          </cell>
          <cell r="AB1091">
            <v>17032150</v>
          </cell>
          <cell r="AC1091">
            <v>12850729</v>
          </cell>
        </row>
        <row r="1092">
          <cell r="A1092" t="str">
            <v>V</v>
          </cell>
          <cell r="Q1092">
            <v>10664160</v>
          </cell>
          <cell r="R1092">
            <v>111072000</v>
          </cell>
          <cell r="W1092">
            <v>184</v>
          </cell>
          <cell r="AA1092">
            <v>32752000</v>
          </cell>
          <cell r="AB1092">
            <v>14945300</v>
          </cell>
          <cell r="AC1092">
            <v>11707060</v>
          </cell>
        </row>
        <row r="1093">
          <cell r="A1093" t="str">
            <v>V</v>
          </cell>
          <cell r="Q1093">
            <v>9710400</v>
          </cell>
          <cell r="R1093">
            <v>94010000</v>
          </cell>
          <cell r="W1093">
            <v>100</v>
          </cell>
          <cell r="AA1093">
            <v>15800000</v>
          </cell>
          <cell r="AB1093">
            <v>7054250</v>
          </cell>
          <cell r="AC1093">
            <v>5610541</v>
          </cell>
        </row>
        <row r="1094">
          <cell r="A1094" t="str">
            <v>V</v>
          </cell>
          <cell r="Q1094">
            <v>19563444</v>
          </cell>
          <cell r="R1094">
            <v>173016000</v>
          </cell>
          <cell r="W1094">
            <v>485</v>
          </cell>
          <cell r="AA1094">
            <v>86330000</v>
          </cell>
          <cell r="AB1094">
            <v>38907195</v>
          </cell>
          <cell r="AC1094">
            <v>30927478</v>
          </cell>
        </row>
        <row r="1095">
          <cell r="A1095" t="str">
            <v>V</v>
          </cell>
          <cell r="Q1095">
            <v>14939502</v>
          </cell>
          <cell r="R1095">
            <v>108564000</v>
          </cell>
          <cell r="W1095">
            <v>167</v>
          </cell>
          <cell r="AA1095">
            <v>36406000</v>
          </cell>
          <cell r="AB1095">
            <v>16429700</v>
          </cell>
          <cell r="AC1095">
            <v>13207803</v>
          </cell>
        </row>
        <row r="1096">
          <cell r="A1096" t="str">
            <v>V</v>
          </cell>
          <cell r="Q1096">
            <v>23057475</v>
          </cell>
          <cell r="R1096">
            <v>183150000</v>
          </cell>
          <cell r="W1096">
            <v>345</v>
          </cell>
          <cell r="AA1096">
            <v>68310000</v>
          </cell>
          <cell r="AB1096">
            <v>31532100</v>
          </cell>
          <cell r="AC1096">
            <v>24811677</v>
          </cell>
        </row>
        <row r="1097">
          <cell r="A1097" t="str">
            <v>V</v>
          </cell>
          <cell r="Q1097">
            <v>48947882</v>
          </cell>
          <cell r="R1097">
            <v>317898000</v>
          </cell>
          <cell r="W1097">
            <v>186</v>
          </cell>
          <cell r="AA1097">
            <v>70308000</v>
          </cell>
          <cell r="AB1097">
            <v>32931300</v>
          </cell>
          <cell r="AC1097">
            <v>25228854</v>
          </cell>
        </row>
        <row r="1098">
          <cell r="A1098" t="str">
            <v>V</v>
          </cell>
          <cell r="Q1098">
            <v>9578032</v>
          </cell>
          <cell r="R1098">
            <v>158368000</v>
          </cell>
          <cell r="W1098">
            <v>416</v>
          </cell>
          <cell r="AA1098">
            <v>40768000</v>
          </cell>
          <cell r="AB1098">
            <v>17807250</v>
          </cell>
          <cell r="AC1098">
            <v>14726706</v>
          </cell>
        </row>
        <row r="1099">
          <cell r="A1099" t="str">
            <v>V</v>
          </cell>
          <cell r="Q1099">
            <v>23790208</v>
          </cell>
          <cell r="R1099">
            <v>247936000</v>
          </cell>
          <cell r="W1099">
            <v>374</v>
          </cell>
          <cell r="AA1099">
            <v>111452000</v>
          </cell>
          <cell r="AB1099">
            <v>52956650</v>
          </cell>
          <cell r="AC1099">
            <v>40775117</v>
          </cell>
        </row>
        <row r="1100">
          <cell r="A1100" t="str">
            <v>V</v>
          </cell>
          <cell r="Q1100">
            <v>28815458</v>
          </cell>
          <cell r="R1100">
            <v>261078000</v>
          </cell>
          <cell r="W1100">
            <v>405</v>
          </cell>
          <cell r="AA1100">
            <v>128790000</v>
          </cell>
          <cell r="AB1100">
            <v>61218895</v>
          </cell>
          <cell r="AC1100">
            <v>47054993</v>
          </cell>
        </row>
        <row r="1101">
          <cell r="A1101" t="str">
            <v>V</v>
          </cell>
          <cell r="Q1101">
            <v>50245577</v>
          </cell>
          <cell r="R1101">
            <v>349098000</v>
          </cell>
          <cell r="W1101">
            <v>111</v>
          </cell>
          <cell r="AA1101">
            <v>55278000</v>
          </cell>
          <cell r="AB1101">
            <v>25503395</v>
          </cell>
          <cell r="AC1101">
            <v>19515138</v>
          </cell>
        </row>
        <row r="1102">
          <cell r="A1102" t="str">
            <v>V</v>
          </cell>
          <cell r="Q1102">
            <v>44159214</v>
          </cell>
          <cell r="R1102">
            <v>358996000</v>
          </cell>
          <cell r="W1102">
            <v>418</v>
          </cell>
          <cell r="AA1102">
            <v>166364000</v>
          </cell>
          <cell r="AB1102">
            <v>79171645</v>
          </cell>
          <cell r="AC1102">
            <v>60120985</v>
          </cell>
        </row>
        <row r="1103">
          <cell r="A1103" t="str">
            <v>V</v>
          </cell>
          <cell r="Q1103">
            <v>45751056</v>
          </cell>
          <cell r="R1103">
            <v>363298000</v>
          </cell>
          <cell r="W1103">
            <v>500</v>
          </cell>
          <cell r="AA1103">
            <v>89000000</v>
          </cell>
          <cell r="AB1103">
            <v>40871350</v>
          </cell>
          <cell r="AC1103">
            <v>32457602</v>
          </cell>
        </row>
        <row r="1104">
          <cell r="A1104" t="str">
            <v>V</v>
          </cell>
          <cell r="Q1104">
            <v>50118984</v>
          </cell>
          <cell r="R1104">
            <v>436208000</v>
          </cell>
          <cell r="W1104">
            <v>710</v>
          </cell>
          <cell r="AA1104">
            <v>282580000</v>
          </cell>
          <cell r="AB1104">
            <v>127432040</v>
          </cell>
          <cell r="AC1104">
            <v>95557910</v>
          </cell>
        </row>
        <row r="1105">
          <cell r="A1105" t="str">
            <v>V</v>
          </cell>
          <cell r="Q1105">
            <v>25351947</v>
          </cell>
          <cell r="R1105">
            <v>171666000</v>
          </cell>
          <cell r="W1105">
            <v>562</v>
          </cell>
          <cell r="AA1105">
            <v>111276000</v>
          </cell>
          <cell r="AB1105">
            <v>49915120</v>
          </cell>
          <cell r="AC1105">
            <v>38677370</v>
          </cell>
        </row>
        <row r="1106">
          <cell r="A1106" t="str">
            <v>V</v>
          </cell>
          <cell r="Q1106">
            <v>23425038</v>
          </cell>
          <cell r="R1106">
            <v>179172000</v>
          </cell>
          <cell r="W1106">
            <v>636</v>
          </cell>
          <cell r="AA1106">
            <v>100488000</v>
          </cell>
          <cell r="AB1106">
            <v>46488045</v>
          </cell>
          <cell r="AC1106">
            <v>37330503</v>
          </cell>
        </row>
        <row r="1107">
          <cell r="A1107" t="str">
            <v>V</v>
          </cell>
          <cell r="Q1107">
            <v>116854168</v>
          </cell>
          <cell r="R1107">
            <v>846352000</v>
          </cell>
          <cell r="W1107">
            <v>439</v>
          </cell>
          <cell r="AA1107">
            <v>148382000</v>
          </cell>
          <cell r="AB1107">
            <v>69838200</v>
          </cell>
          <cell r="AC1107">
            <v>53331218</v>
          </cell>
        </row>
        <row r="1108">
          <cell r="A1108" t="str">
            <v>V</v>
          </cell>
          <cell r="Q1108">
            <v>63684572</v>
          </cell>
          <cell r="R1108">
            <v>467124000</v>
          </cell>
          <cell r="W1108">
            <v>301</v>
          </cell>
          <cell r="AA1108">
            <v>149898000</v>
          </cell>
          <cell r="AB1108">
            <v>70770245</v>
          </cell>
          <cell r="AC1108">
            <v>53940210</v>
          </cell>
        </row>
        <row r="1109">
          <cell r="A1109" t="str">
            <v>V</v>
          </cell>
          <cell r="Q1109">
            <v>98432472</v>
          </cell>
          <cell r="R1109">
            <v>877752000</v>
          </cell>
          <cell r="W1109">
            <v>460</v>
          </cell>
          <cell r="AA1109">
            <v>201480000</v>
          </cell>
          <cell r="AB1109">
            <v>92227230</v>
          </cell>
          <cell r="AC1109">
            <v>70204502</v>
          </cell>
        </row>
        <row r="1110">
          <cell r="A1110" t="str">
            <v>V</v>
          </cell>
          <cell r="Q1110">
            <v>44241750</v>
          </cell>
          <cell r="R1110">
            <v>400500000</v>
          </cell>
          <cell r="W1110">
            <v>861</v>
          </cell>
          <cell r="AA1110">
            <v>153258000</v>
          </cell>
          <cell r="AB1110">
            <v>71906150</v>
          </cell>
          <cell r="AC1110">
            <v>55234913</v>
          </cell>
        </row>
        <row r="1111">
          <cell r="A1111" t="str">
            <v>V</v>
          </cell>
          <cell r="Q1111">
            <v>20371422</v>
          </cell>
          <cell r="R1111">
            <v>195822000</v>
          </cell>
          <cell r="W1111">
            <v>455</v>
          </cell>
          <cell r="AA1111">
            <v>90090000</v>
          </cell>
          <cell r="AB1111">
            <v>43367200</v>
          </cell>
          <cell r="AC1111">
            <v>33181286</v>
          </cell>
        </row>
        <row r="1112">
          <cell r="A1112" t="str">
            <v>V</v>
          </cell>
          <cell r="Q1112">
            <v>18060900</v>
          </cell>
          <cell r="R1112">
            <v>163350000</v>
          </cell>
          <cell r="W1112">
            <v>531</v>
          </cell>
          <cell r="AA1112">
            <v>105138000</v>
          </cell>
          <cell r="AB1112">
            <v>50564000</v>
          </cell>
          <cell r="AC1112">
            <v>38300823</v>
          </cell>
        </row>
        <row r="1113">
          <cell r="A1113" t="str">
            <v>V</v>
          </cell>
          <cell r="Q1113">
            <v>22016687</v>
          </cell>
          <cell r="R1113">
            <v>227374000</v>
          </cell>
          <cell r="W1113">
            <v>332</v>
          </cell>
          <cell r="AA1113">
            <v>72376000</v>
          </cell>
          <cell r="AB1113">
            <v>32824500</v>
          </cell>
          <cell r="AC1113">
            <v>26366010</v>
          </cell>
        </row>
        <row r="1114">
          <cell r="A1114" t="str">
            <v>V</v>
          </cell>
          <cell r="Q1114">
            <v>8042244</v>
          </cell>
          <cell r="R1114">
            <v>71022000</v>
          </cell>
          <cell r="W1114">
            <v>106</v>
          </cell>
          <cell r="AA1114">
            <v>18868000</v>
          </cell>
          <cell r="AB1114">
            <v>9269500</v>
          </cell>
          <cell r="AC1114">
            <v>7046842</v>
          </cell>
        </row>
        <row r="1115">
          <cell r="A1115" t="str">
            <v>V</v>
          </cell>
          <cell r="Q1115">
            <v>9932500</v>
          </cell>
          <cell r="R1115">
            <v>108230000</v>
          </cell>
          <cell r="W1115">
            <v>110</v>
          </cell>
          <cell r="AA1115">
            <v>17380000</v>
          </cell>
          <cell r="AB1115">
            <v>8194700</v>
          </cell>
          <cell r="AC1115">
            <v>6344526</v>
          </cell>
        </row>
        <row r="1116">
          <cell r="A1116" t="str">
            <v>V</v>
          </cell>
          <cell r="Q1116">
            <v>25813188</v>
          </cell>
          <cell r="R1116">
            <v>207108000</v>
          </cell>
          <cell r="W1116">
            <v>627</v>
          </cell>
          <cell r="AA1116">
            <v>124146000</v>
          </cell>
          <cell r="AB1116">
            <v>58426650</v>
          </cell>
          <cell r="AC1116">
            <v>45099203</v>
          </cell>
        </row>
        <row r="1117">
          <cell r="A1117" t="str">
            <v>V</v>
          </cell>
          <cell r="Q1117">
            <v>10793000</v>
          </cell>
          <cell r="R1117">
            <v>89356000</v>
          </cell>
          <cell r="W1117">
            <v>178</v>
          </cell>
          <cell r="AA1117">
            <v>31684000</v>
          </cell>
          <cell r="AB1117">
            <v>14937300</v>
          </cell>
          <cell r="AC1117">
            <v>11633546</v>
          </cell>
        </row>
        <row r="1118">
          <cell r="A1118" t="str">
            <v>V</v>
          </cell>
          <cell r="Q1118">
            <v>16640000</v>
          </cell>
          <cell r="R1118">
            <v>122720000</v>
          </cell>
          <cell r="W1118">
            <v>789</v>
          </cell>
          <cell r="AA1118">
            <v>93102000</v>
          </cell>
          <cell r="AB1118">
            <v>44124750</v>
          </cell>
          <cell r="AC1118">
            <v>34399360</v>
          </cell>
        </row>
        <row r="1119">
          <cell r="A1119" t="str">
            <v>V</v>
          </cell>
          <cell r="Q1119">
            <v>52890432</v>
          </cell>
          <cell r="R1119">
            <v>528264000</v>
          </cell>
          <cell r="W1119">
            <v>863</v>
          </cell>
          <cell r="AA1119">
            <v>170874000</v>
          </cell>
          <cell r="AB1119">
            <v>77732000</v>
          </cell>
          <cell r="AC1119">
            <v>61311492</v>
          </cell>
        </row>
        <row r="1120">
          <cell r="A1120" t="str">
            <v>V</v>
          </cell>
          <cell r="Q1120">
            <v>24781732</v>
          </cell>
          <cell r="R1120">
            <v>198792000</v>
          </cell>
          <cell r="W1120">
            <v>241</v>
          </cell>
          <cell r="AA1120">
            <v>47718000</v>
          </cell>
          <cell r="AB1120">
            <v>21872545</v>
          </cell>
          <cell r="AC1120">
            <v>17145983</v>
          </cell>
        </row>
        <row r="1121">
          <cell r="A1121" t="str">
            <v>V</v>
          </cell>
          <cell r="Q1121">
            <v>6498414</v>
          </cell>
          <cell r="R1121">
            <v>68796000</v>
          </cell>
          <cell r="W1121">
            <v>167</v>
          </cell>
          <cell r="AA1121">
            <v>16366000</v>
          </cell>
          <cell r="AB1121">
            <v>7733300</v>
          </cell>
          <cell r="AC1121">
            <v>5835802</v>
          </cell>
        </row>
        <row r="1122">
          <cell r="A1122" t="str">
            <v>V</v>
          </cell>
          <cell r="Q1122">
            <v>5252000</v>
          </cell>
          <cell r="R1122">
            <v>47672000</v>
          </cell>
          <cell r="W1122">
            <v>61</v>
          </cell>
          <cell r="AA1122">
            <v>7198000</v>
          </cell>
          <cell r="AB1122">
            <v>3202800</v>
          </cell>
          <cell r="AC1122">
            <v>2465315</v>
          </cell>
        </row>
        <row r="1123">
          <cell r="A1123" t="str">
            <v>V</v>
          </cell>
          <cell r="Q1123">
            <v>28277511</v>
          </cell>
          <cell r="R1123">
            <v>232254000</v>
          </cell>
          <cell r="W1123">
            <v>536</v>
          </cell>
          <cell r="AA1123">
            <v>106128000</v>
          </cell>
          <cell r="AB1123">
            <v>48997895</v>
          </cell>
          <cell r="AC1123">
            <v>38341888</v>
          </cell>
        </row>
        <row r="1124">
          <cell r="A1124" t="str">
            <v>V</v>
          </cell>
          <cell r="Q1124">
            <v>34197900</v>
          </cell>
          <cell r="R1124">
            <v>309342000</v>
          </cell>
          <cell r="W1124">
            <v>800</v>
          </cell>
          <cell r="AA1124">
            <v>174400000</v>
          </cell>
          <cell r="AB1124">
            <v>77724945</v>
          </cell>
          <cell r="AC1124">
            <v>61617618</v>
          </cell>
        </row>
        <row r="1125">
          <cell r="A1125" t="str">
            <v>V</v>
          </cell>
          <cell r="Q1125">
            <v>29851556</v>
          </cell>
          <cell r="R1125">
            <v>271364000</v>
          </cell>
          <cell r="W1125">
            <v>296</v>
          </cell>
          <cell r="AA1125">
            <v>105968000</v>
          </cell>
          <cell r="AB1125">
            <v>48400300</v>
          </cell>
          <cell r="AC1125">
            <v>37775086</v>
          </cell>
        </row>
        <row r="1126">
          <cell r="A1126" t="str">
            <v>V</v>
          </cell>
          <cell r="Q1126">
            <v>26796329</v>
          </cell>
          <cell r="R1126">
            <v>253242000</v>
          </cell>
          <cell r="W1126">
            <v>460</v>
          </cell>
          <cell r="AA1126">
            <v>91080000</v>
          </cell>
          <cell r="AB1126">
            <v>41694200</v>
          </cell>
          <cell r="AC1126">
            <v>32923440</v>
          </cell>
        </row>
        <row r="1127">
          <cell r="A1127" t="str">
            <v>V</v>
          </cell>
          <cell r="Q1127">
            <v>11576800</v>
          </cell>
          <cell r="R1127">
            <v>88822000</v>
          </cell>
          <cell r="W1127">
            <v>195</v>
          </cell>
          <cell r="AA1127">
            <v>34710000</v>
          </cell>
          <cell r="AB1127">
            <v>16608300</v>
          </cell>
          <cell r="AC1127">
            <v>12913722</v>
          </cell>
        </row>
        <row r="1128">
          <cell r="A1128" t="str">
            <v>V</v>
          </cell>
          <cell r="Q1128">
            <v>26152500</v>
          </cell>
          <cell r="R1128">
            <v>187030000</v>
          </cell>
          <cell r="W1128">
            <v>1276</v>
          </cell>
          <cell r="AA1128">
            <v>150568000</v>
          </cell>
          <cell r="AB1128">
            <v>67532250</v>
          </cell>
          <cell r="AC1128">
            <v>54583496</v>
          </cell>
        </row>
        <row r="1129">
          <cell r="A1129" t="str">
            <v>V</v>
          </cell>
          <cell r="Q1129">
            <v>46635260</v>
          </cell>
          <cell r="R1129">
            <v>313306000</v>
          </cell>
          <cell r="W1129">
            <v>1071</v>
          </cell>
          <cell r="AA1129">
            <v>297738000</v>
          </cell>
          <cell r="AB1129">
            <v>139845450</v>
          </cell>
          <cell r="AC1129">
            <v>107445680</v>
          </cell>
        </row>
        <row r="1130">
          <cell r="A1130" t="str">
            <v>V</v>
          </cell>
          <cell r="Q1130">
            <v>29112416</v>
          </cell>
          <cell r="R1130">
            <v>276256000</v>
          </cell>
          <cell r="W1130">
            <v>712</v>
          </cell>
          <cell r="AA1130">
            <v>126736000</v>
          </cell>
          <cell r="AB1130">
            <v>57637100</v>
          </cell>
          <cell r="AC1130">
            <v>45964170</v>
          </cell>
        </row>
        <row r="1131">
          <cell r="A1131" t="str">
            <v>V</v>
          </cell>
          <cell r="Q1131">
            <v>26394732</v>
          </cell>
          <cell r="R1131">
            <v>239512000</v>
          </cell>
          <cell r="W1131">
            <v>480</v>
          </cell>
          <cell r="AA1131">
            <v>90240000</v>
          </cell>
          <cell r="AB1131">
            <v>40856000</v>
          </cell>
          <cell r="AC1131">
            <v>32438836</v>
          </cell>
        </row>
        <row r="1132">
          <cell r="A1132" t="str">
            <v>V</v>
          </cell>
          <cell r="Q1132">
            <v>39021267</v>
          </cell>
          <cell r="R1132">
            <v>314118000</v>
          </cell>
          <cell r="W1132">
            <v>464</v>
          </cell>
          <cell r="AA1132">
            <v>175392000</v>
          </cell>
          <cell r="AB1132">
            <v>84940350</v>
          </cell>
          <cell r="AC1132">
            <v>65305832</v>
          </cell>
        </row>
        <row r="1133">
          <cell r="A1133" t="str">
            <v>V</v>
          </cell>
          <cell r="Q1133">
            <v>108234903</v>
          </cell>
          <cell r="R1133">
            <v>1175154000</v>
          </cell>
          <cell r="W1133">
            <v>160</v>
          </cell>
          <cell r="AA1133">
            <v>70080000</v>
          </cell>
          <cell r="AB1133">
            <v>31289250</v>
          </cell>
          <cell r="AC1133">
            <v>23955315</v>
          </cell>
        </row>
        <row r="1134">
          <cell r="A1134" t="str">
            <v>V</v>
          </cell>
          <cell r="Q1134">
            <v>102914564</v>
          </cell>
          <cell r="R1134">
            <v>829512000</v>
          </cell>
          <cell r="W1134">
            <v>280</v>
          </cell>
          <cell r="AA1134">
            <v>206640000</v>
          </cell>
          <cell r="AB1134">
            <v>91222840</v>
          </cell>
          <cell r="AC1134">
            <v>68087142</v>
          </cell>
        </row>
        <row r="1135">
          <cell r="A1135" t="str">
            <v>V</v>
          </cell>
          <cell r="Q1135">
            <v>79558368</v>
          </cell>
          <cell r="R1135">
            <v>683808000</v>
          </cell>
          <cell r="W1135">
            <v>398</v>
          </cell>
          <cell r="AA1135">
            <v>333524000</v>
          </cell>
          <cell r="AB1135">
            <v>147705350</v>
          </cell>
          <cell r="AC1135">
            <v>111416835</v>
          </cell>
        </row>
        <row r="1136">
          <cell r="A1136" t="str">
            <v>V</v>
          </cell>
          <cell r="Q1136">
            <v>108237888</v>
          </cell>
          <cell r="R1136">
            <v>821568000</v>
          </cell>
          <cell r="W1136">
            <v>390</v>
          </cell>
          <cell r="AA1136">
            <v>303420000</v>
          </cell>
          <cell r="AB1136">
            <v>135405940</v>
          </cell>
          <cell r="AC1136">
            <v>102405339</v>
          </cell>
        </row>
        <row r="1137">
          <cell r="A1137" t="str">
            <v>V</v>
          </cell>
          <cell r="Q1137">
            <v>13650972</v>
          </cell>
          <cell r="R1137">
            <v>60000000</v>
          </cell>
          <cell r="W1137">
            <v>3</v>
          </cell>
          <cell r="AA1137">
            <v>30000000</v>
          </cell>
          <cell r="AB1137">
            <v>13500000</v>
          </cell>
          <cell r="AC1137">
            <v>9450000</v>
          </cell>
        </row>
        <row r="1138">
          <cell r="A1138" t="str">
            <v>V</v>
          </cell>
          <cell r="Q1138">
            <v>9100648</v>
          </cell>
          <cell r="R1138">
            <v>40000000</v>
          </cell>
          <cell r="W1138">
            <v>1</v>
          </cell>
          <cell r="AA1138">
            <v>10000000</v>
          </cell>
          <cell r="AB1138">
            <v>4500000</v>
          </cell>
          <cell r="AC1138">
            <v>3150000</v>
          </cell>
        </row>
        <row r="1139">
          <cell r="A1139" t="str">
            <v>V</v>
          </cell>
          <cell r="Q1139">
            <v>9100648</v>
          </cell>
          <cell r="R1139">
            <v>40000000</v>
          </cell>
          <cell r="W1139">
            <v>1</v>
          </cell>
          <cell r="AA1139">
            <v>10000000</v>
          </cell>
          <cell r="AB1139">
            <v>4500000</v>
          </cell>
          <cell r="AC1139">
            <v>3150000</v>
          </cell>
        </row>
        <row r="1140">
          <cell r="A1140" t="str">
            <v>V</v>
          </cell>
          <cell r="Q1140">
            <v>11375810</v>
          </cell>
          <cell r="R1140">
            <v>50000000</v>
          </cell>
          <cell r="W1140">
            <v>1</v>
          </cell>
          <cell r="AA1140">
            <v>10000000</v>
          </cell>
          <cell r="AB1140">
            <v>4500000</v>
          </cell>
          <cell r="AC1140">
            <v>3150000</v>
          </cell>
        </row>
        <row r="1141">
          <cell r="A1141" t="str">
            <v>V</v>
          </cell>
          <cell r="Q1141">
            <v>9100648</v>
          </cell>
          <cell r="R1141">
            <v>40000000</v>
          </cell>
          <cell r="W1141">
            <v>1</v>
          </cell>
          <cell r="AA1141">
            <v>10000000</v>
          </cell>
          <cell r="AB1141">
            <v>4500000</v>
          </cell>
          <cell r="AC1141">
            <v>3150000</v>
          </cell>
        </row>
        <row r="1142">
          <cell r="A1142" t="str">
            <v>V</v>
          </cell>
          <cell r="Q1142">
            <v>10229200</v>
          </cell>
          <cell r="R1142">
            <v>95230000</v>
          </cell>
          <cell r="W1142">
            <v>218</v>
          </cell>
          <cell r="AA1142">
            <v>38804000</v>
          </cell>
          <cell r="AB1142">
            <v>18465100</v>
          </cell>
          <cell r="AC1142">
            <v>14157853</v>
          </cell>
        </row>
        <row r="1143">
          <cell r="A1143" t="str">
            <v>V</v>
          </cell>
          <cell r="Q1143">
            <v>27993628</v>
          </cell>
          <cell r="R1143">
            <v>228072000</v>
          </cell>
          <cell r="W1143">
            <v>486</v>
          </cell>
          <cell r="AA1143">
            <v>125388000</v>
          </cell>
          <cell r="AB1143">
            <v>62225000</v>
          </cell>
          <cell r="AC1143">
            <v>47368929</v>
          </cell>
        </row>
        <row r="1144">
          <cell r="A1144" t="str">
            <v>V</v>
          </cell>
          <cell r="Q1144">
            <v>32522514</v>
          </cell>
          <cell r="R1144">
            <v>334014000</v>
          </cell>
          <cell r="W1144">
            <v>375</v>
          </cell>
          <cell r="AA1144">
            <v>134250000</v>
          </cell>
          <cell r="AB1144">
            <v>61984400</v>
          </cell>
          <cell r="AC1144">
            <v>49532254</v>
          </cell>
        </row>
        <row r="1145">
          <cell r="A1145" t="str">
            <v>V</v>
          </cell>
          <cell r="Q1145">
            <v>9934176</v>
          </cell>
          <cell r="R1145">
            <v>80192000</v>
          </cell>
          <cell r="W1145">
            <v>185</v>
          </cell>
          <cell r="AA1145">
            <v>66230000</v>
          </cell>
          <cell r="AB1145">
            <v>32143400</v>
          </cell>
          <cell r="AC1145">
            <v>24422044</v>
          </cell>
        </row>
        <row r="1146">
          <cell r="A1146" t="str">
            <v>V</v>
          </cell>
          <cell r="Q1146">
            <v>73319890</v>
          </cell>
          <cell r="R1146">
            <v>493948000</v>
          </cell>
          <cell r="W1146">
            <v>531</v>
          </cell>
          <cell r="AA1146">
            <v>317538000</v>
          </cell>
          <cell r="AB1146">
            <v>150507900</v>
          </cell>
          <cell r="AC1146">
            <v>113257612</v>
          </cell>
        </row>
        <row r="1147">
          <cell r="A1147" t="str">
            <v>V</v>
          </cell>
          <cell r="Q1147">
            <v>48747080</v>
          </cell>
          <cell r="R1147">
            <v>461020000</v>
          </cell>
          <cell r="W1147">
            <v>143</v>
          </cell>
          <cell r="AA1147">
            <v>74074000</v>
          </cell>
          <cell r="AB1147">
            <v>33913700</v>
          </cell>
          <cell r="AC1147">
            <v>25577545</v>
          </cell>
        </row>
        <row r="1148">
          <cell r="A1148" t="str">
            <v>V</v>
          </cell>
          <cell r="Q1148">
            <v>71674451</v>
          </cell>
          <cell r="R1148">
            <v>549326000</v>
          </cell>
          <cell r="W1148">
            <v>279</v>
          </cell>
          <cell r="AA1148">
            <v>194742000</v>
          </cell>
          <cell r="AB1148">
            <v>88208970</v>
          </cell>
          <cell r="AC1148">
            <v>65248517</v>
          </cell>
        </row>
        <row r="1149">
          <cell r="A1149" t="str">
            <v>V</v>
          </cell>
          <cell r="Q1149">
            <v>70584570</v>
          </cell>
          <cell r="R1149">
            <v>504266000</v>
          </cell>
          <cell r="W1149">
            <v>559</v>
          </cell>
          <cell r="AA1149">
            <v>222482000</v>
          </cell>
          <cell r="AB1149">
            <v>104576150</v>
          </cell>
          <cell r="AC1149">
            <v>79820592</v>
          </cell>
        </row>
        <row r="1150">
          <cell r="A1150" t="str">
            <v>V</v>
          </cell>
          <cell r="Q1150">
            <v>36147000</v>
          </cell>
          <cell r="R1150">
            <v>239400000</v>
          </cell>
          <cell r="W1150">
            <v>24</v>
          </cell>
          <cell r="AA1150">
            <v>19152000</v>
          </cell>
          <cell r="AB1150">
            <v>8867500</v>
          </cell>
          <cell r="AC1150">
            <v>6698013</v>
          </cell>
        </row>
        <row r="1151">
          <cell r="A1151" t="str">
            <v>V</v>
          </cell>
          <cell r="Q1151">
            <v>21426645</v>
          </cell>
          <cell r="R1151">
            <v>205434000</v>
          </cell>
          <cell r="W1151">
            <v>236</v>
          </cell>
          <cell r="AA1151">
            <v>160008000</v>
          </cell>
          <cell r="AB1151">
            <v>74931450</v>
          </cell>
          <cell r="AC1151">
            <v>56919117</v>
          </cell>
        </row>
        <row r="1152">
          <cell r="A1152" t="str">
            <v>V</v>
          </cell>
          <cell r="Q1152">
            <v>96266868</v>
          </cell>
          <cell r="R1152">
            <v>850862000</v>
          </cell>
          <cell r="W1152">
            <v>118</v>
          </cell>
          <cell r="AA1152">
            <v>82364000</v>
          </cell>
          <cell r="AB1152">
            <v>35890900</v>
          </cell>
          <cell r="AC1152">
            <v>26807388</v>
          </cell>
        </row>
        <row r="1153">
          <cell r="A1153" t="str">
            <v>V</v>
          </cell>
          <cell r="Q1153">
            <v>12061200</v>
          </cell>
          <cell r="R1153">
            <v>109296000</v>
          </cell>
          <cell r="W1153">
            <v>221</v>
          </cell>
          <cell r="AA1153">
            <v>43758000</v>
          </cell>
          <cell r="AB1153">
            <v>21169900</v>
          </cell>
          <cell r="AC1153">
            <v>16417665</v>
          </cell>
        </row>
        <row r="1154">
          <cell r="A1154" t="str">
            <v>V</v>
          </cell>
          <cell r="Q1154">
            <v>28921060</v>
          </cell>
          <cell r="R1154">
            <v>248830000</v>
          </cell>
          <cell r="W1154">
            <v>209</v>
          </cell>
          <cell r="AA1154">
            <v>62282000</v>
          </cell>
          <cell r="AB1154">
            <v>29484400</v>
          </cell>
          <cell r="AC1154">
            <v>22773533</v>
          </cell>
        </row>
        <row r="1155">
          <cell r="A1155" t="str">
            <v>V</v>
          </cell>
          <cell r="Q1155">
            <v>29622024</v>
          </cell>
          <cell r="R1155">
            <v>264384000</v>
          </cell>
          <cell r="W1155">
            <v>441</v>
          </cell>
          <cell r="AA1155">
            <v>127008000</v>
          </cell>
          <cell r="AB1155">
            <v>59442400</v>
          </cell>
          <cell r="AC1155">
            <v>46241568</v>
          </cell>
        </row>
        <row r="1156">
          <cell r="A1156" t="str">
            <v>V</v>
          </cell>
          <cell r="Q1156">
            <v>26183943</v>
          </cell>
          <cell r="R1156">
            <v>205242000</v>
          </cell>
          <cell r="W1156">
            <v>1091</v>
          </cell>
          <cell r="AA1156">
            <v>172378000</v>
          </cell>
          <cell r="AB1156">
            <v>81309050</v>
          </cell>
          <cell r="AC1156">
            <v>62758825</v>
          </cell>
        </row>
        <row r="1157">
          <cell r="A1157" t="str">
            <v>V</v>
          </cell>
          <cell r="Q1157">
            <v>26379588</v>
          </cell>
          <cell r="R1157">
            <v>212652000</v>
          </cell>
          <cell r="W1157">
            <v>577</v>
          </cell>
          <cell r="AA1157">
            <v>114246000</v>
          </cell>
          <cell r="AB1157">
            <v>52474060</v>
          </cell>
          <cell r="AC1157">
            <v>40900634</v>
          </cell>
        </row>
        <row r="1158">
          <cell r="A1158" t="str">
            <v>V</v>
          </cell>
          <cell r="Q1158">
            <v>51184970</v>
          </cell>
          <cell r="R1158">
            <v>342998000</v>
          </cell>
          <cell r="W1158">
            <v>816</v>
          </cell>
          <cell r="AA1158">
            <v>243168000</v>
          </cell>
          <cell r="AB1158">
            <v>114256550</v>
          </cell>
          <cell r="AC1158">
            <v>87974294</v>
          </cell>
        </row>
        <row r="1159">
          <cell r="A1159" t="str">
            <v>V</v>
          </cell>
          <cell r="Q1159">
            <v>30447000</v>
          </cell>
          <cell r="R1159">
            <v>191400000</v>
          </cell>
          <cell r="W1159">
            <v>64</v>
          </cell>
          <cell r="AA1159">
            <v>40832000</v>
          </cell>
          <cell r="AB1159">
            <v>19085200</v>
          </cell>
          <cell r="AC1159">
            <v>14517690</v>
          </cell>
        </row>
        <row r="1160">
          <cell r="A1160" t="str">
            <v>V</v>
          </cell>
          <cell r="Q1160">
            <v>990171</v>
          </cell>
          <cell r="R1160">
            <v>4914000</v>
          </cell>
          <cell r="W1160">
            <v>219</v>
          </cell>
          <cell r="AA1160">
            <v>3942000</v>
          </cell>
          <cell r="AB1160">
            <v>3143200</v>
          </cell>
          <cell r="AC1160">
            <v>2322432</v>
          </cell>
        </row>
        <row r="1161">
          <cell r="A1161" t="str">
            <v>V</v>
          </cell>
          <cell r="Q1161">
            <v>2772980</v>
          </cell>
          <cell r="R1161">
            <v>11020000</v>
          </cell>
          <cell r="W1161">
            <v>99</v>
          </cell>
          <cell r="AA1161">
            <v>3762000</v>
          </cell>
          <cell r="AB1161">
            <v>2884800</v>
          </cell>
          <cell r="AC1161">
            <v>2214792</v>
          </cell>
        </row>
        <row r="1162">
          <cell r="A1162" t="str">
            <v>V</v>
          </cell>
          <cell r="Q1162">
            <v>5170800</v>
          </cell>
          <cell r="R1162">
            <v>23200000</v>
          </cell>
          <cell r="W1162">
            <v>191</v>
          </cell>
          <cell r="AA1162">
            <v>11078000</v>
          </cell>
          <cell r="AB1162">
            <v>8746600</v>
          </cell>
          <cell r="AC1162">
            <v>6613160</v>
          </cell>
        </row>
        <row r="1163">
          <cell r="A1163" t="str">
            <v>V</v>
          </cell>
          <cell r="Q1163">
            <v>7021119</v>
          </cell>
          <cell r="R1163">
            <v>33796000</v>
          </cell>
          <cell r="W1163">
            <v>203</v>
          </cell>
          <cell r="AA1163">
            <v>13804000</v>
          </cell>
          <cell r="AB1163">
            <v>10691200</v>
          </cell>
          <cell r="AC1163">
            <v>8243232</v>
          </cell>
        </row>
        <row r="1164">
          <cell r="A1164" t="str">
            <v>V</v>
          </cell>
          <cell r="Q1164">
            <v>2868846</v>
          </cell>
          <cell r="R1164">
            <v>14304000</v>
          </cell>
          <cell r="W1164">
            <v>112</v>
          </cell>
          <cell r="AA1164">
            <v>5376000</v>
          </cell>
          <cell r="AB1164">
            <v>4206000</v>
          </cell>
          <cell r="AC1164">
            <v>3223104</v>
          </cell>
        </row>
        <row r="1165">
          <cell r="A1165" t="str">
            <v>V</v>
          </cell>
          <cell r="Q1165">
            <v>7829127</v>
          </cell>
          <cell r="R1165">
            <v>34068000</v>
          </cell>
          <cell r="W1165">
            <v>151</v>
          </cell>
          <cell r="AA1165">
            <v>10268000</v>
          </cell>
          <cell r="AB1165">
            <v>8105200</v>
          </cell>
          <cell r="AC1165">
            <v>6062404</v>
          </cell>
        </row>
        <row r="1166">
          <cell r="A1166" t="str">
            <v>V</v>
          </cell>
          <cell r="Q1166">
            <v>3476473</v>
          </cell>
          <cell r="R1166">
            <v>17342000</v>
          </cell>
          <cell r="W1166">
            <v>129</v>
          </cell>
          <cell r="AA1166">
            <v>7482000</v>
          </cell>
          <cell r="AB1166">
            <v>5847200</v>
          </cell>
          <cell r="AC1166">
            <v>4441524</v>
          </cell>
        </row>
        <row r="1167">
          <cell r="A1167" t="str">
            <v>V</v>
          </cell>
          <cell r="Q1167">
            <v>8464646</v>
          </cell>
          <cell r="R1167">
            <v>40484000</v>
          </cell>
          <cell r="W1167">
            <v>373</v>
          </cell>
          <cell r="AA1167">
            <v>21634000</v>
          </cell>
          <cell r="AB1167">
            <v>17013200</v>
          </cell>
          <cell r="AC1167">
            <v>13000642</v>
          </cell>
        </row>
        <row r="1168">
          <cell r="A1168" t="str">
            <v>V</v>
          </cell>
          <cell r="Q1168">
            <v>5198292</v>
          </cell>
          <cell r="R1168">
            <v>22968000</v>
          </cell>
          <cell r="W1168">
            <v>149</v>
          </cell>
          <cell r="AA1168">
            <v>8642000</v>
          </cell>
          <cell r="AB1168">
            <v>6740400</v>
          </cell>
          <cell r="AC1168">
            <v>5143556</v>
          </cell>
        </row>
        <row r="1169">
          <cell r="A1169" t="str">
            <v>V</v>
          </cell>
          <cell r="Q1169">
            <v>6219546</v>
          </cell>
          <cell r="R1169">
            <v>27064000</v>
          </cell>
          <cell r="W1169">
            <v>132</v>
          </cell>
          <cell r="AA1169">
            <v>8976000</v>
          </cell>
          <cell r="AB1169">
            <v>7070400</v>
          </cell>
          <cell r="AC1169">
            <v>5469648</v>
          </cell>
        </row>
        <row r="1170">
          <cell r="A1170" t="str">
            <v>V</v>
          </cell>
          <cell r="Q1170">
            <v>5364596</v>
          </cell>
          <cell r="R1170">
            <v>20264000</v>
          </cell>
          <cell r="W1170">
            <v>87</v>
          </cell>
          <cell r="AA1170">
            <v>5916000</v>
          </cell>
          <cell r="AB1170">
            <v>4442800</v>
          </cell>
          <cell r="AC1170">
            <v>3629024</v>
          </cell>
        </row>
        <row r="1171">
          <cell r="A1171" t="str">
            <v>V</v>
          </cell>
          <cell r="Q1171">
            <v>3721242</v>
          </cell>
          <cell r="R1171">
            <v>16728000</v>
          </cell>
          <cell r="W1171">
            <v>197</v>
          </cell>
          <cell r="AA1171">
            <v>13396000</v>
          </cell>
          <cell r="AB1171">
            <v>10136800</v>
          </cell>
          <cell r="AC1171">
            <v>7928800</v>
          </cell>
        </row>
        <row r="1172">
          <cell r="A1172" t="str">
            <v>V</v>
          </cell>
          <cell r="Q1172">
            <v>5737692</v>
          </cell>
          <cell r="R1172">
            <v>34568000</v>
          </cell>
          <cell r="W1172">
            <v>292</v>
          </cell>
          <cell r="AA1172">
            <v>16936000</v>
          </cell>
          <cell r="AB1172">
            <v>13521200</v>
          </cell>
          <cell r="AC1172">
            <v>10347548</v>
          </cell>
        </row>
        <row r="1173">
          <cell r="A1173" t="str">
            <v>V</v>
          </cell>
          <cell r="Q1173">
            <v>5382665</v>
          </cell>
          <cell r="R1173">
            <v>26860000</v>
          </cell>
          <cell r="W1173">
            <v>68</v>
          </cell>
          <cell r="AA1173">
            <v>4624000</v>
          </cell>
          <cell r="AB1173">
            <v>3596400</v>
          </cell>
          <cell r="AC1173">
            <v>2820104</v>
          </cell>
        </row>
        <row r="1174">
          <cell r="A1174" t="str">
            <v>V</v>
          </cell>
          <cell r="Q1174">
            <v>5821546</v>
          </cell>
          <cell r="R1174">
            <v>27064000</v>
          </cell>
          <cell r="W1174">
            <v>97</v>
          </cell>
          <cell r="AA1174">
            <v>6596000</v>
          </cell>
          <cell r="AB1174">
            <v>5157600</v>
          </cell>
          <cell r="AC1174">
            <v>3949576</v>
          </cell>
        </row>
        <row r="1175">
          <cell r="A1175" t="str">
            <v>V</v>
          </cell>
          <cell r="Q1175">
            <v>6219546</v>
          </cell>
          <cell r="R1175">
            <v>31044000</v>
          </cell>
          <cell r="W1175">
            <v>267</v>
          </cell>
          <cell r="AA1175">
            <v>20826000</v>
          </cell>
          <cell r="AB1175">
            <v>15805200</v>
          </cell>
          <cell r="AC1175">
            <v>12368148</v>
          </cell>
        </row>
        <row r="1176">
          <cell r="A1176" t="str">
            <v>V</v>
          </cell>
          <cell r="Q1176">
            <v>5608419</v>
          </cell>
          <cell r="R1176">
            <v>26996000</v>
          </cell>
          <cell r="W1176">
            <v>188</v>
          </cell>
          <cell r="AA1176">
            <v>12784000</v>
          </cell>
          <cell r="AB1176">
            <v>9993200</v>
          </cell>
          <cell r="AC1176">
            <v>7663192</v>
          </cell>
        </row>
        <row r="1177">
          <cell r="A1177" t="str">
            <v>V</v>
          </cell>
          <cell r="Q1177">
            <v>3625973</v>
          </cell>
          <cell r="R1177">
            <v>17342000</v>
          </cell>
          <cell r="W1177">
            <v>301</v>
          </cell>
          <cell r="AA1177">
            <v>17458000</v>
          </cell>
          <cell r="AB1177">
            <v>13885200</v>
          </cell>
          <cell r="AC1177">
            <v>10415176</v>
          </cell>
        </row>
        <row r="1178">
          <cell r="A1178" t="str">
            <v>V</v>
          </cell>
          <cell r="Q1178">
            <v>5650800</v>
          </cell>
          <cell r="R1178">
            <v>27200000</v>
          </cell>
          <cell r="W1178">
            <v>277</v>
          </cell>
          <cell r="AA1178">
            <v>18836000</v>
          </cell>
          <cell r="AB1178">
            <v>14279200</v>
          </cell>
          <cell r="AC1178">
            <v>11166144</v>
          </cell>
        </row>
        <row r="1179">
          <cell r="A1179" t="str">
            <v>V</v>
          </cell>
          <cell r="Q1179">
            <v>2500146</v>
          </cell>
          <cell r="R1179">
            <v>13464000</v>
          </cell>
          <cell r="W1179">
            <v>93</v>
          </cell>
          <cell r="AA1179">
            <v>6324000</v>
          </cell>
          <cell r="AB1179">
            <v>5156000</v>
          </cell>
          <cell r="AC1179">
            <v>3936928</v>
          </cell>
        </row>
        <row r="1180">
          <cell r="A1180" t="str">
            <v>V</v>
          </cell>
          <cell r="Q1180">
            <v>4544542</v>
          </cell>
          <cell r="R1180">
            <v>18688000</v>
          </cell>
          <cell r="W1180">
            <v>32</v>
          </cell>
          <cell r="AA1180">
            <v>4096000</v>
          </cell>
          <cell r="AB1180">
            <v>3193600</v>
          </cell>
          <cell r="AC1180">
            <v>2445312</v>
          </cell>
        </row>
        <row r="1181">
          <cell r="A1181" t="str">
            <v>V</v>
          </cell>
          <cell r="Q1181">
            <v>7225400</v>
          </cell>
          <cell r="R1181">
            <v>29600000</v>
          </cell>
          <cell r="W1181">
            <v>57</v>
          </cell>
          <cell r="AA1181">
            <v>8436000</v>
          </cell>
          <cell r="AB1181">
            <v>6478400</v>
          </cell>
          <cell r="AC1181">
            <v>4951488</v>
          </cell>
        </row>
        <row r="1182">
          <cell r="A1182" t="str">
            <v>V</v>
          </cell>
          <cell r="Q1182">
            <v>7512973</v>
          </cell>
          <cell r="R1182">
            <v>35282000</v>
          </cell>
          <cell r="W1182">
            <v>64</v>
          </cell>
          <cell r="AA1182">
            <v>7552000</v>
          </cell>
          <cell r="AB1182">
            <v>5650200</v>
          </cell>
          <cell r="AC1182">
            <v>4404468</v>
          </cell>
        </row>
        <row r="1183">
          <cell r="A1183" t="str">
            <v>V</v>
          </cell>
          <cell r="Q1183">
            <v>7825400</v>
          </cell>
          <cell r="R1183">
            <v>31600000</v>
          </cell>
          <cell r="W1183">
            <v>131</v>
          </cell>
          <cell r="AA1183">
            <v>20698000</v>
          </cell>
          <cell r="AB1183">
            <v>16078400</v>
          </cell>
          <cell r="AC1183">
            <v>12256376</v>
          </cell>
        </row>
        <row r="1184">
          <cell r="A1184" t="str">
            <v>V</v>
          </cell>
          <cell r="Q1184">
            <v>3299000</v>
          </cell>
          <cell r="R1184">
            <v>14800000</v>
          </cell>
          <cell r="W1184">
            <v>8</v>
          </cell>
          <cell r="AA1184">
            <v>1184000</v>
          </cell>
          <cell r="AB1184">
            <v>927200</v>
          </cell>
          <cell r="AC1184">
            <v>692640</v>
          </cell>
        </row>
        <row r="1185">
          <cell r="A1185" t="str">
            <v>V</v>
          </cell>
          <cell r="Q1185">
            <v>673600</v>
          </cell>
          <cell r="R1185">
            <v>3789000</v>
          </cell>
          <cell r="W1185">
            <v>114</v>
          </cell>
          <cell r="AA1185">
            <v>1026000</v>
          </cell>
          <cell r="AB1185">
            <v>820800</v>
          </cell>
          <cell r="AC1185">
            <v>581040</v>
          </cell>
        </row>
        <row r="1186">
          <cell r="A1186" t="str">
            <v>V</v>
          </cell>
          <cell r="Q1186">
            <v>696300</v>
          </cell>
          <cell r="R1186">
            <v>3798000</v>
          </cell>
          <cell r="W1186">
            <v>135</v>
          </cell>
          <cell r="AA1186">
            <v>1215000</v>
          </cell>
          <cell r="AB1186">
            <v>968800</v>
          </cell>
          <cell r="AC1186">
            <v>709848</v>
          </cell>
        </row>
        <row r="1187">
          <cell r="A1187" t="str">
            <v>V</v>
          </cell>
          <cell r="Q1187">
            <v>952200</v>
          </cell>
          <cell r="R1187">
            <v>5290000</v>
          </cell>
          <cell r="W1187">
            <v>164</v>
          </cell>
          <cell r="AA1187">
            <v>1640000</v>
          </cell>
          <cell r="AB1187">
            <v>1314000</v>
          </cell>
          <cell r="AC1187">
            <v>935340</v>
          </cell>
        </row>
        <row r="1188">
          <cell r="A1188" t="str">
            <v>V</v>
          </cell>
          <cell r="Q1188">
            <v>500000</v>
          </cell>
          <cell r="R1188">
            <v>3600000</v>
          </cell>
          <cell r="W1188">
            <v>64</v>
          </cell>
          <cell r="AA1188">
            <v>1152000</v>
          </cell>
          <cell r="AB1188">
            <v>928800</v>
          </cell>
          <cell r="AC1188">
            <v>689760</v>
          </cell>
        </row>
        <row r="1189">
          <cell r="A1189" t="str">
            <v>V</v>
          </cell>
          <cell r="Q1189">
            <v>26823412</v>
          </cell>
          <cell r="R1189">
            <v>161476000</v>
          </cell>
          <cell r="W1189">
            <v>412</v>
          </cell>
          <cell r="AA1189">
            <v>65096000</v>
          </cell>
          <cell r="AB1189">
            <v>29614700</v>
          </cell>
          <cell r="AC1189">
            <v>23600579</v>
          </cell>
        </row>
        <row r="1190">
          <cell r="A1190" t="str">
            <v>V</v>
          </cell>
          <cell r="Q1190">
            <v>38148110</v>
          </cell>
          <cell r="R1190">
            <v>265122000</v>
          </cell>
          <cell r="W1190">
            <v>325</v>
          </cell>
          <cell r="AA1190">
            <v>64350000</v>
          </cell>
          <cell r="AB1190">
            <v>29110750</v>
          </cell>
          <cell r="AC1190">
            <v>23076009</v>
          </cell>
        </row>
        <row r="1191">
          <cell r="A1191" t="str">
            <v>V</v>
          </cell>
          <cell r="Q1191">
            <v>20637990</v>
          </cell>
          <cell r="R1191">
            <v>167670000</v>
          </cell>
          <cell r="W1191">
            <v>1205</v>
          </cell>
          <cell r="AA1191">
            <v>166290000</v>
          </cell>
          <cell r="AB1191">
            <v>31158000</v>
          </cell>
          <cell r="AC1191">
            <v>28372869</v>
          </cell>
        </row>
        <row r="1192">
          <cell r="A1192" t="str">
            <v>V</v>
          </cell>
          <cell r="Q1192">
            <v>8615640</v>
          </cell>
          <cell r="R1192">
            <v>67344000</v>
          </cell>
          <cell r="W1192">
            <v>483</v>
          </cell>
          <cell r="AA1192">
            <v>66654000</v>
          </cell>
          <cell r="AB1192">
            <v>12687000</v>
          </cell>
          <cell r="AC1192">
            <v>11472630</v>
          </cell>
        </row>
        <row r="1193">
          <cell r="A1193" t="str">
            <v>V</v>
          </cell>
          <cell r="Q1193">
            <v>11547240</v>
          </cell>
          <cell r="R1193">
            <v>84870000</v>
          </cell>
          <cell r="W1193">
            <v>466</v>
          </cell>
          <cell r="AA1193">
            <v>64308000</v>
          </cell>
          <cell r="AB1193">
            <v>30683600</v>
          </cell>
          <cell r="AC1193">
            <v>23992439</v>
          </cell>
        </row>
        <row r="1194">
          <cell r="A1194" t="str">
            <v>V</v>
          </cell>
          <cell r="Q1194">
            <v>17006828</v>
          </cell>
          <cell r="R1194">
            <v>127848000</v>
          </cell>
          <cell r="W1194">
            <v>294</v>
          </cell>
          <cell r="AA1194">
            <v>49392000</v>
          </cell>
          <cell r="AB1194">
            <v>23057600</v>
          </cell>
          <cell r="AC1194">
            <v>17748948</v>
          </cell>
        </row>
        <row r="1195">
          <cell r="A1195" t="str">
            <v>V</v>
          </cell>
          <cell r="Q1195">
            <v>23600968</v>
          </cell>
          <cell r="R1195">
            <v>177434000</v>
          </cell>
          <cell r="W1195">
            <v>173</v>
          </cell>
          <cell r="AA1195">
            <v>27334000</v>
          </cell>
          <cell r="AB1195">
            <v>12242500</v>
          </cell>
          <cell r="AC1195">
            <v>9733322</v>
          </cell>
        </row>
        <row r="1196">
          <cell r="A1196" t="str">
            <v>V</v>
          </cell>
          <cell r="Q1196">
            <v>8800968</v>
          </cell>
          <cell r="R1196">
            <v>66572000</v>
          </cell>
          <cell r="W1196">
            <v>96</v>
          </cell>
          <cell r="AA1196">
            <v>17088000</v>
          </cell>
          <cell r="AB1196">
            <v>7873700</v>
          </cell>
          <cell r="AC1196">
            <v>6171616</v>
          </cell>
        </row>
        <row r="1197">
          <cell r="A1197" t="str">
            <v>V</v>
          </cell>
          <cell r="Q1197">
            <v>19747692</v>
          </cell>
          <cell r="R1197">
            <v>157368000</v>
          </cell>
          <cell r="W1197">
            <v>661</v>
          </cell>
          <cell r="AA1197">
            <v>104438000</v>
          </cell>
          <cell r="AB1197">
            <v>48410850</v>
          </cell>
          <cell r="AC1197">
            <v>37725265</v>
          </cell>
        </row>
        <row r="1198">
          <cell r="A1198" t="str">
            <v>V</v>
          </cell>
          <cell r="Q1198">
            <v>20827413</v>
          </cell>
          <cell r="R1198">
            <v>217334000</v>
          </cell>
          <cell r="W1198">
            <v>480</v>
          </cell>
          <cell r="AA1198">
            <v>162240000</v>
          </cell>
          <cell r="AB1198">
            <v>76294295</v>
          </cell>
          <cell r="AC1198">
            <v>57136154</v>
          </cell>
        </row>
        <row r="1199">
          <cell r="A1199" t="str">
            <v>V</v>
          </cell>
          <cell r="Q1199">
            <v>18843000</v>
          </cell>
          <cell r="R1199">
            <v>146850000</v>
          </cell>
          <cell r="W1199">
            <v>349</v>
          </cell>
          <cell r="AA1199">
            <v>62122000</v>
          </cell>
          <cell r="AB1199">
            <v>29374550</v>
          </cell>
          <cell r="AC1199">
            <v>22473346</v>
          </cell>
        </row>
        <row r="1200">
          <cell r="A1200" t="str">
            <v>V</v>
          </cell>
          <cell r="Q1200">
            <v>32711256</v>
          </cell>
          <cell r="R1200">
            <v>290376000</v>
          </cell>
          <cell r="W1200">
            <v>320</v>
          </cell>
          <cell r="AA1200">
            <v>69760000</v>
          </cell>
          <cell r="AB1200">
            <v>32320995</v>
          </cell>
          <cell r="AC1200">
            <v>25200729</v>
          </cell>
        </row>
        <row r="1201">
          <cell r="A1201" t="str">
            <v>V</v>
          </cell>
          <cell r="Q1201">
            <v>51105394</v>
          </cell>
          <cell r="R1201">
            <v>480996000</v>
          </cell>
          <cell r="W1201">
            <v>102</v>
          </cell>
          <cell r="AA1201">
            <v>56916000</v>
          </cell>
          <cell r="AB1201">
            <v>25634900</v>
          </cell>
          <cell r="AC1201">
            <v>18980928</v>
          </cell>
        </row>
        <row r="1202">
          <cell r="A1202" t="str">
            <v>V</v>
          </cell>
          <cell r="Q1202">
            <v>16849807</v>
          </cell>
          <cell r="R1202">
            <v>154846000</v>
          </cell>
          <cell r="W1202">
            <v>242</v>
          </cell>
          <cell r="AA1202">
            <v>67276000</v>
          </cell>
          <cell r="AB1202">
            <v>31240750</v>
          </cell>
          <cell r="AC1202">
            <v>24163413</v>
          </cell>
        </row>
        <row r="1203">
          <cell r="A1203" t="str">
            <v>V</v>
          </cell>
          <cell r="Q1203">
            <v>938752</v>
          </cell>
          <cell r="R1203">
            <v>10112000</v>
          </cell>
          <cell r="W1203">
            <v>64</v>
          </cell>
          <cell r="AA1203">
            <v>10112000</v>
          </cell>
          <cell r="AB1203">
            <v>3200000</v>
          </cell>
          <cell r="AC1203">
            <v>2112000</v>
          </cell>
        </row>
      </sheetData>
      <sheetData sheetId="2">
        <row r="3">
          <cell r="E3" t="str">
            <v>I0W1301</v>
          </cell>
          <cell r="H3">
            <v>559</v>
          </cell>
          <cell r="J3">
            <v>179</v>
          </cell>
          <cell r="K3">
            <v>9835445</v>
          </cell>
          <cell r="L3">
            <v>7749842</v>
          </cell>
          <cell r="T3">
            <v>5837078</v>
          </cell>
        </row>
        <row r="4">
          <cell r="H4">
            <v>2193</v>
          </cell>
          <cell r="J4">
            <v>1004</v>
          </cell>
          <cell r="K4">
            <v>35817300</v>
          </cell>
          <cell r="L4">
            <v>29385299</v>
          </cell>
          <cell r="T4">
            <v>24932217</v>
          </cell>
        </row>
        <row r="5">
          <cell r="H5">
            <v>932</v>
          </cell>
          <cell r="J5">
            <v>439</v>
          </cell>
          <cell r="K5">
            <v>24180250</v>
          </cell>
          <cell r="L5">
            <v>18962246</v>
          </cell>
          <cell r="T5">
            <v>11421660</v>
          </cell>
        </row>
        <row r="6">
          <cell r="H6">
            <v>1430</v>
          </cell>
          <cell r="J6">
            <v>461</v>
          </cell>
          <cell r="K6">
            <v>28931945</v>
          </cell>
          <cell r="L6">
            <v>23461228</v>
          </cell>
          <cell r="T6">
            <v>23044450</v>
          </cell>
        </row>
        <row r="7">
          <cell r="H7">
            <v>812</v>
          </cell>
          <cell r="J7">
            <v>257</v>
          </cell>
          <cell r="K7">
            <v>18799800</v>
          </cell>
          <cell r="L7">
            <v>14741835</v>
          </cell>
          <cell r="T7">
            <v>12555144</v>
          </cell>
        </row>
        <row r="8">
          <cell r="H8">
            <v>739</v>
          </cell>
          <cell r="J8">
            <v>502</v>
          </cell>
          <cell r="K8">
            <v>32103600</v>
          </cell>
          <cell r="L8">
            <v>25163748</v>
          </cell>
          <cell r="T8">
            <v>13513354</v>
          </cell>
        </row>
        <row r="9">
          <cell r="H9">
            <v>1205</v>
          </cell>
          <cell r="J9">
            <v>448</v>
          </cell>
          <cell r="K9">
            <v>32347800</v>
          </cell>
          <cell r="L9">
            <v>25413392</v>
          </cell>
          <cell r="T9">
            <v>22509400</v>
          </cell>
        </row>
        <row r="10">
          <cell r="H10">
            <v>751</v>
          </cell>
          <cell r="J10">
            <v>450</v>
          </cell>
          <cell r="K10">
            <v>41083850</v>
          </cell>
          <cell r="L10">
            <v>32311620</v>
          </cell>
          <cell r="T10">
            <v>13858954</v>
          </cell>
        </row>
        <row r="11">
          <cell r="H11">
            <v>934</v>
          </cell>
          <cell r="J11">
            <v>584</v>
          </cell>
          <cell r="K11">
            <v>54129895</v>
          </cell>
          <cell r="L11">
            <v>41621654</v>
          </cell>
          <cell r="T11">
            <v>24096266</v>
          </cell>
        </row>
        <row r="12">
          <cell r="H12">
            <v>898</v>
          </cell>
          <cell r="J12">
            <v>447</v>
          </cell>
          <cell r="K12">
            <v>27944945</v>
          </cell>
          <cell r="L12">
            <v>22003841</v>
          </cell>
          <cell r="T12">
            <v>13007530</v>
          </cell>
        </row>
        <row r="13">
          <cell r="H13">
            <v>282</v>
          </cell>
          <cell r="J13">
            <v>82</v>
          </cell>
          <cell r="K13">
            <v>5934700</v>
          </cell>
          <cell r="L13">
            <v>4726412</v>
          </cell>
          <cell r="T13">
            <v>4079976</v>
          </cell>
        </row>
        <row r="14">
          <cell r="H14">
            <v>721</v>
          </cell>
          <cell r="J14">
            <v>359</v>
          </cell>
          <cell r="K14">
            <v>26682400</v>
          </cell>
          <cell r="L14">
            <v>20643648</v>
          </cell>
          <cell r="T14">
            <v>13866993</v>
          </cell>
        </row>
        <row r="15">
          <cell r="H15">
            <v>1040</v>
          </cell>
          <cell r="J15">
            <v>795</v>
          </cell>
          <cell r="K15">
            <v>51227700</v>
          </cell>
          <cell r="L15">
            <v>40483058</v>
          </cell>
          <cell r="T15">
            <v>13842400</v>
          </cell>
        </row>
        <row r="16">
          <cell r="H16">
            <v>813</v>
          </cell>
          <cell r="J16">
            <v>514</v>
          </cell>
          <cell r="K16">
            <v>33210700</v>
          </cell>
          <cell r="L16">
            <v>26112291</v>
          </cell>
          <cell r="T16">
            <v>10599894</v>
          </cell>
        </row>
        <row r="17">
          <cell r="H17">
            <v>441</v>
          </cell>
          <cell r="J17">
            <v>248</v>
          </cell>
          <cell r="K17">
            <v>20387600</v>
          </cell>
          <cell r="L17">
            <v>15858732</v>
          </cell>
          <cell r="T17">
            <v>9115470</v>
          </cell>
        </row>
        <row r="18">
          <cell r="H18">
            <v>375</v>
          </cell>
          <cell r="J18">
            <v>301</v>
          </cell>
          <cell r="K18">
            <v>24977650</v>
          </cell>
          <cell r="L18">
            <v>19404225</v>
          </cell>
          <cell r="T18">
            <v>8866875</v>
          </cell>
        </row>
        <row r="19">
          <cell r="H19">
            <v>1920</v>
          </cell>
          <cell r="J19">
            <v>729</v>
          </cell>
          <cell r="K19">
            <v>34141300</v>
          </cell>
          <cell r="L19">
            <v>26108646</v>
          </cell>
          <cell r="T19">
            <v>20603520</v>
          </cell>
        </row>
        <row r="20">
          <cell r="H20">
            <v>1626</v>
          </cell>
          <cell r="J20">
            <v>647</v>
          </cell>
          <cell r="K20">
            <v>36316000</v>
          </cell>
          <cell r="L20">
            <v>27864880</v>
          </cell>
          <cell r="T20">
            <v>33965514</v>
          </cell>
        </row>
        <row r="21">
          <cell r="H21">
            <v>875</v>
          </cell>
          <cell r="J21">
            <v>202</v>
          </cell>
          <cell r="K21">
            <v>14946100</v>
          </cell>
          <cell r="L21">
            <v>11485692</v>
          </cell>
          <cell r="T21">
            <v>19138875</v>
          </cell>
        </row>
        <row r="22">
          <cell r="H22">
            <v>1212</v>
          </cell>
          <cell r="J22">
            <v>1058</v>
          </cell>
          <cell r="K22">
            <v>43803700</v>
          </cell>
          <cell r="L22">
            <v>32814930</v>
          </cell>
          <cell r="T22">
            <v>14101620</v>
          </cell>
        </row>
        <row r="23">
          <cell r="H23">
            <v>2090</v>
          </cell>
          <cell r="J23">
            <v>1096</v>
          </cell>
          <cell r="K23">
            <v>45085100</v>
          </cell>
          <cell r="L23">
            <v>34409377</v>
          </cell>
          <cell r="T23">
            <v>30587150</v>
          </cell>
        </row>
        <row r="24">
          <cell r="H24">
            <v>1800</v>
          </cell>
          <cell r="J24">
            <v>1521</v>
          </cell>
          <cell r="K24">
            <v>129696695</v>
          </cell>
          <cell r="L24">
            <v>100236717</v>
          </cell>
          <cell r="T24">
            <v>41952600</v>
          </cell>
        </row>
        <row r="25">
          <cell r="H25">
            <v>799</v>
          </cell>
          <cell r="J25">
            <v>199</v>
          </cell>
          <cell r="K25">
            <v>5418700</v>
          </cell>
          <cell r="L25">
            <v>4151814</v>
          </cell>
          <cell r="T25">
            <v>6214622</v>
          </cell>
        </row>
        <row r="26">
          <cell r="H26">
            <v>1189</v>
          </cell>
          <cell r="J26">
            <v>362</v>
          </cell>
          <cell r="K26">
            <v>30158750</v>
          </cell>
          <cell r="L26">
            <v>23222948</v>
          </cell>
          <cell r="T26">
            <v>24228253</v>
          </cell>
        </row>
        <row r="27">
          <cell r="H27">
            <v>614</v>
          </cell>
          <cell r="J27">
            <v>246</v>
          </cell>
          <cell r="K27">
            <v>22822300</v>
          </cell>
          <cell r="L27">
            <v>17548344</v>
          </cell>
          <cell r="T27">
            <v>16704484</v>
          </cell>
        </row>
        <row r="28">
          <cell r="H28">
            <v>875</v>
          </cell>
          <cell r="J28">
            <v>368</v>
          </cell>
          <cell r="K28">
            <v>30228300</v>
          </cell>
          <cell r="L28">
            <v>23420306</v>
          </cell>
          <cell r="T28">
            <v>20528375</v>
          </cell>
        </row>
        <row r="29">
          <cell r="H29">
            <v>1186</v>
          </cell>
          <cell r="J29">
            <v>555</v>
          </cell>
          <cell r="K29">
            <v>50772100</v>
          </cell>
          <cell r="L29">
            <v>39191625</v>
          </cell>
          <cell r="T29">
            <v>24228794</v>
          </cell>
        </row>
        <row r="30">
          <cell r="H30">
            <v>998</v>
          </cell>
          <cell r="J30">
            <v>442</v>
          </cell>
          <cell r="K30">
            <v>44929700</v>
          </cell>
          <cell r="L30">
            <v>34283661</v>
          </cell>
          <cell r="T30">
            <v>25482932</v>
          </cell>
        </row>
        <row r="31">
          <cell r="H31">
            <v>985</v>
          </cell>
          <cell r="J31">
            <v>369</v>
          </cell>
          <cell r="K31">
            <v>20480300</v>
          </cell>
          <cell r="L31">
            <v>16149038</v>
          </cell>
          <cell r="T31">
            <v>15139450</v>
          </cell>
        </row>
        <row r="32">
          <cell r="H32">
            <v>1015</v>
          </cell>
          <cell r="J32">
            <v>359</v>
          </cell>
          <cell r="K32">
            <v>30165250</v>
          </cell>
          <cell r="L32">
            <v>23392360</v>
          </cell>
          <cell r="T32">
            <v>19728555</v>
          </cell>
        </row>
        <row r="33">
          <cell r="H33">
            <v>615</v>
          </cell>
          <cell r="J33">
            <v>187</v>
          </cell>
          <cell r="K33">
            <v>14841750</v>
          </cell>
          <cell r="L33">
            <v>11323179</v>
          </cell>
          <cell r="T33">
            <v>11854740</v>
          </cell>
        </row>
        <row r="34">
          <cell r="H34">
            <v>1412</v>
          </cell>
          <cell r="J34">
            <v>893</v>
          </cell>
          <cell r="K34">
            <v>65892445</v>
          </cell>
          <cell r="L34">
            <v>51666897</v>
          </cell>
          <cell r="T34">
            <v>25901728</v>
          </cell>
        </row>
        <row r="35">
          <cell r="H35">
            <v>306</v>
          </cell>
          <cell r="J35">
            <v>92</v>
          </cell>
          <cell r="K35">
            <v>12862000</v>
          </cell>
          <cell r="L35">
            <v>9623389</v>
          </cell>
          <cell r="T35">
            <v>11235708</v>
          </cell>
        </row>
        <row r="36">
          <cell r="H36">
            <v>323</v>
          </cell>
          <cell r="J36">
            <v>82</v>
          </cell>
          <cell r="K36">
            <v>9787500</v>
          </cell>
          <cell r="L36">
            <v>7462973</v>
          </cell>
          <cell r="T36">
            <v>8351165</v>
          </cell>
        </row>
        <row r="37">
          <cell r="H37">
            <v>233</v>
          </cell>
          <cell r="J37">
            <v>28</v>
          </cell>
          <cell r="K37">
            <v>3025400</v>
          </cell>
          <cell r="L37">
            <v>2349655</v>
          </cell>
          <cell r="T37">
            <v>7445981</v>
          </cell>
        </row>
        <row r="38">
          <cell r="H38">
            <v>1099</v>
          </cell>
          <cell r="J38">
            <v>403</v>
          </cell>
          <cell r="K38">
            <v>42416900</v>
          </cell>
          <cell r="L38">
            <v>32524521</v>
          </cell>
          <cell r="T38">
            <v>31383044</v>
          </cell>
        </row>
        <row r="39">
          <cell r="H39">
            <v>300</v>
          </cell>
          <cell r="J39">
            <v>106</v>
          </cell>
          <cell r="K39">
            <v>10793500</v>
          </cell>
          <cell r="L39">
            <v>8229337</v>
          </cell>
          <cell r="T39">
            <v>7025100</v>
          </cell>
        </row>
        <row r="40">
          <cell r="H40">
            <v>300</v>
          </cell>
          <cell r="J40">
            <v>143</v>
          </cell>
          <cell r="K40">
            <v>23769390</v>
          </cell>
          <cell r="L40">
            <v>17824319</v>
          </cell>
          <cell r="T40">
            <v>11996100</v>
          </cell>
        </row>
        <row r="41">
          <cell r="H41">
            <v>308</v>
          </cell>
          <cell r="J41">
            <v>85</v>
          </cell>
          <cell r="K41">
            <v>14651000</v>
          </cell>
          <cell r="L41">
            <v>11036088</v>
          </cell>
          <cell r="T41">
            <v>15135428</v>
          </cell>
        </row>
        <row r="42">
          <cell r="H42">
            <v>464</v>
          </cell>
          <cell r="J42">
            <v>138</v>
          </cell>
          <cell r="K42">
            <v>15704100</v>
          </cell>
          <cell r="L42">
            <v>11783814</v>
          </cell>
          <cell r="T42">
            <v>16679872</v>
          </cell>
        </row>
        <row r="43">
          <cell r="H43">
            <v>305</v>
          </cell>
          <cell r="J43">
            <v>57</v>
          </cell>
          <cell r="K43">
            <v>5338700</v>
          </cell>
          <cell r="L43">
            <v>4111134</v>
          </cell>
          <cell r="T43">
            <v>7403875</v>
          </cell>
        </row>
        <row r="44">
          <cell r="H44">
            <v>744</v>
          </cell>
          <cell r="J44">
            <v>263</v>
          </cell>
          <cell r="K44">
            <v>34152200</v>
          </cell>
          <cell r="L44">
            <v>26314299</v>
          </cell>
          <cell r="T44">
            <v>26807064</v>
          </cell>
        </row>
        <row r="45">
          <cell r="H45">
            <v>200</v>
          </cell>
          <cell r="J45">
            <v>37</v>
          </cell>
          <cell r="K45">
            <v>3404600</v>
          </cell>
          <cell r="L45">
            <v>2615828</v>
          </cell>
          <cell r="T45">
            <v>4585400</v>
          </cell>
        </row>
        <row r="46">
          <cell r="H46">
            <v>678</v>
          </cell>
          <cell r="J46">
            <v>129</v>
          </cell>
          <cell r="K46">
            <v>16844800</v>
          </cell>
          <cell r="L46">
            <v>12792031</v>
          </cell>
          <cell r="T46">
            <v>25690776</v>
          </cell>
        </row>
        <row r="47">
          <cell r="H47">
            <v>334</v>
          </cell>
          <cell r="J47">
            <v>116</v>
          </cell>
          <cell r="K47">
            <v>19105300</v>
          </cell>
          <cell r="L47">
            <v>14283120</v>
          </cell>
          <cell r="T47">
            <v>16662258</v>
          </cell>
        </row>
        <row r="48">
          <cell r="H48">
            <v>1102</v>
          </cell>
          <cell r="J48">
            <v>315</v>
          </cell>
          <cell r="K48">
            <v>21209050</v>
          </cell>
          <cell r="L48">
            <v>16078929</v>
          </cell>
          <cell r="T48">
            <v>19635436</v>
          </cell>
        </row>
        <row r="49">
          <cell r="H49">
            <v>400</v>
          </cell>
          <cell r="J49">
            <v>118</v>
          </cell>
          <cell r="K49">
            <v>19427900</v>
          </cell>
          <cell r="L49">
            <v>14828360</v>
          </cell>
          <cell r="T49">
            <v>16469600</v>
          </cell>
        </row>
        <row r="50">
          <cell r="H50">
            <v>399</v>
          </cell>
          <cell r="J50">
            <v>108</v>
          </cell>
          <cell r="K50">
            <v>18029600</v>
          </cell>
          <cell r="L50">
            <v>13618589</v>
          </cell>
          <cell r="T50">
            <v>16741641</v>
          </cell>
        </row>
        <row r="51">
          <cell r="H51">
            <v>337</v>
          </cell>
          <cell r="J51">
            <v>209</v>
          </cell>
          <cell r="K51">
            <v>28963600</v>
          </cell>
          <cell r="L51">
            <v>21824403</v>
          </cell>
          <cell r="T51">
            <v>10088095</v>
          </cell>
        </row>
        <row r="52">
          <cell r="H52">
            <v>497</v>
          </cell>
          <cell r="J52">
            <v>75</v>
          </cell>
          <cell r="K52">
            <v>8211800</v>
          </cell>
          <cell r="L52">
            <v>6290145</v>
          </cell>
          <cell r="T52">
            <v>15729553</v>
          </cell>
        </row>
        <row r="53">
          <cell r="H53">
            <v>1001</v>
          </cell>
          <cell r="J53">
            <v>203</v>
          </cell>
          <cell r="K53">
            <v>30345750</v>
          </cell>
          <cell r="L53">
            <v>22992184</v>
          </cell>
          <cell r="T53">
            <v>45145100</v>
          </cell>
        </row>
        <row r="54">
          <cell r="H54">
            <v>357</v>
          </cell>
          <cell r="J54">
            <v>71</v>
          </cell>
          <cell r="K54">
            <v>15725050</v>
          </cell>
          <cell r="L54">
            <v>11622329</v>
          </cell>
          <cell r="T54">
            <v>24486273</v>
          </cell>
        </row>
        <row r="55">
          <cell r="H55">
            <v>378</v>
          </cell>
          <cell r="J55">
            <v>175</v>
          </cell>
          <cell r="K55">
            <v>43006100</v>
          </cell>
          <cell r="L55">
            <v>32319963</v>
          </cell>
          <cell r="T55">
            <v>27816642</v>
          </cell>
        </row>
        <row r="56">
          <cell r="H56">
            <v>1790</v>
          </cell>
          <cell r="J56">
            <v>350</v>
          </cell>
          <cell r="K56">
            <v>36746850</v>
          </cell>
          <cell r="L56">
            <v>28271321</v>
          </cell>
          <cell r="T56">
            <v>55928550</v>
          </cell>
        </row>
        <row r="57">
          <cell r="H57">
            <v>486</v>
          </cell>
          <cell r="J57">
            <v>183</v>
          </cell>
          <cell r="K57">
            <v>28899100</v>
          </cell>
          <cell r="L57">
            <v>22142380</v>
          </cell>
          <cell r="T57">
            <v>20223432</v>
          </cell>
        </row>
        <row r="58">
          <cell r="H58">
            <v>1370</v>
          </cell>
          <cell r="J58">
            <v>786</v>
          </cell>
          <cell r="K58">
            <v>106021350</v>
          </cell>
          <cell r="L58">
            <v>84807746</v>
          </cell>
          <cell r="T58">
            <v>48836390</v>
          </cell>
        </row>
        <row r="59">
          <cell r="H59">
            <v>764</v>
          </cell>
          <cell r="J59">
            <v>457</v>
          </cell>
          <cell r="K59">
            <v>63237850</v>
          </cell>
          <cell r="L59">
            <v>48434015</v>
          </cell>
          <cell r="T59">
            <v>26949336</v>
          </cell>
        </row>
        <row r="60">
          <cell r="H60">
            <v>600</v>
          </cell>
          <cell r="J60">
            <v>312</v>
          </cell>
          <cell r="K60">
            <v>49625950</v>
          </cell>
          <cell r="L60">
            <v>37954443</v>
          </cell>
          <cell r="T60">
            <v>25786200</v>
          </cell>
        </row>
        <row r="61">
          <cell r="H61">
            <v>1535</v>
          </cell>
          <cell r="J61">
            <v>171</v>
          </cell>
          <cell r="K61">
            <v>11273800</v>
          </cell>
          <cell r="L61">
            <v>8627289</v>
          </cell>
          <cell r="T61">
            <v>28988475</v>
          </cell>
        </row>
        <row r="62">
          <cell r="H62">
            <v>1014</v>
          </cell>
          <cell r="J62">
            <v>274</v>
          </cell>
          <cell r="K62">
            <v>49835600</v>
          </cell>
          <cell r="L62">
            <v>37649507</v>
          </cell>
          <cell r="T62">
            <v>44129280</v>
          </cell>
        </row>
        <row r="63">
          <cell r="H63">
            <v>437</v>
          </cell>
          <cell r="J63">
            <v>156</v>
          </cell>
          <cell r="K63">
            <v>41481700</v>
          </cell>
          <cell r="L63">
            <v>31233531</v>
          </cell>
          <cell r="T63">
            <v>30113233</v>
          </cell>
        </row>
        <row r="64">
          <cell r="H64">
            <v>2764</v>
          </cell>
          <cell r="J64">
            <v>2293</v>
          </cell>
          <cell r="K64">
            <v>321362350</v>
          </cell>
          <cell r="L64">
            <v>248794907</v>
          </cell>
          <cell r="T64">
            <v>113053128</v>
          </cell>
        </row>
        <row r="65">
          <cell r="H65">
            <v>1466</v>
          </cell>
          <cell r="J65">
            <v>617</v>
          </cell>
          <cell r="K65">
            <v>50840900</v>
          </cell>
          <cell r="L65">
            <v>39677402</v>
          </cell>
          <cell r="T65">
            <v>29945982</v>
          </cell>
        </row>
        <row r="66">
          <cell r="H66">
            <v>688</v>
          </cell>
          <cell r="J66">
            <v>168</v>
          </cell>
          <cell r="K66">
            <v>14460500</v>
          </cell>
          <cell r="L66">
            <v>10791879</v>
          </cell>
          <cell r="T66">
            <v>14884880</v>
          </cell>
        </row>
        <row r="67">
          <cell r="H67">
            <v>1624</v>
          </cell>
          <cell r="J67">
            <v>1429</v>
          </cell>
          <cell r="K67">
            <v>130168100</v>
          </cell>
          <cell r="L67">
            <v>100164109</v>
          </cell>
          <cell r="T67">
            <v>39623976</v>
          </cell>
        </row>
        <row r="68">
          <cell r="H68">
            <v>1053</v>
          </cell>
          <cell r="J68">
            <v>448</v>
          </cell>
          <cell r="K68">
            <v>45247550</v>
          </cell>
          <cell r="L68">
            <v>35054673</v>
          </cell>
          <cell r="T68">
            <v>26498745</v>
          </cell>
        </row>
        <row r="69">
          <cell r="H69">
            <v>682</v>
          </cell>
          <cell r="J69">
            <v>249</v>
          </cell>
          <cell r="K69">
            <v>16895850</v>
          </cell>
          <cell r="L69">
            <v>13155684</v>
          </cell>
          <cell r="T69">
            <v>9936058</v>
          </cell>
        </row>
        <row r="70">
          <cell r="H70">
            <v>467</v>
          </cell>
          <cell r="J70">
            <v>151</v>
          </cell>
          <cell r="K70">
            <v>13777000</v>
          </cell>
          <cell r="L70">
            <v>10398020</v>
          </cell>
          <cell r="T70">
            <v>12697263</v>
          </cell>
        </row>
        <row r="71">
          <cell r="H71">
            <v>612</v>
          </cell>
          <cell r="J71">
            <v>475</v>
          </cell>
          <cell r="K71">
            <v>44203600</v>
          </cell>
          <cell r="L71">
            <v>33807510</v>
          </cell>
          <cell r="T71">
            <v>11333016</v>
          </cell>
        </row>
        <row r="72">
          <cell r="H72">
            <v>1107</v>
          </cell>
          <cell r="J72">
            <v>656</v>
          </cell>
          <cell r="K72">
            <v>60247200</v>
          </cell>
          <cell r="L72">
            <v>46029060</v>
          </cell>
          <cell r="T72">
            <v>25504173</v>
          </cell>
        </row>
        <row r="73">
          <cell r="H73">
            <v>2158</v>
          </cell>
          <cell r="J73">
            <v>1356</v>
          </cell>
          <cell r="K73">
            <v>99354900</v>
          </cell>
          <cell r="L73">
            <v>77631483</v>
          </cell>
          <cell r="T73">
            <v>35727848</v>
          </cell>
        </row>
        <row r="74">
          <cell r="H74">
            <v>1836</v>
          </cell>
          <cell r="J74">
            <v>598</v>
          </cell>
          <cell r="K74">
            <v>45821650</v>
          </cell>
          <cell r="L74">
            <v>35440681</v>
          </cell>
          <cell r="T74">
            <v>45971604</v>
          </cell>
        </row>
        <row r="75">
          <cell r="H75">
            <v>1652</v>
          </cell>
          <cell r="J75">
            <v>883</v>
          </cell>
          <cell r="K75">
            <v>89808800</v>
          </cell>
          <cell r="L75">
            <v>69059730</v>
          </cell>
          <cell r="T75">
            <v>39649652</v>
          </cell>
        </row>
        <row r="76">
          <cell r="H76">
            <v>1055</v>
          </cell>
          <cell r="J76">
            <v>347</v>
          </cell>
          <cell r="K76">
            <v>30298700</v>
          </cell>
          <cell r="L76">
            <v>23190545</v>
          </cell>
          <cell r="T76">
            <v>21050415</v>
          </cell>
        </row>
        <row r="77">
          <cell r="H77">
            <v>1395</v>
          </cell>
          <cell r="J77">
            <v>681</v>
          </cell>
          <cell r="K77">
            <v>67871435</v>
          </cell>
          <cell r="L77">
            <v>52312784</v>
          </cell>
          <cell r="T77">
            <v>38468520</v>
          </cell>
        </row>
        <row r="78">
          <cell r="H78">
            <v>1213</v>
          </cell>
          <cell r="J78">
            <v>640</v>
          </cell>
          <cell r="K78">
            <v>64385600</v>
          </cell>
          <cell r="L78">
            <v>49311110</v>
          </cell>
          <cell r="T78">
            <v>34981707</v>
          </cell>
        </row>
        <row r="79">
          <cell r="H79">
            <v>816</v>
          </cell>
          <cell r="J79">
            <v>199</v>
          </cell>
          <cell r="K79">
            <v>5427100</v>
          </cell>
          <cell r="L79">
            <v>4126309</v>
          </cell>
          <cell r="T79">
            <v>5988624</v>
          </cell>
        </row>
        <row r="80">
          <cell r="H80">
            <v>498</v>
          </cell>
          <cell r="J80">
            <v>372</v>
          </cell>
          <cell r="K80">
            <v>38062050</v>
          </cell>
          <cell r="L80">
            <v>28838621</v>
          </cell>
          <cell r="T80">
            <v>13540122</v>
          </cell>
        </row>
        <row r="81">
          <cell r="H81">
            <v>1467</v>
          </cell>
          <cell r="J81">
            <v>1193</v>
          </cell>
          <cell r="K81">
            <v>120517680</v>
          </cell>
          <cell r="L81">
            <v>91975364</v>
          </cell>
          <cell r="T81">
            <v>34910199</v>
          </cell>
        </row>
        <row r="82">
          <cell r="H82">
            <v>507</v>
          </cell>
          <cell r="J82">
            <v>115</v>
          </cell>
          <cell r="K82">
            <v>9646200</v>
          </cell>
          <cell r="L82">
            <v>7316542</v>
          </cell>
          <cell r="T82">
            <v>13067925</v>
          </cell>
        </row>
        <row r="83">
          <cell r="H83">
            <v>967</v>
          </cell>
          <cell r="J83">
            <v>342</v>
          </cell>
          <cell r="K83">
            <v>28193150</v>
          </cell>
          <cell r="L83">
            <v>21475077</v>
          </cell>
          <cell r="T83">
            <v>20557453</v>
          </cell>
        </row>
        <row r="84">
          <cell r="H84">
            <v>364</v>
          </cell>
          <cell r="J84">
            <v>178</v>
          </cell>
          <cell r="K84">
            <v>11182200</v>
          </cell>
          <cell r="L84">
            <v>8795948</v>
          </cell>
          <cell r="T84">
            <v>7278908</v>
          </cell>
        </row>
        <row r="85">
          <cell r="H85">
            <v>391</v>
          </cell>
          <cell r="J85">
            <v>179</v>
          </cell>
          <cell r="K85">
            <v>13144900</v>
          </cell>
          <cell r="L85">
            <v>9983586</v>
          </cell>
          <cell r="T85">
            <v>8172291</v>
          </cell>
        </row>
        <row r="86">
          <cell r="H86">
            <v>340</v>
          </cell>
          <cell r="J86">
            <v>129</v>
          </cell>
          <cell r="K86">
            <v>8637370</v>
          </cell>
          <cell r="L86">
            <v>6816947</v>
          </cell>
          <cell r="T86">
            <v>6724860</v>
          </cell>
        </row>
        <row r="87">
          <cell r="H87">
            <v>427</v>
          </cell>
          <cell r="J87">
            <v>171</v>
          </cell>
          <cell r="K87">
            <v>12534000</v>
          </cell>
          <cell r="L87">
            <v>9738725</v>
          </cell>
          <cell r="T87">
            <v>8579711</v>
          </cell>
        </row>
        <row r="88">
          <cell r="H88">
            <v>398</v>
          </cell>
          <cell r="J88">
            <v>164</v>
          </cell>
          <cell r="K88">
            <v>13307750</v>
          </cell>
          <cell r="L88">
            <v>10465466</v>
          </cell>
          <cell r="T88">
            <v>8715006</v>
          </cell>
        </row>
        <row r="89">
          <cell r="H89">
            <v>420</v>
          </cell>
          <cell r="J89">
            <v>187</v>
          </cell>
          <cell r="K89">
            <v>13887000</v>
          </cell>
          <cell r="L89">
            <v>10749807</v>
          </cell>
          <cell r="T89">
            <v>6637680</v>
          </cell>
        </row>
        <row r="90">
          <cell r="H90">
            <v>415</v>
          </cell>
          <cell r="J90">
            <v>172</v>
          </cell>
          <cell r="K90">
            <v>12661500</v>
          </cell>
          <cell r="L90">
            <v>9888746</v>
          </cell>
          <cell r="T90">
            <v>7079485</v>
          </cell>
        </row>
        <row r="91">
          <cell r="H91">
            <v>385</v>
          </cell>
          <cell r="J91">
            <v>159</v>
          </cell>
          <cell r="K91">
            <v>12602200</v>
          </cell>
          <cell r="L91">
            <v>9638797</v>
          </cell>
          <cell r="T91">
            <v>6915755</v>
          </cell>
        </row>
        <row r="92">
          <cell r="H92">
            <v>392</v>
          </cell>
          <cell r="J92">
            <v>182</v>
          </cell>
          <cell r="K92">
            <v>14644420</v>
          </cell>
          <cell r="L92">
            <v>10920323</v>
          </cell>
          <cell r="T92">
            <v>7262584</v>
          </cell>
        </row>
        <row r="93">
          <cell r="H93">
            <v>379</v>
          </cell>
          <cell r="J93">
            <v>92</v>
          </cell>
          <cell r="K93">
            <v>6661500</v>
          </cell>
          <cell r="L93">
            <v>5078989</v>
          </cell>
          <cell r="T93">
            <v>6705647</v>
          </cell>
        </row>
        <row r="94">
          <cell r="H94">
            <v>416</v>
          </cell>
          <cell r="J94">
            <v>269</v>
          </cell>
          <cell r="K94">
            <v>42368650</v>
          </cell>
          <cell r="L94">
            <v>32031584</v>
          </cell>
          <cell r="T94">
            <v>15329184</v>
          </cell>
        </row>
        <row r="95">
          <cell r="H95">
            <v>400</v>
          </cell>
          <cell r="J95">
            <v>169</v>
          </cell>
          <cell r="K95">
            <v>29865050</v>
          </cell>
          <cell r="L95">
            <v>22527572</v>
          </cell>
          <cell r="T95">
            <v>18826000</v>
          </cell>
        </row>
        <row r="96">
          <cell r="H96">
            <v>375</v>
          </cell>
          <cell r="J96">
            <v>159</v>
          </cell>
          <cell r="K96">
            <v>32349550</v>
          </cell>
          <cell r="L96">
            <v>24481353</v>
          </cell>
          <cell r="T96">
            <v>21963375</v>
          </cell>
        </row>
        <row r="97">
          <cell r="H97">
            <v>361</v>
          </cell>
          <cell r="J97">
            <v>160</v>
          </cell>
          <cell r="K97">
            <v>35222700</v>
          </cell>
          <cell r="L97">
            <v>26799907</v>
          </cell>
          <cell r="T97">
            <v>21257124</v>
          </cell>
        </row>
        <row r="98">
          <cell r="H98">
            <v>279</v>
          </cell>
          <cell r="J98">
            <v>54</v>
          </cell>
          <cell r="K98">
            <v>9889400</v>
          </cell>
          <cell r="L98">
            <v>7493544</v>
          </cell>
          <cell r="T98">
            <v>12846834</v>
          </cell>
        </row>
        <row r="99">
          <cell r="H99">
            <v>376</v>
          </cell>
          <cell r="J99">
            <v>180</v>
          </cell>
          <cell r="K99">
            <v>42475590</v>
          </cell>
          <cell r="L99">
            <v>31243549</v>
          </cell>
          <cell r="T99">
            <v>19173368</v>
          </cell>
        </row>
        <row r="100">
          <cell r="H100">
            <v>255</v>
          </cell>
          <cell r="J100">
            <v>97</v>
          </cell>
          <cell r="K100">
            <v>26915845</v>
          </cell>
          <cell r="L100">
            <v>19878238</v>
          </cell>
          <cell r="T100">
            <v>18921510</v>
          </cell>
        </row>
        <row r="101">
          <cell r="H101">
            <v>408</v>
          </cell>
          <cell r="J101">
            <v>377</v>
          </cell>
          <cell r="K101">
            <v>104657600</v>
          </cell>
          <cell r="L101">
            <v>78908478</v>
          </cell>
          <cell r="T101">
            <v>32883576</v>
          </cell>
        </row>
        <row r="102">
          <cell r="H102">
            <v>705</v>
          </cell>
          <cell r="J102">
            <v>286</v>
          </cell>
          <cell r="K102">
            <v>67780750</v>
          </cell>
          <cell r="L102">
            <v>51676457</v>
          </cell>
          <cell r="T102">
            <v>33103275</v>
          </cell>
        </row>
        <row r="103">
          <cell r="H103">
            <v>399</v>
          </cell>
          <cell r="J103">
            <v>286</v>
          </cell>
          <cell r="K103">
            <v>39812700</v>
          </cell>
          <cell r="L103">
            <v>29966508</v>
          </cell>
          <cell r="T103">
            <v>14936565</v>
          </cell>
        </row>
        <row r="104">
          <cell r="H104">
            <v>499</v>
          </cell>
          <cell r="J104">
            <v>98</v>
          </cell>
          <cell r="K104">
            <v>12067300</v>
          </cell>
          <cell r="L104">
            <v>9175261</v>
          </cell>
          <cell r="T104">
            <v>17477475</v>
          </cell>
        </row>
        <row r="105">
          <cell r="H105">
            <v>828</v>
          </cell>
          <cell r="J105">
            <v>291</v>
          </cell>
          <cell r="K105">
            <v>79148650</v>
          </cell>
          <cell r="L105">
            <v>60761136</v>
          </cell>
          <cell r="T105">
            <v>42972372</v>
          </cell>
        </row>
        <row r="106">
          <cell r="H106">
            <v>400</v>
          </cell>
          <cell r="J106">
            <v>130</v>
          </cell>
          <cell r="K106">
            <v>24177000</v>
          </cell>
          <cell r="L106">
            <v>18446902</v>
          </cell>
          <cell r="T106">
            <v>19554800</v>
          </cell>
        </row>
        <row r="107">
          <cell r="H107">
            <v>473</v>
          </cell>
          <cell r="J107">
            <v>213</v>
          </cell>
          <cell r="K107">
            <v>58445295</v>
          </cell>
          <cell r="L107">
            <v>44432716</v>
          </cell>
          <cell r="T107">
            <v>34555961</v>
          </cell>
        </row>
        <row r="108">
          <cell r="H108">
            <v>663</v>
          </cell>
          <cell r="J108">
            <v>55</v>
          </cell>
          <cell r="K108">
            <v>18259595</v>
          </cell>
          <cell r="L108">
            <v>13827113</v>
          </cell>
          <cell r="T108">
            <v>53066520</v>
          </cell>
        </row>
        <row r="109">
          <cell r="H109">
            <v>604</v>
          </cell>
          <cell r="J109">
            <v>63</v>
          </cell>
          <cell r="K109">
            <v>10283150</v>
          </cell>
          <cell r="L109">
            <v>7474834</v>
          </cell>
          <cell r="T109">
            <v>21516896</v>
          </cell>
        </row>
        <row r="110">
          <cell r="H110">
            <v>846</v>
          </cell>
          <cell r="J110">
            <v>57</v>
          </cell>
          <cell r="K110">
            <v>12424500</v>
          </cell>
          <cell r="L110">
            <v>9331808</v>
          </cell>
          <cell r="T110">
            <v>49878468</v>
          </cell>
        </row>
        <row r="111">
          <cell r="H111">
            <v>247</v>
          </cell>
          <cell r="J111">
            <v>58</v>
          </cell>
          <cell r="K111">
            <v>35386000</v>
          </cell>
          <cell r="L111">
            <v>26608470</v>
          </cell>
          <cell r="T111">
            <v>31565612</v>
          </cell>
        </row>
        <row r="112">
          <cell r="H112">
            <v>904</v>
          </cell>
          <cell r="J112">
            <v>592</v>
          </cell>
          <cell r="K112">
            <v>44042000</v>
          </cell>
          <cell r="L112">
            <v>33967214</v>
          </cell>
          <cell r="T112">
            <v>22472536</v>
          </cell>
        </row>
        <row r="113">
          <cell r="H113">
            <v>502</v>
          </cell>
          <cell r="J113">
            <v>189</v>
          </cell>
          <cell r="K113">
            <v>6862800</v>
          </cell>
          <cell r="L113">
            <v>5315856</v>
          </cell>
          <cell r="T113">
            <v>5845790</v>
          </cell>
        </row>
        <row r="114">
          <cell r="H114">
            <v>502</v>
          </cell>
          <cell r="J114">
            <v>180</v>
          </cell>
          <cell r="K114">
            <v>6798800</v>
          </cell>
          <cell r="L114">
            <v>4994448</v>
          </cell>
          <cell r="T114">
            <v>5594790</v>
          </cell>
        </row>
        <row r="115">
          <cell r="H115">
            <v>200</v>
          </cell>
          <cell r="J115">
            <v>95</v>
          </cell>
          <cell r="K115">
            <v>4016400</v>
          </cell>
          <cell r="L115">
            <v>3088692</v>
          </cell>
          <cell r="T115">
            <v>2329000</v>
          </cell>
        </row>
        <row r="116">
          <cell r="H116">
            <v>153</v>
          </cell>
          <cell r="J116">
            <v>105</v>
          </cell>
          <cell r="K116">
            <v>4764480</v>
          </cell>
          <cell r="L116">
            <v>3707430</v>
          </cell>
          <cell r="T116">
            <v>2164185</v>
          </cell>
        </row>
        <row r="117">
          <cell r="H117">
            <v>152</v>
          </cell>
          <cell r="J117">
            <v>30</v>
          </cell>
          <cell r="K117">
            <v>1278400</v>
          </cell>
          <cell r="L117">
            <v>964980</v>
          </cell>
          <cell r="T117">
            <v>1618040</v>
          </cell>
        </row>
        <row r="118">
          <cell r="H118">
            <v>290</v>
          </cell>
          <cell r="J118">
            <v>201</v>
          </cell>
          <cell r="K118">
            <v>8508800</v>
          </cell>
          <cell r="L118">
            <v>6532164</v>
          </cell>
          <cell r="T118">
            <v>3377050</v>
          </cell>
        </row>
        <row r="119">
          <cell r="H119">
            <v>198</v>
          </cell>
          <cell r="J119">
            <v>83</v>
          </cell>
          <cell r="K119">
            <v>3751200</v>
          </cell>
          <cell r="L119">
            <v>2905568</v>
          </cell>
          <cell r="T119">
            <v>2404710</v>
          </cell>
        </row>
        <row r="120">
          <cell r="H120">
            <v>350</v>
          </cell>
          <cell r="J120">
            <v>134</v>
          </cell>
          <cell r="K120">
            <v>6017600</v>
          </cell>
          <cell r="L120">
            <v>4691736</v>
          </cell>
          <cell r="T120">
            <v>4250750</v>
          </cell>
        </row>
        <row r="121">
          <cell r="H121">
            <v>151</v>
          </cell>
          <cell r="J121">
            <v>90</v>
          </cell>
          <cell r="K121">
            <v>4047600</v>
          </cell>
          <cell r="L121">
            <v>3166336</v>
          </cell>
          <cell r="T121">
            <v>1833895</v>
          </cell>
        </row>
        <row r="122">
          <cell r="H122">
            <v>248</v>
          </cell>
          <cell r="J122">
            <v>66</v>
          </cell>
          <cell r="K122">
            <v>2732800</v>
          </cell>
          <cell r="L122">
            <v>2127060</v>
          </cell>
          <cell r="T122">
            <v>2887960</v>
          </cell>
        </row>
        <row r="123">
          <cell r="H123">
            <v>301</v>
          </cell>
          <cell r="J123">
            <v>262</v>
          </cell>
          <cell r="K123">
            <v>11848000</v>
          </cell>
          <cell r="L123">
            <v>9204484</v>
          </cell>
          <cell r="T123">
            <v>3655645</v>
          </cell>
        </row>
        <row r="124">
          <cell r="H124">
            <v>150</v>
          </cell>
          <cell r="J124">
            <v>79</v>
          </cell>
          <cell r="K124">
            <v>4238000</v>
          </cell>
          <cell r="L124">
            <v>3451248</v>
          </cell>
          <cell r="T124">
            <v>2646750</v>
          </cell>
        </row>
        <row r="125">
          <cell r="H125">
            <v>200</v>
          </cell>
          <cell r="J125">
            <v>150</v>
          </cell>
          <cell r="K125">
            <v>6709600</v>
          </cell>
          <cell r="L125">
            <v>5319528</v>
          </cell>
          <cell r="T125">
            <v>2229000</v>
          </cell>
        </row>
        <row r="126">
          <cell r="H126">
            <v>342</v>
          </cell>
          <cell r="J126">
            <v>176</v>
          </cell>
          <cell r="K126">
            <v>10294800</v>
          </cell>
          <cell r="L126">
            <v>8313396</v>
          </cell>
          <cell r="T126">
            <v>5692590</v>
          </cell>
        </row>
        <row r="127">
          <cell r="H127">
            <v>298</v>
          </cell>
          <cell r="J127">
            <v>194</v>
          </cell>
          <cell r="K127">
            <v>10282400</v>
          </cell>
          <cell r="L127">
            <v>8027060</v>
          </cell>
          <cell r="T127">
            <v>4513210</v>
          </cell>
        </row>
        <row r="128">
          <cell r="H128">
            <v>148</v>
          </cell>
          <cell r="J128">
            <v>105</v>
          </cell>
          <cell r="K128">
            <v>5078200</v>
          </cell>
          <cell r="L128">
            <v>3982632</v>
          </cell>
          <cell r="T128">
            <v>1901060</v>
          </cell>
        </row>
        <row r="129">
          <cell r="H129">
            <v>149</v>
          </cell>
          <cell r="J129">
            <v>90</v>
          </cell>
          <cell r="K129">
            <v>5426200</v>
          </cell>
          <cell r="L129">
            <v>4239456</v>
          </cell>
          <cell r="T129">
            <v>2405605</v>
          </cell>
        </row>
        <row r="130">
          <cell r="H130">
            <v>395</v>
          </cell>
          <cell r="J130">
            <v>123</v>
          </cell>
          <cell r="K130">
            <v>5496480</v>
          </cell>
          <cell r="L130">
            <v>4267350</v>
          </cell>
          <cell r="T130">
            <v>5389775</v>
          </cell>
        </row>
        <row r="131">
          <cell r="H131">
            <v>49</v>
          </cell>
          <cell r="J131">
            <v>25</v>
          </cell>
          <cell r="K131">
            <v>1110000</v>
          </cell>
          <cell r="L131">
            <v>879512</v>
          </cell>
          <cell r="T131">
            <v>497105</v>
          </cell>
        </row>
        <row r="132">
          <cell r="H132">
            <v>497</v>
          </cell>
          <cell r="J132">
            <v>257</v>
          </cell>
          <cell r="K132">
            <v>11428000</v>
          </cell>
          <cell r="L132">
            <v>8985012</v>
          </cell>
          <cell r="T132">
            <v>6036065</v>
          </cell>
        </row>
        <row r="133">
          <cell r="H133">
            <v>149</v>
          </cell>
          <cell r="J133">
            <v>100</v>
          </cell>
          <cell r="K133">
            <v>4822400</v>
          </cell>
          <cell r="L133">
            <v>3719380</v>
          </cell>
          <cell r="T133">
            <v>1958605</v>
          </cell>
        </row>
        <row r="134">
          <cell r="H134">
            <v>9970</v>
          </cell>
          <cell r="J134">
            <v>2681</v>
          </cell>
          <cell r="K134">
            <v>25757500</v>
          </cell>
          <cell r="L134">
            <v>20210885</v>
          </cell>
          <cell r="T134">
            <v>35233980</v>
          </cell>
        </row>
        <row r="135">
          <cell r="H135">
            <v>2077</v>
          </cell>
          <cell r="J135">
            <v>1373</v>
          </cell>
          <cell r="K135">
            <v>53766144</v>
          </cell>
          <cell r="L135">
            <v>40948366</v>
          </cell>
          <cell r="T135">
            <v>31142538</v>
          </cell>
        </row>
        <row r="136">
          <cell r="H136">
            <v>2285</v>
          </cell>
          <cell r="J136">
            <v>554</v>
          </cell>
          <cell r="K136">
            <v>38760434</v>
          </cell>
          <cell r="L136">
            <v>28935011</v>
          </cell>
          <cell r="T136">
            <v>66536915</v>
          </cell>
        </row>
        <row r="137">
          <cell r="H137">
            <v>3040</v>
          </cell>
          <cell r="J137">
            <v>1198</v>
          </cell>
          <cell r="K137">
            <v>152430900</v>
          </cell>
          <cell r="L137">
            <v>120615117</v>
          </cell>
          <cell r="T137">
            <v>157143680</v>
          </cell>
        </row>
        <row r="138">
          <cell r="H138">
            <v>1825</v>
          </cell>
          <cell r="J138">
            <v>1338</v>
          </cell>
          <cell r="K138">
            <v>115884400</v>
          </cell>
          <cell r="L138">
            <v>89622890</v>
          </cell>
          <cell r="T138">
            <v>46136000</v>
          </cell>
        </row>
        <row r="139">
          <cell r="H139">
            <v>1473</v>
          </cell>
          <cell r="J139">
            <v>915</v>
          </cell>
          <cell r="K139">
            <v>78837200</v>
          </cell>
          <cell r="L139">
            <v>60665128</v>
          </cell>
          <cell r="T139">
            <v>40650381</v>
          </cell>
        </row>
        <row r="140">
          <cell r="H140">
            <v>849</v>
          </cell>
          <cell r="J140">
            <v>288</v>
          </cell>
          <cell r="K140">
            <v>23889750</v>
          </cell>
          <cell r="L140">
            <v>18400083</v>
          </cell>
          <cell r="T140">
            <v>22075698</v>
          </cell>
        </row>
        <row r="141">
          <cell r="H141">
            <v>1157</v>
          </cell>
          <cell r="J141">
            <v>553</v>
          </cell>
          <cell r="K141">
            <v>40331500</v>
          </cell>
          <cell r="L141">
            <v>31550191</v>
          </cell>
          <cell r="T141">
            <v>23236031</v>
          </cell>
        </row>
        <row r="142">
          <cell r="H142">
            <v>896</v>
          </cell>
          <cell r="J142">
            <v>254</v>
          </cell>
          <cell r="K142">
            <v>16340900</v>
          </cell>
          <cell r="L142">
            <v>12757514</v>
          </cell>
          <cell r="T142">
            <v>16928128</v>
          </cell>
        </row>
        <row r="143">
          <cell r="H143">
            <v>611</v>
          </cell>
          <cell r="J143">
            <v>298</v>
          </cell>
          <cell r="K143">
            <v>24726250</v>
          </cell>
          <cell r="L143">
            <v>19013782</v>
          </cell>
          <cell r="T143">
            <v>12531610</v>
          </cell>
        </row>
        <row r="144">
          <cell r="H144">
            <v>489</v>
          </cell>
          <cell r="J144">
            <v>210</v>
          </cell>
          <cell r="K144">
            <v>9822390</v>
          </cell>
          <cell r="L144">
            <v>7515882</v>
          </cell>
          <cell r="T144">
            <v>6226926</v>
          </cell>
        </row>
        <row r="145">
          <cell r="H145">
            <v>634</v>
          </cell>
          <cell r="J145">
            <v>128</v>
          </cell>
          <cell r="K145">
            <v>9381900</v>
          </cell>
          <cell r="L145">
            <v>7060696</v>
          </cell>
          <cell r="T145">
            <v>15644584</v>
          </cell>
        </row>
        <row r="146">
          <cell r="H146">
            <v>735</v>
          </cell>
          <cell r="J146">
            <v>78</v>
          </cell>
          <cell r="K146">
            <v>9211150</v>
          </cell>
          <cell r="L146">
            <v>6901870</v>
          </cell>
          <cell r="T146">
            <v>20174280</v>
          </cell>
        </row>
        <row r="147">
          <cell r="H147">
            <v>859</v>
          </cell>
          <cell r="J147">
            <v>223</v>
          </cell>
          <cell r="K147">
            <v>22305950</v>
          </cell>
          <cell r="L147">
            <v>16820852</v>
          </cell>
          <cell r="T147">
            <v>21619312</v>
          </cell>
        </row>
        <row r="148">
          <cell r="H148">
            <v>647</v>
          </cell>
          <cell r="J148">
            <v>137</v>
          </cell>
          <cell r="K148">
            <v>18974400</v>
          </cell>
          <cell r="L148">
            <v>14680245</v>
          </cell>
          <cell r="T148">
            <v>23557270</v>
          </cell>
        </row>
        <row r="149">
          <cell r="H149">
            <v>1568</v>
          </cell>
          <cell r="J149">
            <v>318</v>
          </cell>
          <cell r="K149">
            <v>30557000</v>
          </cell>
          <cell r="L149">
            <v>23166862</v>
          </cell>
          <cell r="T149">
            <v>50451968</v>
          </cell>
        </row>
        <row r="150">
          <cell r="H150">
            <v>1472</v>
          </cell>
          <cell r="J150">
            <v>343</v>
          </cell>
          <cell r="K150">
            <v>68359850</v>
          </cell>
          <cell r="L150">
            <v>51505164</v>
          </cell>
          <cell r="T150">
            <v>69207552</v>
          </cell>
        </row>
        <row r="151">
          <cell r="H151">
            <v>778</v>
          </cell>
          <cell r="J151">
            <v>85</v>
          </cell>
          <cell r="K151">
            <v>19616745</v>
          </cell>
          <cell r="L151">
            <v>14510699</v>
          </cell>
          <cell r="T151">
            <v>38629256</v>
          </cell>
        </row>
        <row r="152">
          <cell r="H152">
            <v>880</v>
          </cell>
          <cell r="J152">
            <v>444</v>
          </cell>
          <cell r="K152">
            <v>36560700</v>
          </cell>
          <cell r="L152">
            <v>28193554</v>
          </cell>
          <cell r="T152">
            <v>19708480</v>
          </cell>
        </row>
        <row r="153">
          <cell r="H153">
            <v>939</v>
          </cell>
          <cell r="J153">
            <v>434</v>
          </cell>
          <cell r="K153">
            <v>40717000</v>
          </cell>
          <cell r="L153">
            <v>31605793</v>
          </cell>
          <cell r="T153">
            <v>26401863</v>
          </cell>
        </row>
        <row r="154">
          <cell r="H154">
            <v>610</v>
          </cell>
          <cell r="J154">
            <v>179</v>
          </cell>
          <cell r="K154">
            <v>18173500</v>
          </cell>
          <cell r="L154">
            <v>13409463</v>
          </cell>
          <cell r="T154">
            <v>13035700</v>
          </cell>
        </row>
        <row r="155">
          <cell r="H155">
            <v>594</v>
          </cell>
          <cell r="J155">
            <v>168</v>
          </cell>
          <cell r="K155">
            <v>18664950</v>
          </cell>
          <cell r="L155">
            <v>14239719</v>
          </cell>
          <cell r="T155">
            <v>18027306</v>
          </cell>
        </row>
        <row r="156">
          <cell r="H156">
            <v>985</v>
          </cell>
          <cell r="J156">
            <v>253</v>
          </cell>
          <cell r="K156">
            <v>22887550</v>
          </cell>
          <cell r="L156">
            <v>17756620</v>
          </cell>
          <cell r="T156">
            <v>20714550</v>
          </cell>
        </row>
        <row r="157">
          <cell r="H157">
            <v>2240</v>
          </cell>
          <cell r="J157">
            <v>906</v>
          </cell>
          <cell r="K157">
            <v>68879700</v>
          </cell>
          <cell r="L157">
            <v>52335927</v>
          </cell>
          <cell r="T157">
            <v>58544640</v>
          </cell>
        </row>
        <row r="158">
          <cell r="H158">
            <v>700</v>
          </cell>
          <cell r="J158">
            <v>700</v>
          </cell>
          <cell r="K158">
            <v>46200000</v>
          </cell>
          <cell r="L158">
            <v>46200000</v>
          </cell>
          <cell r="T158">
            <v>26342400</v>
          </cell>
        </row>
        <row r="159">
          <cell r="H159">
            <v>126</v>
          </cell>
          <cell r="J159">
            <v>126</v>
          </cell>
          <cell r="K159">
            <v>11088000</v>
          </cell>
          <cell r="L159">
            <v>11088000</v>
          </cell>
          <cell r="T159">
            <v>8156358</v>
          </cell>
        </row>
        <row r="160">
          <cell r="H160">
            <v>701</v>
          </cell>
          <cell r="J160">
            <v>145</v>
          </cell>
          <cell r="K160">
            <v>8867250</v>
          </cell>
          <cell r="L160">
            <v>7198080</v>
          </cell>
          <cell r="T160">
            <v>10142769</v>
          </cell>
        </row>
        <row r="161">
          <cell r="H161">
            <v>1745</v>
          </cell>
          <cell r="J161">
            <v>538</v>
          </cell>
          <cell r="K161">
            <v>19357050</v>
          </cell>
          <cell r="L161">
            <v>15129654</v>
          </cell>
          <cell r="T161">
            <v>19207215</v>
          </cell>
        </row>
        <row r="162">
          <cell r="H162">
            <v>1273</v>
          </cell>
          <cell r="J162">
            <v>595</v>
          </cell>
          <cell r="K162">
            <v>27411900</v>
          </cell>
          <cell r="L162">
            <v>21163958</v>
          </cell>
          <cell r="T162">
            <v>15264543</v>
          </cell>
        </row>
        <row r="163">
          <cell r="H163">
            <v>861</v>
          </cell>
          <cell r="J163">
            <v>395</v>
          </cell>
          <cell r="K163">
            <v>28531500</v>
          </cell>
          <cell r="L163">
            <v>22554145</v>
          </cell>
          <cell r="T163">
            <v>15633177</v>
          </cell>
        </row>
        <row r="164">
          <cell r="H164">
            <v>848</v>
          </cell>
          <cell r="J164">
            <v>792</v>
          </cell>
          <cell r="K164">
            <v>50440695</v>
          </cell>
          <cell r="L164">
            <v>39342965</v>
          </cell>
          <cell r="T164">
            <v>12948112</v>
          </cell>
        </row>
        <row r="165">
          <cell r="H165">
            <v>845</v>
          </cell>
          <cell r="J165">
            <v>589</v>
          </cell>
          <cell r="K165">
            <v>42532600</v>
          </cell>
          <cell r="L165">
            <v>33793870</v>
          </cell>
          <cell r="T165">
            <v>15845440</v>
          </cell>
        </row>
        <row r="166">
          <cell r="H166">
            <v>622</v>
          </cell>
          <cell r="J166">
            <v>171</v>
          </cell>
          <cell r="K166">
            <v>12135900</v>
          </cell>
          <cell r="L166">
            <v>9328518</v>
          </cell>
          <cell r="T166">
            <v>12816932</v>
          </cell>
        </row>
        <row r="167">
          <cell r="H167">
            <v>727</v>
          </cell>
          <cell r="J167">
            <v>357</v>
          </cell>
          <cell r="K167">
            <v>29052745</v>
          </cell>
          <cell r="L167">
            <v>22349805</v>
          </cell>
          <cell r="T167">
            <v>15962739</v>
          </cell>
        </row>
        <row r="168">
          <cell r="H168">
            <v>684</v>
          </cell>
          <cell r="J168">
            <v>228</v>
          </cell>
          <cell r="K168">
            <v>16986800</v>
          </cell>
          <cell r="L168">
            <v>12870474</v>
          </cell>
          <cell r="T168">
            <v>16707384</v>
          </cell>
        </row>
        <row r="169">
          <cell r="H169">
            <v>581</v>
          </cell>
          <cell r="J169">
            <v>308</v>
          </cell>
          <cell r="K169">
            <v>22566800</v>
          </cell>
          <cell r="L169">
            <v>17354602</v>
          </cell>
          <cell r="T169">
            <v>11348673</v>
          </cell>
        </row>
        <row r="170">
          <cell r="H170">
            <v>785</v>
          </cell>
          <cell r="J170">
            <v>363</v>
          </cell>
          <cell r="K170">
            <v>25943500</v>
          </cell>
          <cell r="L170">
            <v>20328043</v>
          </cell>
          <cell r="T170">
            <v>15480985</v>
          </cell>
        </row>
        <row r="171">
          <cell r="H171">
            <v>186</v>
          </cell>
          <cell r="J171">
            <v>53</v>
          </cell>
          <cell r="K171">
            <v>3743200</v>
          </cell>
          <cell r="L171">
            <v>2998487</v>
          </cell>
          <cell r="T171">
            <v>3483408</v>
          </cell>
        </row>
        <row r="172">
          <cell r="H172">
            <v>879</v>
          </cell>
          <cell r="J172">
            <v>275</v>
          </cell>
          <cell r="K172">
            <v>14742700</v>
          </cell>
          <cell r="L172">
            <v>11935376</v>
          </cell>
          <cell r="T172">
            <v>11848041</v>
          </cell>
        </row>
        <row r="173">
          <cell r="H173">
            <v>401</v>
          </cell>
          <cell r="J173">
            <v>376</v>
          </cell>
          <cell r="K173">
            <v>20189200</v>
          </cell>
          <cell r="L173">
            <v>15927552</v>
          </cell>
          <cell r="T173">
            <v>6252793</v>
          </cell>
        </row>
        <row r="174">
          <cell r="H174">
            <v>702</v>
          </cell>
          <cell r="J174">
            <v>190</v>
          </cell>
          <cell r="K174">
            <v>9942150</v>
          </cell>
          <cell r="L174">
            <v>8172562</v>
          </cell>
          <cell r="T174">
            <v>9542286</v>
          </cell>
        </row>
        <row r="175">
          <cell r="H175">
            <v>1266</v>
          </cell>
          <cell r="J175">
            <v>365</v>
          </cell>
          <cell r="K175">
            <v>16043100</v>
          </cell>
          <cell r="L175">
            <v>12151914</v>
          </cell>
          <cell r="T175">
            <v>12066246</v>
          </cell>
        </row>
        <row r="176">
          <cell r="H176">
            <v>1789</v>
          </cell>
          <cell r="J176">
            <v>317</v>
          </cell>
          <cell r="K176">
            <v>13207400</v>
          </cell>
          <cell r="L176">
            <v>9922942</v>
          </cell>
          <cell r="T176">
            <v>22451950</v>
          </cell>
        </row>
        <row r="177">
          <cell r="H177">
            <v>2235</v>
          </cell>
          <cell r="J177">
            <v>1106</v>
          </cell>
          <cell r="K177">
            <v>91118940</v>
          </cell>
          <cell r="L177">
            <v>71220497</v>
          </cell>
          <cell r="T177">
            <v>53767395</v>
          </cell>
        </row>
        <row r="178">
          <cell r="H178">
            <v>1321</v>
          </cell>
          <cell r="J178">
            <v>500</v>
          </cell>
          <cell r="K178">
            <v>41483645</v>
          </cell>
          <cell r="L178">
            <v>32164934</v>
          </cell>
          <cell r="T178">
            <v>33146532</v>
          </cell>
        </row>
        <row r="179">
          <cell r="H179">
            <v>1070</v>
          </cell>
          <cell r="J179">
            <v>349</v>
          </cell>
          <cell r="K179">
            <v>25399200</v>
          </cell>
          <cell r="L179">
            <v>19559964</v>
          </cell>
          <cell r="T179">
            <v>20554700</v>
          </cell>
        </row>
        <row r="180">
          <cell r="H180">
            <v>955</v>
          </cell>
          <cell r="J180">
            <v>704</v>
          </cell>
          <cell r="K180">
            <v>57963000</v>
          </cell>
          <cell r="L180">
            <v>44784578</v>
          </cell>
          <cell r="T180">
            <v>20396890</v>
          </cell>
        </row>
        <row r="181">
          <cell r="H181">
            <v>2609</v>
          </cell>
          <cell r="J181">
            <v>1527</v>
          </cell>
          <cell r="K181">
            <v>62978350</v>
          </cell>
          <cell r="L181">
            <v>47951067</v>
          </cell>
          <cell r="T181">
            <v>29867832</v>
          </cell>
        </row>
        <row r="182">
          <cell r="H182">
            <v>852</v>
          </cell>
          <cell r="J182">
            <v>522</v>
          </cell>
          <cell r="K182">
            <v>28415960</v>
          </cell>
          <cell r="L182">
            <v>22578439</v>
          </cell>
          <cell r="T182">
            <v>12225348</v>
          </cell>
        </row>
        <row r="183">
          <cell r="H183">
            <v>701</v>
          </cell>
          <cell r="J183">
            <v>386</v>
          </cell>
          <cell r="K183">
            <v>33531000</v>
          </cell>
          <cell r="L183">
            <v>25780910</v>
          </cell>
          <cell r="T183">
            <v>16401998</v>
          </cell>
        </row>
        <row r="184">
          <cell r="H184">
            <v>1352</v>
          </cell>
          <cell r="J184">
            <v>501</v>
          </cell>
          <cell r="K184">
            <v>41034045</v>
          </cell>
          <cell r="L184">
            <v>31883471</v>
          </cell>
          <cell r="T184">
            <v>31685472</v>
          </cell>
        </row>
        <row r="185">
          <cell r="H185">
            <v>1366</v>
          </cell>
          <cell r="J185">
            <v>784</v>
          </cell>
          <cell r="K185">
            <v>64472000</v>
          </cell>
          <cell r="L185">
            <v>50102773</v>
          </cell>
          <cell r="T185">
            <v>28758398</v>
          </cell>
        </row>
        <row r="186">
          <cell r="H186">
            <v>794</v>
          </cell>
          <cell r="J186">
            <v>288</v>
          </cell>
          <cell r="K186">
            <v>7804440</v>
          </cell>
          <cell r="L186">
            <v>5970948</v>
          </cell>
          <cell r="T186">
            <v>5033166</v>
          </cell>
        </row>
        <row r="187">
          <cell r="H187">
            <v>615</v>
          </cell>
          <cell r="J187">
            <v>215</v>
          </cell>
          <cell r="K187">
            <v>9420600</v>
          </cell>
          <cell r="L187">
            <v>7126301</v>
          </cell>
          <cell r="T187">
            <v>8018370</v>
          </cell>
        </row>
        <row r="188">
          <cell r="H188">
            <v>799</v>
          </cell>
          <cell r="J188">
            <v>317</v>
          </cell>
          <cell r="K188">
            <v>14728300</v>
          </cell>
          <cell r="L188">
            <v>11167860</v>
          </cell>
          <cell r="T188">
            <v>9488924</v>
          </cell>
        </row>
        <row r="189">
          <cell r="H189">
            <v>1169</v>
          </cell>
          <cell r="J189">
            <v>261</v>
          </cell>
          <cell r="K189">
            <v>14568700</v>
          </cell>
          <cell r="L189">
            <v>11312364</v>
          </cell>
          <cell r="T189">
            <v>19728044</v>
          </cell>
        </row>
        <row r="190">
          <cell r="H190">
            <v>954</v>
          </cell>
          <cell r="J190">
            <v>323</v>
          </cell>
          <cell r="K190">
            <v>17187790</v>
          </cell>
          <cell r="L190">
            <v>13632924</v>
          </cell>
          <cell r="T190">
            <v>12283704</v>
          </cell>
        </row>
        <row r="191">
          <cell r="H191">
            <v>973</v>
          </cell>
          <cell r="J191">
            <v>222</v>
          </cell>
          <cell r="K191">
            <v>9684950</v>
          </cell>
          <cell r="L191">
            <v>7427579</v>
          </cell>
          <cell r="T191">
            <v>12041848</v>
          </cell>
        </row>
        <row r="192">
          <cell r="H192">
            <v>985</v>
          </cell>
          <cell r="J192">
            <v>234</v>
          </cell>
          <cell r="K192">
            <v>10156100</v>
          </cell>
          <cell r="L192">
            <v>7820679</v>
          </cell>
          <cell r="T192">
            <v>12682860</v>
          </cell>
        </row>
        <row r="193">
          <cell r="H193">
            <v>808</v>
          </cell>
          <cell r="J193">
            <v>142</v>
          </cell>
          <cell r="K193">
            <v>10079800</v>
          </cell>
          <cell r="L193">
            <v>7948704</v>
          </cell>
          <cell r="T193">
            <v>14017992</v>
          </cell>
        </row>
        <row r="194">
          <cell r="H194">
            <v>610</v>
          </cell>
          <cell r="J194">
            <v>282</v>
          </cell>
          <cell r="K194">
            <v>41417900</v>
          </cell>
          <cell r="L194">
            <v>31467134</v>
          </cell>
          <cell r="T194">
            <v>25289380</v>
          </cell>
        </row>
        <row r="195">
          <cell r="H195">
            <v>396</v>
          </cell>
          <cell r="J195">
            <v>143</v>
          </cell>
          <cell r="K195">
            <v>17299795</v>
          </cell>
          <cell r="L195">
            <v>12863886</v>
          </cell>
          <cell r="T195">
            <v>13123836</v>
          </cell>
        </row>
        <row r="196">
          <cell r="H196">
            <v>299</v>
          </cell>
          <cell r="J196">
            <v>48</v>
          </cell>
          <cell r="K196">
            <v>4388650</v>
          </cell>
          <cell r="L196">
            <v>3153903</v>
          </cell>
          <cell r="T196">
            <v>7173309</v>
          </cell>
        </row>
        <row r="197">
          <cell r="H197">
            <v>968</v>
          </cell>
          <cell r="J197">
            <v>89</v>
          </cell>
          <cell r="K197">
            <v>7403200</v>
          </cell>
          <cell r="L197">
            <v>5477496</v>
          </cell>
          <cell r="T197">
            <v>28053608</v>
          </cell>
        </row>
        <row r="198">
          <cell r="H198">
            <v>412</v>
          </cell>
          <cell r="J198">
            <v>91</v>
          </cell>
          <cell r="K198">
            <v>14577600</v>
          </cell>
          <cell r="L198">
            <v>10806958</v>
          </cell>
          <cell r="T198">
            <v>23108668</v>
          </cell>
        </row>
        <row r="199">
          <cell r="H199">
            <v>696</v>
          </cell>
          <cell r="J199">
            <v>148</v>
          </cell>
          <cell r="K199">
            <v>24425200</v>
          </cell>
          <cell r="L199">
            <v>18207433</v>
          </cell>
          <cell r="T199">
            <v>31239264</v>
          </cell>
        </row>
        <row r="200">
          <cell r="H200">
            <v>799</v>
          </cell>
          <cell r="J200">
            <v>183</v>
          </cell>
          <cell r="K200">
            <v>34455795</v>
          </cell>
          <cell r="L200">
            <v>25815484</v>
          </cell>
          <cell r="T200">
            <v>43514339</v>
          </cell>
        </row>
        <row r="201">
          <cell r="H201">
            <v>924</v>
          </cell>
          <cell r="J201">
            <v>180</v>
          </cell>
          <cell r="K201">
            <v>30287850</v>
          </cell>
          <cell r="L201">
            <v>22633375</v>
          </cell>
          <cell r="T201">
            <v>42662004</v>
          </cell>
        </row>
        <row r="202">
          <cell r="H202">
            <v>585</v>
          </cell>
          <cell r="J202">
            <v>106</v>
          </cell>
          <cell r="K202">
            <v>13987550</v>
          </cell>
          <cell r="L202">
            <v>10361083</v>
          </cell>
          <cell r="T202">
            <v>24094980</v>
          </cell>
        </row>
        <row r="203">
          <cell r="H203">
            <v>784</v>
          </cell>
          <cell r="J203">
            <v>132</v>
          </cell>
          <cell r="K203">
            <v>16120400</v>
          </cell>
          <cell r="L203">
            <v>12242423</v>
          </cell>
          <cell r="T203">
            <v>28008400</v>
          </cell>
        </row>
        <row r="204">
          <cell r="H204">
            <v>746</v>
          </cell>
          <cell r="J204">
            <v>114</v>
          </cell>
          <cell r="K204">
            <v>14520300</v>
          </cell>
          <cell r="L204">
            <v>11235440</v>
          </cell>
          <cell r="T204">
            <v>22817156</v>
          </cell>
        </row>
        <row r="205">
          <cell r="H205">
            <v>1406</v>
          </cell>
          <cell r="J205">
            <v>504</v>
          </cell>
          <cell r="K205">
            <v>78608990</v>
          </cell>
          <cell r="L205">
            <v>59162506</v>
          </cell>
          <cell r="T205">
            <v>50094374</v>
          </cell>
        </row>
        <row r="206">
          <cell r="H206">
            <v>816</v>
          </cell>
          <cell r="J206">
            <v>144</v>
          </cell>
          <cell r="K206">
            <v>8084900</v>
          </cell>
          <cell r="L206">
            <v>6122572</v>
          </cell>
          <cell r="T206">
            <v>16226160</v>
          </cell>
        </row>
        <row r="207">
          <cell r="H207">
            <v>947</v>
          </cell>
          <cell r="J207">
            <v>452</v>
          </cell>
          <cell r="K207">
            <v>65596380</v>
          </cell>
          <cell r="L207">
            <v>49553763</v>
          </cell>
          <cell r="T207">
            <v>36988873</v>
          </cell>
        </row>
        <row r="208">
          <cell r="H208">
            <v>421</v>
          </cell>
          <cell r="J208">
            <v>80</v>
          </cell>
          <cell r="K208">
            <v>7080450</v>
          </cell>
          <cell r="L208">
            <v>5593552</v>
          </cell>
          <cell r="T208">
            <v>6931344</v>
          </cell>
        </row>
        <row r="209">
          <cell r="H209">
            <v>1813</v>
          </cell>
          <cell r="J209">
            <v>909</v>
          </cell>
          <cell r="K209">
            <v>74319050</v>
          </cell>
          <cell r="L209">
            <v>57850267</v>
          </cell>
          <cell r="T209">
            <v>35930034</v>
          </cell>
        </row>
        <row r="210">
          <cell r="H210">
            <v>869</v>
          </cell>
          <cell r="J210">
            <v>160</v>
          </cell>
          <cell r="K210">
            <v>13530900</v>
          </cell>
          <cell r="L210">
            <v>10085548</v>
          </cell>
          <cell r="T210">
            <v>21095844</v>
          </cell>
        </row>
        <row r="211">
          <cell r="H211">
            <v>847</v>
          </cell>
          <cell r="J211">
            <v>465</v>
          </cell>
          <cell r="K211">
            <v>46968550</v>
          </cell>
          <cell r="L211">
            <v>35847866</v>
          </cell>
          <cell r="T211">
            <v>22494626</v>
          </cell>
        </row>
        <row r="212">
          <cell r="H212">
            <v>823</v>
          </cell>
          <cell r="J212">
            <v>178</v>
          </cell>
          <cell r="K212">
            <v>15889700</v>
          </cell>
          <cell r="L212">
            <v>12378960</v>
          </cell>
          <cell r="T212">
            <v>19240094</v>
          </cell>
        </row>
        <row r="213">
          <cell r="H213">
            <v>571</v>
          </cell>
          <cell r="J213">
            <v>121</v>
          </cell>
          <cell r="K213">
            <v>8079800</v>
          </cell>
          <cell r="L213">
            <v>6258225</v>
          </cell>
          <cell r="T213">
            <v>9438059</v>
          </cell>
        </row>
        <row r="214">
          <cell r="H214">
            <v>452</v>
          </cell>
          <cell r="J214">
            <v>92</v>
          </cell>
          <cell r="K214">
            <v>8282600</v>
          </cell>
          <cell r="L214">
            <v>6355058</v>
          </cell>
          <cell r="T214">
            <v>10409108</v>
          </cell>
        </row>
        <row r="215">
          <cell r="H215">
            <v>720</v>
          </cell>
          <cell r="J215">
            <v>112</v>
          </cell>
          <cell r="K215">
            <v>7940400</v>
          </cell>
          <cell r="L215">
            <v>6292429</v>
          </cell>
          <cell r="T215">
            <v>11324160</v>
          </cell>
        </row>
        <row r="216">
          <cell r="H216">
            <v>190</v>
          </cell>
          <cell r="J216">
            <v>33</v>
          </cell>
          <cell r="K216">
            <v>2190100</v>
          </cell>
          <cell r="L216">
            <v>1677804</v>
          </cell>
          <cell r="T216">
            <v>3636410</v>
          </cell>
        </row>
        <row r="217">
          <cell r="H217">
            <v>628</v>
          </cell>
          <cell r="J217">
            <v>264</v>
          </cell>
          <cell r="K217">
            <v>19049100</v>
          </cell>
          <cell r="L217">
            <v>14793738</v>
          </cell>
          <cell r="T217">
            <v>9367248</v>
          </cell>
        </row>
        <row r="218">
          <cell r="H218">
            <v>1570</v>
          </cell>
          <cell r="J218">
            <v>561</v>
          </cell>
          <cell r="K218">
            <v>50809750</v>
          </cell>
          <cell r="L218">
            <v>39534116</v>
          </cell>
          <cell r="T218">
            <v>25636530</v>
          </cell>
        </row>
        <row r="219">
          <cell r="H219">
            <v>794</v>
          </cell>
          <cell r="J219">
            <v>113</v>
          </cell>
          <cell r="K219">
            <v>8761200</v>
          </cell>
          <cell r="L219">
            <v>6708614</v>
          </cell>
          <cell r="T219">
            <v>17144842</v>
          </cell>
        </row>
        <row r="220">
          <cell r="H220">
            <v>1704</v>
          </cell>
          <cell r="J220">
            <v>293</v>
          </cell>
          <cell r="K220">
            <v>22964900</v>
          </cell>
          <cell r="L220">
            <v>17345742</v>
          </cell>
          <cell r="T220">
            <v>29618928</v>
          </cell>
        </row>
        <row r="221">
          <cell r="H221">
            <v>952</v>
          </cell>
          <cell r="J221">
            <v>542</v>
          </cell>
          <cell r="K221">
            <v>46806370</v>
          </cell>
          <cell r="L221">
            <v>35565262</v>
          </cell>
          <cell r="T221">
            <v>20305208</v>
          </cell>
        </row>
        <row r="222">
          <cell r="H222">
            <v>1690</v>
          </cell>
          <cell r="J222">
            <v>1178</v>
          </cell>
          <cell r="K222">
            <v>150095130</v>
          </cell>
          <cell r="L222">
            <v>113653072</v>
          </cell>
          <cell r="T222">
            <v>61869210</v>
          </cell>
        </row>
        <row r="223">
          <cell r="H223">
            <v>750</v>
          </cell>
          <cell r="J223">
            <v>146</v>
          </cell>
          <cell r="K223">
            <v>3886650</v>
          </cell>
          <cell r="L223">
            <v>2984216</v>
          </cell>
          <cell r="T223">
            <v>4904250</v>
          </cell>
        </row>
        <row r="224">
          <cell r="H224">
            <v>614</v>
          </cell>
          <cell r="J224">
            <v>184</v>
          </cell>
          <cell r="K224">
            <v>18435000</v>
          </cell>
          <cell r="L224">
            <v>14127327</v>
          </cell>
          <cell r="T224">
            <v>14938006</v>
          </cell>
        </row>
        <row r="225">
          <cell r="H225">
            <v>467</v>
          </cell>
          <cell r="J225">
            <v>114</v>
          </cell>
          <cell r="K225">
            <v>10470400</v>
          </cell>
          <cell r="L225">
            <v>7958462</v>
          </cell>
          <cell r="T225">
            <v>12015443</v>
          </cell>
        </row>
        <row r="226">
          <cell r="H226">
            <v>2393</v>
          </cell>
          <cell r="J226">
            <v>1222</v>
          </cell>
          <cell r="K226">
            <v>65123050</v>
          </cell>
          <cell r="L226">
            <v>52047204</v>
          </cell>
          <cell r="T226">
            <v>40989697</v>
          </cell>
        </row>
        <row r="227">
          <cell r="H227">
            <v>1199</v>
          </cell>
          <cell r="J227">
            <v>385</v>
          </cell>
          <cell r="K227">
            <v>30563400</v>
          </cell>
          <cell r="L227">
            <v>23072140</v>
          </cell>
          <cell r="T227">
            <v>20994490</v>
          </cell>
        </row>
        <row r="228">
          <cell r="H228">
            <v>1500</v>
          </cell>
          <cell r="J228">
            <v>722</v>
          </cell>
          <cell r="K228">
            <v>66557150</v>
          </cell>
          <cell r="L228">
            <v>51106523</v>
          </cell>
          <cell r="T228">
            <v>38682000</v>
          </cell>
        </row>
        <row r="229">
          <cell r="H229">
            <v>513</v>
          </cell>
          <cell r="J229">
            <v>473</v>
          </cell>
          <cell r="K229">
            <v>37698000</v>
          </cell>
          <cell r="L229">
            <v>29230236</v>
          </cell>
          <cell r="T229">
            <v>9827028</v>
          </cell>
        </row>
        <row r="230">
          <cell r="H230">
            <v>196</v>
          </cell>
          <cell r="J230">
            <v>155</v>
          </cell>
          <cell r="K230">
            <v>14160200</v>
          </cell>
          <cell r="L230">
            <v>10821641</v>
          </cell>
          <cell r="T230">
            <v>4772600</v>
          </cell>
        </row>
        <row r="231">
          <cell r="H231">
            <v>296</v>
          </cell>
          <cell r="J231">
            <v>134</v>
          </cell>
          <cell r="K231">
            <v>12358400</v>
          </cell>
          <cell r="L231">
            <v>9563351</v>
          </cell>
          <cell r="T231">
            <v>7150176</v>
          </cell>
        </row>
        <row r="232">
          <cell r="H232">
            <v>801</v>
          </cell>
          <cell r="J232">
            <v>621</v>
          </cell>
          <cell r="K232">
            <v>114589800</v>
          </cell>
          <cell r="L232">
            <v>86451968</v>
          </cell>
          <cell r="T232">
            <v>39114432</v>
          </cell>
        </row>
        <row r="233">
          <cell r="H233">
            <v>1338</v>
          </cell>
          <cell r="J233">
            <v>474</v>
          </cell>
          <cell r="K233">
            <v>85873850</v>
          </cell>
          <cell r="L233">
            <v>65010344</v>
          </cell>
          <cell r="T233">
            <v>70709286</v>
          </cell>
        </row>
        <row r="234">
          <cell r="H234">
            <v>1142</v>
          </cell>
          <cell r="J234">
            <v>334</v>
          </cell>
          <cell r="K234">
            <v>96737700</v>
          </cell>
          <cell r="L234">
            <v>73247745</v>
          </cell>
          <cell r="T234">
            <v>88975504</v>
          </cell>
        </row>
        <row r="235">
          <cell r="H235">
            <v>399</v>
          </cell>
          <cell r="J235">
            <v>187</v>
          </cell>
          <cell r="K235">
            <v>66027350</v>
          </cell>
          <cell r="L235">
            <v>48617693</v>
          </cell>
          <cell r="T235">
            <v>35811048</v>
          </cell>
        </row>
        <row r="236">
          <cell r="H236">
            <v>395</v>
          </cell>
          <cell r="J236">
            <v>203</v>
          </cell>
          <cell r="K236">
            <v>65445500</v>
          </cell>
          <cell r="L236">
            <v>48509081</v>
          </cell>
          <cell r="T236">
            <v>34153280</v>
          </cell>
        </row>
        <row r="237">
          <cell r="H237">
            <v>80</v>
          </cell>
          <cell r="J237">
            <v>56</v>
          </cell>
          <cell r="K237">
            <v>27778000</v>
          </cell>
          <cell r="L237">
            <v>20204370</v>
          </cell>
          <cell r="T237">
            <v>15015200</v>
          </cell>
        </row>
        <row r="238">
          <cell r="H238">
            <v>46</v>
          </cell>
          <cell r="J238">
            <v>21</v>
          </cell>
          <cell r="K238">
            <v>10098000</v>
          </cell>
          <cell r="L238">
            <v>7062390</v>
          </cell>
          <cell r="T238">
            <v>8633740</v>
          </cell>
        </row>
        <row r="239">
          <cell r="H239">
            <v>86</v>
          </cell>
          <cell r="J239">
            <v>28</v>
          </cell>
          <cell r="K239">
            <v>13660000</v>
          </cell>
          <cell r="L239">
            <v>9945180</v>
          </cell>
          <cell r="T239">
            <v>16141340</v>
          </cell>
        </row>
        <row r="240">
          <cell r="H240">
            <v>28</v>
          </cell>
          <cell r="J240">
            <v>4</v>
          </cell>
          <cell r="K240">
            <v>3465000</v>
          </cell>
          <cell r="L240">
            <v>2398770</v>
          </cell>
          <cell r="T240">
            <v>11288060</v>
          </cell>
        </row>
        <row r="241">
          <cell r="H241">
            <v>110</v>
          </cell>
          <cell r="J241">
            <v>21</v>
          </cell>
          <cell r="K241">
            <v>7708000</v>
          </cell>
          <cell r="L241">
            <v>5641395</v>
          </cell>
          <cell r="T241">
            <v>18495950</v>
          </cell>
        </row>
        <row r="242">
          <cell r="H242">
            <v>48</v>
          </cell>
          <cell r="J242">
            <v>10</v>
          </cell>
          <cell r="K242">
            <v>6256000</v>
          </cell>
          <cell r="L242">
            <v>4575380</v>
          </cell>
          <cell r="T242">
            <v>13350960</v>
          </cell>
        </row>
        <row r="243">
          <cell r="H243">
            <v>424</v>
          </cell>
          <cell r="J243">
            <v>79</v>
          </cell>
          <cell r="K243">
            <v>6440700</v>
          </cell>
          <cell r="L243">
            <v>5114786</v>
          </cell>
          <cell r="T243">
            <v>9556536</v>
          </cell>
        </row>
        <row r="244">
          <cell r="H244">
            <v>1195</v>
          </cell>
          <cell r="J244">
            <v>316</v>
          </cell>
          <cell r="K244">
            <v>36207800</v>
          </cell>
          <cell r="L244">
            <v>27556875</v>
          </cell>
          <cell r="T244">
            <v>41339830</v>
          </cell>
        </row>
        <row r="245">
          <cell r="H245">
            <v>728</v>
          </cell>
          <cell r="J245">
            <v>88</v>
          </cell>
          <cell r="K245">
            <v>10575650</v>
          </cell>
          <cell r="L245">
            <v>8121582</v>
          </cell>
          <cell r="T245">
            <v>22605856</v>
          </cell>
        </row>
        <row r="246">
          <cell r="H246">
            <v>497</v>
          </cell>
          <cell r="J246">
            <v>454</v>
          </cell>
          <cell r="K246">
            <v>66206200</v>
          </cell>
          <cell r="L246">
            <v>51987435</v>
          </cell>
          <cell r="T246">
            <v>20085758</v>
          </cell>
        </row>
        <row r="247">
          <cell r="H247">
            <v>343</v>
          </cell>
          <cell r="J247">
            <v>214</v>
          </cell>
          <cell r="K247">
            <v>37820500</v>
          </cell>
          <cell r="L247">
            <v>28663740</v>
          </cell>
          <cell r="T247">
            <v>15454894</v>
          </cell>
        </row>
        <row r="248">
          <cell r="H248">
            <v>745</v>
          </cell>
          <cell r="J248">
            <v>247</v>
          </cell>
          <cell r="K248">
            <v>41267100</v>
          </cell>
          <cell r="L248">
            <v>31155577</v>
          </cell>
          <cell r="T248">
            <v>32457415</v>
          </cell>
        </row>
        <row r="249">
          <cell r="H249">
            <v>498</v>
          </cell>
          <cell r="J249">
            <v>496</v>
          </cell>
          <cell r="K249">
            <v>86735500</v>
          </cell>
          <cell r="L249">
            <v>64778522</v>
          </cell>
          <cell r="T249">
            <v>24120630</v>
          </cell>
        </row>
        <row r="250">
          <cell r="H250">
            <v>1197</v>
          </cell>
          <cell r="J250">
            <v>566</v>
          </cell>
          <cell r="K250">
            <v>119310940</v>
          </cell>
          <cell r="L250">
            <v>88979484</v>
          </cell>
          <cell r="T250">
            <v>66743523</v>
          </cell>
        </row>
        <row r="251">
          <cell r="H251">
            <v>1025</v>
          </cell>
          <cell r="J251">
            <v>302</v>
          </cell>
          <cell r="K251">
            <v>60164900</v>
          </cell>
          <cell r="L251">
            <v>45534261</v>
          </cell>
          <cell r="T251">
            <v>43376975</v>
          </cell>
        </row>
        <row r="252">
          <cell r="H252">
            <v>814</v>
          </cell>
          <cell r="J252">
            <v>296</v>
          </cell>
          <cell r="K252">
            <v>92767035</v>
          </cell>
          <cell r="L252">
            <v>69009480</v>
          </cell>
        </row>
        <row r="253">
          <cell r="H253">
            <v>609</v>
          </cell>
          <cell r="J253">
            <v>336</v>
          </cell>
          <cell r="K253">
            <v>46462000</v>
          </cell>
          <cell r="L253">
            <v>35028932</v>
          </cell>
          <cell r="T253">
            <v>23414223</v>
          </cell>
        </row>
        <row r="254">
          <cell r="H254">
            <v>665</v>
          </cell>
          <cell r="J254">
            <v>397</v>
          </cell>
          <cell r="K254">
            <v>54964400</v>
          </cell>
          <cell r="L254">
            <v>41783847</v>
          </cell>
          <cell r="T254">
            <v>22748985</v>
          </cell>
        </row>
        <row r="255">
          <cell r="H255">
            <v>691</v>
          </cell>
          <cell r="J255">
            <v>185</v>
          </cell>
          <cell r="K255">
            <v>25269350</v>
          </cell>
          <cell r="L255">
            <v>19441779</v>
          </cell>
          <cell r="T255">
            <v>23478798</v>
          </cell>
        </row>
        <row r="256">
          <cell r="H256">
            <v>1635</v>
          </cell>
          <cell r="J256">
            <v>617</v>
          </cell>
          <cell r="K256">
            <v>56912158</v>
          </cell>
          <cell r="L256">
            <v>43813664</v>
          </cell>
          <cell r="T256">
            <v>43095330</v>
          </cell>
        </row>
        <row r="257">
          <cell r="H257">
            <v>1043</v>
          </cell>
          <cell r="J257">
            <v>443</v>
          </cell>
          <cell r="K257">
            <v>62901200</v>
          </cell>
          <cell r="L257">
            <v>47660556</v>
          </cell>
          <cell r="T257">
            <v>39653817</v>
          </cell>
        </row>
        <row r="258">
          <cell r="H258">
            <v>197</v>
          </cell>
          <cell r="J258">
            <v>78</v>
          </cell>
          <cell r="K258">
            <v>35847800</v>
          </cell>
          <cell r="L258">
            <v>26629135</v>
          </cell>
          <cell r="T258">
            <v>26953540</v>
          </cell>
        </row>
        <row r="259">
          <cell r="H259">
            <v>300</v>
          </cell>
          <cell r="J259">
            <v>181</v>
          </cell>
          <cell r="K259">
            <v>15835280</v>
          </cell>
          <cell r="L259">
            <v>12549560</v>
          </cell>
          <cell r="T259">
            <v>8743500</v>
          </cell>
        </row>
        <row r="260">
          <cell r="H260">
            <v>197</v>
          </cell>
          <cell r="J260">
            <v>94</v>
          </cell>
          <cell r="K260">
            <v>9775200</v>
          </cell>
          <cell r="L260">
            <v>7593036</v>
          </cell>
          <cell r="T260">
            <v>5741565</v>
          </cell>
        </row>
        <row r="261">
          <cell r="H261">
            <v>393</v>
          </cell>
          <cell r="J261">
            <v>278</v>
          </cell>
          <cell r="K261">
            <v>12038480</v>
          </cell>
          <cell r="L261">
            <v>9482165</v>
          </cell>
          <cell r="T261">
            <v>3593985</v>
          </cell>
        </row>
        <row r="262">
          <cell r="H262">
            <v>197</v>
          </cell>
          <cell r="J262">
            <v>46</v>
          </cell>
          <cell r="K262">
            <v>1698200</v>
          </cell>
          <cell r="L262">
            <v>1319544</v>
          </cell>
          <cell r="T262">
            <v>1998565</v>
          </cell>
        </row>
        <row r="263">
          <cell r="H263">
            <v>448</v>
          </cell>
          <cell r="J263">
            <v>205</v>
          </cell>
          <cell r="K263">
            <v>9080600</v>
          </cell>
          <cell r="L263">
            <v>7162942</v>
          </cell>
          <cell r="T263">
            <v>4992960</v>
          </cell>
        </row>
        <row r="264">
          <cell r="H264">
            <v>395</v>
          </cell>
          <cell r="J264">
            <v>277</v>
          </cell>
          <cell r="K264">
            <v>13168000</v>
          </cell>
          <cell r="L264">
            <v>10364850</v>
          </cell>
          <cell r="T264">
            <v>6377275</v>
          </cell>
        </row>
        <row r="265">
          <cell r="H265">
            <v>152</v>
          </cell>
          <cell r="J265">
            <v>134</v>
          </cell>
          <cell r="K265">
            <v>6486600</v>
          </cell>
          <cell r="L265">
            <v>5035268</v>
          </cell>
          <cell r="T265">
            <v>1998040</v>
          </cell>
        </row>
        <row r="266">
          <cell r="H266">
            <v>199</v>
          </cell>
          <cell r="J266">
            <v>120</v>
          </cell>
          <cell r="K266">
            <v>5846800</v>
          </cell>
          <cell r="L266">
            <v>4438580</v>
          </cell>
          <cell r="T266">
            <v>3013855</v>
          </cell>
        </row>
        <row r="267">
          <cell r="H267">
            <v>201</v>
          </cell>
          <cell r="J267">
            <v>114</v>
          </cell>
          <cell r="K267">
            <v>5346720</v>
          </cell>
          <cell r="L267">
            <v>4255804</v>
          </cell>
          <cell r="T267">
            <v>2742645</v>
          </cell>
        </row>
        <row r="268">
          <cell r="H268">
            <v>190</v>
          </cell>
          <cell r="J268">
            <v>75</v>
          </cell>
          <cell r="K268">
            <v>3300000</v>
          </cell>
          <cell r="L268">
            <v>2628908</v>
          </cell>
          <cell r="T268">
            <v>2402550</v>
          </cell>
        </row>
        <row r="269">
          <cell r="H269">
            <v>199</v>
          </cell>
          <cell r="J269">
            <v>150</v>
          </cell>
          <cell r="K269">
            <v>7353200</v>
          </cell>
          <cell r="L269">
            <v>5747028</v>
          </cell>
          <cell r="T269">
            <v>2814855</v>
          </cell>
        </row>
        <row r="270">
          <cell r="H270">
            <v>199</v>
          </cell>
          <cell r="J270">
            <v>161</v>
          </cell>
          <cell r="K270">
            <v>8300400</v>
          </cell>
          <cell r="L270">
            <v>6656860</v>
          </cell>
          <cell r="T270">
            <v>3013855</v>
          </cell>
        </row>
        <row r="271">
          <cell r="H271">
            <v>304</v>
          </cell>
          <cell r="J271">
            <v>162</v>
          </cell>
          <cell r="K271">
            <v>8426400</v>
          </cell>
          <cell r="L271">
            <v>6551120</v>
          </cell>
          <cell r="T271">
            <v>4452080</v>
          </cell>
        </row>
        <row r="272">
          <cell r="H272">
            <v>397</v>
          </cell>
          <cell r="J272">
            <v>243</v>
          </cell>
          <cell r="K272">
            <v>11385600</v>
          </cell>
          <cell r="L272">
            <v>8799180</v>
          </cell>
          <cell r="T272">
            <v>4821565</v>
          </cell>
        </row>
        <row r="273">
          <cell r="H273">
            <v>489</v>
          </cell>
          <cell r="J273">
            <v>372</v>
          </cell>
          <cell r="K273">
            <v>16567680</v>
          </cell>
          <cell r="L273">
            <v>12990528</v>
          </cell>
          <cell r="T273">
            <v>7161405</v>
          </cell>
        </row>
        <row r="274">
          <cell r="H274">
            <v>199</v>
          </cell>
          <cell r="J274">
            <v>62</v>
          </cell>
          <cell r="K274">
            <v>2791600</v>
          </cell>
          <cell r="L274">
            <v>2186136</v>
          </cell>
          <cell r="T274">
            <v>2217855</v>
          </cell>
        </row>
        <row r="275">
          <cell r="H275">
            <v>298</v>
          </cell>
          <cell r="J275">
            <v>165</v>
          </cell>
          <cell r="K275">
            <v>8713280</v>
          </cell>
          <cell r="L275">
            <v>6963118</v>
          </cell>
          <cell r="T275">
            <v>4662210</v>
          </cell>
        </row>
        <row r="276">
          <cell r="H276">
            <v>298</v>
          </cell>
          <cell r="J276">
            <v>66</v>
          </cell>
          <cell r="K276">
            <v>3460400</v>
          </cell>
          <cell r="L276">
            <v>2717552</v>
          </cell>
          <cell r="T276">
            <v>4215210</v>
          </cell>
        </row>
        <row r="277">
          <cell r="H277">
            <v>296</v>
          </cell>
          <cell r="J277">
            <v>104</v>
          </cell>
          <cell r="K277">
            <v>5362000</v>
          </cell>
          <cell r="L277">
            <v>4338128</v>
          </cell>
          <cell r="T277">
            <v>4186920</v>
          </cell>
        </row>
        <row r="278">
          <cell r="H278">
            <v>298</v>
          </cell>
          <cell r="J278">
            <v>123</v>
          </cell>
          <cell r="K278">
            <v>5592000</v>
          </cell>
          <cell r="L278">
            <v>4366530</v>
          </cell>
          <cell r="T278">
            <v>3470210</v>
          </cell>
        </row>
        <row r="279">
          <cell r="H279">
            <v>100</v>
          </cell>
          <cell r="J279">
            <v>40</v>
          </cell>
          <cell r="K279">
            <v>3937600</v>
          </cell>
          <cell r="L279">
            <v>3062358</v>
          </cell>
          <cell r="T279">
            <v>3214500</v>
          </cell>
        </row>
        <row r="280">
          <cell r="H280">
            <v>199</v>
          </cell>
          <cell r="J280">
            <v>13</v>
          </cell>
          <cell r="K280">
            <v>1450000</v>
          </cell>
          <cell r="L280">
            <v>1095496</v>
          </cell>
          <cell r="T280">
            <v>7192855</v>
          </cell>
        </row>
        <row r="281">
          <cell r="H281">
            <v>2706</v>
          </cell>
          <cell r="J281">
            <v>1395</v>
          </cell>
          <cell r="K281">
            <v>54305475</v>
          </cell>
          <cell r="L281">
            <v>41288947</v>
          </cell>
          <cell r="T281">
            <v>40627884</v>
          </cell>
        </row>
        <row r="282">
          <cell r="H282">
            <v>3042</v>
          </cell>
          <cell r="J282">
            <v>1318</v>
          </cell>
          <cell r="K282">
            <v>171727050</v>
          </cell>
          <cell r="L282">
            <v>131806446</v>
          </cell>
          <cell r="T282">
            <v>141428664</v>
          </cell>
        </row>
        <row r="283">
          <cell r="H283">
            <v>2703</v>
          </cell>
          <cell r="J283">
            <v>794</v>
          </cell>
          <cell r="K283">
            <v>54405185</v>
          </cell>
          <cell r="L283">
            <v>40738484</v>
          </cell>
          <cell r="T283">
            <v>68707557</v>
          </cell>
        </row>
        <row r="284">
          <cell r="H284">
            <v>1258</v>
          </cell>
          <cell r="J284">
            <v>640</v>
          </cell>
          <cell r="K284">
            <v>49514040</v>
          </cell>
          <cell r="L284">
            <v>38046368</v>
          </cell>
          <cell r="T284">
            <v>27057064</v>
          </cell>
        </row>
        <row r="285">
          <cell r="H285">
            <v>426</v>
          </cell>
          <cell r="J285">
            <v>168</v>
          </cell>
          <cell r="K285">
            <v>18358200</v>
          </cell>
          <cell r="L285">
            <v>13706956</v>
          </cell>
          <cell r="T285">
            <v>9884478</v>
          </cell>
        </row>
        <row r="286">
          <cell r="H286">
            <v>1044</v>
          </cell>
          <cell r="J286">
            <v>491</v>
          </cell>
          <cell r="K286">
            <v>40279948</v>
          </cell>
          <cell r="L286">
            <v>31046516</v>
          </cell>
          <cell r="T286">
            <v>25690752</v>
          </cell>
        </row>
        <row r="287">
          <cell r="H287">
            <v>426</v>
          </cell>
          <cell r="J287">
            <v>150</v>
          </cell>
          <cell r="K287">
            <v>12029500</v>
          </cell>
          <cell r="L287">
            <v>9412017</v>
          </cell>
          <cell r="T287">
            <v>8747484</v>
          </cell>
        </row>
        <row r="288">
          <cell r="H288">
            <v>597</v>
          </cell>
          <cell r="J288">
            <v>244</v>
          </cell>
          <cell r="K288">
            <v>17631300</v>
          </cell>
          <cell r="L288">
            <v>13744341</v>
          </cell>
          <cell r="T288">
            <v>11655231</v>
          </cell>
        </row>
        <row r="289">
          <cell r="H289">
            <v>784</v>
          </cell>
          <cell r="J289">
            <v>384</v>
          </cell>
          <cell r="K289">
            <v>28219500</v>
          </cell>
          <cell r="L289">
            <v>21641023</v>
          </cell>
          <cell r="T289">
            <v>14947744</v>
          </cell>
        </row>
        <row r="290">
          <cell r="H290">
            <v>777</v>
          </cell>
          <cell r="J290">
            <v>77</v>
          </cell>
          <cell r="K290">
            <v>5203000</v>
          </cell>
          <cell r="L290">
            <v>3960713</v>
          </cell>
          <cell r="T290">
            <v>16188795</v>
          </cell>
        </row>
        <row r="291">
          <cell r="H291">
            <v>656</v>
          </cell>
          <cell r="J291">
            <v>169</v>
          </cell>
          <cell r="K291">
            <v>15513445</v>
          </cell>
          <cell r="L291">
            <v>11904790</v>
          </cell>
          <cell r="T291">
            <v>13429632</v>
          </cell>
        </row>
        <row r="292">
          <cell r="H292">
            <v>305</v>
          </cell>
          <cell r="J292">
            <v>93</v>
          </cell>
          <cell r="K292">
            <v>5030000</v>
          </cell>
          <cell r="L292">
            <v>4012207</v>
          </cell>
          <cell r="T292">
            <v>4595130</v>
          </cell>
        </row>
        <row r="293">
          <cell r="H293">
            <v>514</v>
          </cell>
          <cell r="J293">
            <v>60</v>
          </cell>
          <cell r="K293">
            <v>5010000</v>
          </cell>
          <cell r="L293">
            <v>3826530</v>
          </cell>
          <cell r="T293">
            <v>12286656</v>
          </cell>
        </row>
        <row r="294">
          <cell r="H294">
            <v>446</v>
          </cell>
          <cell r="J294">
            <v>14</v>
          </cell>
          <cell r="K294">
            <v>1770100</v>
          </cell>
          <cell r="L294">
            <v>1303827</v>
          </cell>
          <cell r="T294">
            <v>19738176</v>
          </cell>
        </row>
        <row r="295">
          <cell r="H295">
            <v>1255</v>
          </cell>
          <cell r="J295">
            <v>516</v>
          </cell>
          <cell r="K295">
            <v>50735345</v>
          </cell>
          <cell r="L295">
            <v>38466817</v>
          </cell>
          <cell r="T295">
            <v>37148000</v>
          </cell>
        </row>
        <row r="296">
          <cell r="H296">
            <v>296</v>
          </cell>
          <cell r="J296">
            <v>143</v>
          </cell>
          <cell r="K296">
            <v>25520700</v>
          </cell>
          <cell r="L296">
            <v>19079267</v>
          </cell>
          <cell r="T296">
            <v>13606232</v>
          </cell>
        </row>
        <row r="297">
          <cell r="H297">
            <v>1157</v>
          </cell>
          <cell r="J297">
            <v>312</v>
          </cell>
          <cell r="K297">
            <v>56382950</v>
          </cell>
          <cell r="L297">
            <v>42733061</v>
          </cell>
          <cell r="T297">
            <v>61062989</v>
          </cell>
        </row>
        <row r="298">
          <cell r="H298">
            <v>927</v>
          </cell>
          <cell r="J298">
            <v>159</v>
          </cell>
          <cell r="K298">
            <v>13586600</v>
          </cell>
          <cell r="L298">
            <v>10802292</v>
          </cell>
          <cell r="T298">
            <v>20279052</v>
          </cell>
        </row>
        <row r="299">
          <cell r="H299">
            <v>592</v>
          </cell>
          <cell r="J299">
            <v>235</v>
          </cell>
          <cell r="K299">
            <v>25693350</v>
          </cell>
          <cell r="L299">
            <v>19760367</v>
          </cell>
          <cell r="T299">
            <v>11439216</v>
          </cell>
        </row>
        <row r="300">
          <cell r="H300">
            <v>1214</v>
          </cell>
          <cell r="J300">
            <v>302</v>
          </cell>
          <cell r="K300">
            <v>33075300</v>
          </cell>
          <cell r="L300">
            <v>25356818</v>
          </cell>
          <cell r="T300">
            <v>30021006</v>
          </cell>
        </row>
        <row r="301">
          <cell r="H301">
            <v>699</v>
          </cell>
          <cell r="J301">
            <v>303</v>
          </cell>
          <cell r="K301">
            <v>27613650</v>
          </cell>
          <cell r="L301">
            <v>21552449</v>
          </cell>
          <cell r="T301">
            <v>14258901</v>
          </cell>
        </row>
        <row r="302">
          <cell r="H302">
            <v>2239</v>
          </cell>
          <cell r="J302">
            <v>1492</v>
          </cell>
          <cell r="K302">
            <v>207299895</v>
          </cell>
          <cell r="L302">
            <v>157526935</v>
          </cell>
          <cell r="T302">
            <v>84649873</v>
          </cell>
        </row>
        <row r="303">
          <cell r="H303">
            <v>627</v>
          </cell>
          <cell r="J303">
            <v>210</v>
          </cell>
          <cell r="K303">
            <v>23168050</v>
          </cell>
          <cell r="L303">
            <v>18150832</v>
          </cell>
          <cell r="T303">
            <v>18496500</v>
          </cell>
        </row>
        <row r="304">
          <cell r="H304">
            <v>1161</v>
          </cell>
          <cell r="J304">
            <v>442</v>
          </cell>
          <cell r="K304">
            <v>33425400</v>
          </cell>
          <cell r="L304">
            <v>25605833</v>
          </cell>
          <cell r="T304">
            <v>28356264</v>
          </cell>
        </row>
        <row r="305">
          <cell r="H305">
            <v>1614</v>
          </cell>
          <cell r="J305">
            <v>1316</v>
          </cell>
          <cell r="K305">
            <v>111541250</v>
          </cell>
          <cell r="L305">
            <v>86322094</v>
          </cell>
          <cell r="T305">
            <v>45574518</v>
          </cell>
        </row>
        <row r="307">
          <cell r="H307">
            <v>2173</v>
          </cell>
          <cell r="J307">
            <v>1538</v>
          </cell>
          <cell r="K307">
            <v>55448345</v>
          </cell>
          <cell r="L307">
            <v>43423608</v>
          </cell>
          <cell r="T307">
            <v>28051257</v>
          </cell>
        </row>
        <row r="308">
          <cell r="H308">
            <v>751</v>
          </cell>
          <cell r="J308">
            <v>407</v>
          </cell>
          <cell r="K308">
            <v>25882950</v>
          </cell>
          <cell r="L308">
            <v>20134028</v>
          </cell>
          <cell r="T308">
            <v>12765498</v>
          </cell>
        </row>
        <row r="309">
          <cell r="H309">
            <v>789</v>
          </cell>
          <cell r="J309">
            <v>661</v>
          </cell>
          <cell r="K309">
            <v>34681700</v>
          </cell>
          <cell r="L309">
            <v>26777386</v>
          </cell>
          <cell r="T309">
            <v>13583424</v>
          </cell>
        </row>
        <row r="310">
          <cell r="H310">
            <v>410</v>
          </cell>
          <cell r="J310">
            <v>109</v>
          </cell>
          <cell r="K310">
            <v>7900245</v>
          </cell>
          <cell r="L310">
            <v>6115746</v>
          </cell>
          <cell r="T310">
            <v>7371390</v>
          </cell>
        </row>
        <row r="311">
          <cell r="H311">
            <v>851</v>
          </cell>
          <cell r="J311">
            <v>270</v>
          </cell>
          <cell r="K311">
            <v>17908500</v>
          </cell>
          <cell r="L311">
            <v>14020576</v>
          </cell>
          <cell r="T311">
            <v>18194380</v>
          </cell>
        </row>
        <row r="312">
          <cell r="H312">
            <v>625</v>
          </cell>
          <cell r="J312">
            <v>248</v>
          </cell>
          <cell r="K312">
            <v>15912600</v>
          </cell>
          <cell r="L312">
            <v>12310980</v>
          </cell>
          <cell r="T312">
            <v>10135000</v>
          </cell>
        </row>
        <row r="313">
          <cell r="H313">
            <v>762</v>
          </cell>
          <cell r="J313">
            <v>463</v>
          </cell>
          <cell r="K313">
            <v>37105940</v>
          </cell>
          <cell r="L313">
            <v>28505944</v>
          </cell>
          <cell r="T313">
            <v>15412212</v>
          </cell>
        </row>
        <row r="314">
          <cell r="H314">
            <v>694</v>
          </cell>
          <cell r="J314">
            <v>145</v>
          </cell>
          <cell r="K314">
            <v>11656000</v>
          </cell>
          <cell r="L314">
            <v>9098070</v>
          </cell>
          <cell r="T314">
            <v>14652422</v>
          </cell>
        </row>
        <row r="315">
          <cell r="H315">
            <v>846</v>
          </cell>
          <cell r="J315">
            <v>538</v>
          </cell>
          <cell r="K315">
            <v>34722690</v>
          </cell>
          <cell r="L315">
            <v>26701103</v>
          </cell>
          <cell r="T315">
            <v>13843944</v>
          </cell>
        </row>
        <row r="316">
          <cell r="H316">
            <v>698</v>
          </cell>
          <cell r="J316">
            <v>373</v>
          </cell>
          <cell r="K316">
            <v>26805700</v>
          </cell>
          <cell r="L316">
            <v>20809311</v>
          </cell>
          <cell r="T316">
            <v>14769680</v>
          </cell>
        </row>
        <row r="317">
          <cell r="H317">
            <v>718</v>
          </cell>
          <cell r="J317">
            <v>252</v>
          </cell>
          <cell r="K317">
            <v>18169100</v>
          </cell>
          <cell r="L317">
            <v>14061250</v>
          </cell>
          <cell r="T317">
            <v>14626378</v>
          </cell>
        </row>
        <row r="318">
          <cell r="H318">
            <v>672</v>
          </cell>
          <cell r="J318">
            <v>521</v>
          </cell>
          <cell r="K318">
            <v>42361995</v>
          </cell>
          <cell r="L318">
            <v>32567494</v>
          </cell>
          <cell r="T318">
            <v>14607264</v>
          </cell>
        </row>
        <row r="319">
          <cell r="H319">
            <v>744</v>
          </cell>
          <cell r="J319">
            <v>388</v>
          </cell>
          <cell r="K319">
            <v>34438845</v>
          </cell>
          <cell r="L319">
            <v>26552825</v>
          </cell>
          <cell r="T319">
            <v>15987816</v>
          </cell>
        </row>
        <row r="320">
          <cell r="H320">
            <v>590</v>
          </cell>
          <cell r="J320">
            <v>179</v>
          </cell>
          <cell r="K320">
            <v>11883300</v>
          </cell>
          <cell r="L320">
            <v>9183855</v>
          </cell>
          <cell r="T320">
            <v>11470190</v>
          </cell>
        </row>
        <row r="321">
          <cell r="H321">
            <v>874</v>
          </cell>
          <cell r="J321">
            <v>716</v>
          </cell>
          <cell r="K321">
            <v>57813995</v>
          </cell>
          <cell r="L321">
            <v>45071233</v>
          </cell>
          <cell r="T321">
            <v>20684084</v>
          </cell>
        </row>
        <row r="322">
          <cell r="H322">
            <v>1244</v>
          </cell>
          <cell r="J322">
            <v>655</v>
          </cell>
          <cell r="K322">
            <v>30158425</v>
          </cell>
          <cell r="L322">
            <v>23116799</v>
          </cell>
          <cell r="T322">
            <v>13458836</v>
          </cell>
        </row>
        <row r="323">
          <cell r="H323">
            <v>837</v>
          </cell>
          <cell r="J323">
            <v>414</v>
          </cell>
          <cell r="K323">
            <v>22796850</v>
          </cell>
          <cell r="L323">
            <v>18244187</v>
          </cell>
          <cell r="T323">
            <v>12612753</v>
          </cell>
        </row>
        <row r="324">
          <cell r="H324">
            <v>1267</v>
          </cell>
          <cell r="J324">
            <v>919</v>
          </cell>
          <cell r="K324">
            <v>77764520</v>
          </cell>
          <cell r="L324">
            <v>59613224</v>
          </cell>
          <cell r="T324">
            <v>28459354</v>
          </cell>
        </row>
        <row r="325">
          <cell r="H325">
            <v>944</v>
          </cell>
          <cell r="J325">
            <v>388</v>
          </cell>
          <cell r="K325">
            <v>26472700</v>
          </cell>
          <cell r="L325">
            <v>20285012</v>
          </cell>
          <cell r="T325">
            <v>20876560</v>
          </cell>
        </row>
        <row r="326">
          <cell r="H326">
            <v>773</v>
          </cell>
          <cell r="J326">
            <v>381</v>
          </cell>
          <cell r="K326">
            <v>31674500</v>
          </cell>
          <cell r="L326">
            <v>24415593</v>
          </cell>
          <cell r="T326">
            <v>15674894</v>
          </cell>
        </row>
        <row r="327">
          <cell r="H327">
            <v>1075</v>
          </cell>
          <cell r="J327">
            <v>465</v>
          </cell>
          <cell r="K327">
            <v>38992500</v>
          </cell>
          <cell r="L327">
            <v>29858566</v>
          </cell>
          <cell r="T327">
            <v>23328575</v>
          </cell>
        </row>
        <row r="328">
          <cell r="H328">
            <v>1105</v>
          </cell>
          <cell r="J328">
            <v>309</v>
          </cell>
          <cell r="K328">
            <v>25534600</v>
          </cell>
          <cell r="L328">
            <v>19527010</v>
          </cell>
          <cell r="T328">
            <v>24880180</v>
          </cell>
        </row>
        <row r="329">
          <cell r="H329">
            <v>876</v>
          </cell>
          <cell r="J329">
            <v>266</v>
          </cell>
          <cell r="K329">
            <v>11069400</v>
          </cell>
          <cell r="L329">
            <v>8412697</v>
          </cell>
          <cell r="T329">
            <v>15453516</v>
          </cell>
        </row>
        <row r="330">
          <cell r="H330">
            <v>584</v>
          </cell>
          <cell r="J330">
            <v>380</v>
          </cell>
          <cell r="K330">
            <v>34494335</v>
          </cell>
          <cell r="L330">
            <v>26278426</v>
          </cell>
          <cell r="T330">
            <v>15661128</v>
          </cell>
        </row>
        <row r="331">
          <cell r="H331">
            <v>687</v>
          </cell>
          <cell r="J331">
            <v>106</v>
          </cell>
          <cell r="K331">
            <v>11308200</v>
          </cell>
          <cell r="L331">
            <v>8542704</v>
          </cell>
          <cell r="T331">
            <v>20656029</v>
          </cell>
        </row>
        <row r="332">
          <cell r="H332">
            <v>1693</v>
          </cell>
          <cell r="J332">
            <v>1206</v>
          </cell>
          <cell r="K332">
            <v>49293200</v>
          </cell>
          <cell r="L332">
            <v>37649063</v>
          </cell>
          <cell r="T332">
            <v>22269722</v>
          </cell>
        </row>
        <row r="333">
          <cell r="H333">
            <v>2390</v>
          </cell>
          <cell r="J333">
            <v>1209</v>
          </cell>
          <cell r="K333">
            <v>48725550</v>
          </cell>
          <cell r="L333">
            <v>37388932</v>
          </cell>
          <cell r="T333">
            <v>35682700</v>
          </cell>
        </row>
        <row r="334">
          <cell r="H334">
            <v>591</v>
          </cell>
          <cell r="J334">
            <v>239</v>
          </cell>
          <cell r="K334">
            <v>39142600</v>
          </cell>
          <cell r="L334">
            <v>29094929</v>
          </cell>
          <cell r="T334">
            <v>23644137</v>
          </cell>
        </row>
        <row r="335">
          <cell r="H335">
            <v>950</v>
          </cell>
          <cell r="J335">
            <v>322</v>
          </cell>
          <cell r="K335">
            <v>41982600</v>
          </cell>
          <cell r="L335">
            <v>31890492</v>
          </cell>
          <cell r="T335">
            <v>41167300</v>
          </cell>
        </row>
        <row r="336">
          <cell r="H336">
            <v>694</v>
          </cell>
          <cell r="J336">
            <v>193</v>
          </cell>
          <cell r="K336">
            <v>31554600</v>
          </cell>
          <cell r="L336">
            <v>23910283</v>
          </cell>
          <cell r="T336">
            <v>29803830</v>
          </cell>
        </row>
        <row r="337">
          <cell r="H337">
            <v>339</v>
          </cell>
          <cell r="J337">
            <v>173</v>
          </cell>
          <cell r="K337">
            <v>34672080</v>
          </cell>
          <cell r="L337">
            <v>26028457</v>
          </cell>
          <cell r="T337">
            <v>17787669</v>
          </cell>
        </row>
        <row r="338">
          <cell r="H338">
            <v>400</v>
          </cell>
          <cell r="J338">
            <v>86</v>
          </cell>
          <cell r="K338">
            <v>15370460</v>
          </cell>
          <cell r="L338">
            <v>11869435</v>
          </cell>
          <cell r="T338">
            <v>20083600</v>
          </cell>
        </row>
        <row r="339">
          <cell r="H339">
            <v>641</v>
          </cell>
          <cell r="J339">
            <v>88</v>
          </cell>
          <cell r="K339">
            <v>20612300</v>
          </cell>
          <cell r="L339">
            <v>15850282</v>
          </cell>
          <cell r="T339">
            <v>38898444</v>
          </cell>
        </row>
        <row r="340">
          <cell r="H340">
            <v>1372</v>
          </cell>
          <cell r="J340">
            <v>118</v>
          </cell>
          <cell r="K340">
            <v>19407300</v>
          </cell>
          <cell r="L340">
            <v>14788622</v>
          </cell>
          <cell r="T340">
            <v>59172988</v>
          </cell>
        </row>
        <row r="341">
          <cell r="H341">
            <v>961</v>
          </cell>
          <cell r="J341">
            <v>528</v>
          </cell>
          <cell r="K341">
            <v>70216515</v>
          </cell>
          <cell r="L341">
            <v>56856977</v>
          </cell>
          <cell r="T341">
            <v>34103968</v>
          </cell>
        </row>
        <row r="342">
          <cell r="H342">
            <v>457</v>
          </cell>
          <cell r="J342">
            <v>366</v>
          </cell>
          <cell r="K342">
            <v>55830150</v>
          </cell>
          <cell r="L342">
            <v>42597372</v>
          </cell>
          <cell r="T342">
            <v>15613405</v>
          </cell>
        </row>
        <row r="343">
          <cell r="H343">
            <v>1455</v>
          </cell>
          <cell r="J343">
            <v>1064</v>
          </cell>
          <cell r="K343">
            <v>154317480</v>
          </cell>
          <cell r="L343">
            <v>119150727</v>
          </cell>
          <cell r="T343">
            <v>60299565</v>
          </cell>
        </row>
        <row r="344">
          <cell r="H344">
            <v>3200</v>
          </cell>
          <cell r="J344">
            <v>1273</v>
          </cell>
          <cell r="K344">
            <v>176630745</v>
          </cell>
          <cell r="L344">
            <v>132426566</v>
          </cell>
          <cell r="T344">
            <v>125804800</v>
          </cell>
        </row>
        <row r="345">
          <cell r="H345">
            <v>1352</v>
          </cell>
          <cell r="J345">
            <v>277</v>
          </cell>
          <cell r="K345">
            <v>55050480</v>
          </cell>
          <cell r="L345">
            <v>41680847</v>
          </cell>
          <cell r="T345">
            <v>73055320</v>
          </cell>
        </row>
        <row r="346">
          <cell r="H346">
            <v>900</v>
          </cell>
          <cell r="J346">
            <v>394</v>
          </cell>
          <cell r="K346">
            <v>100296300</v>
          </cell>
          <cell r="L346">
            <v>76026663</v>
          </cell>
          <cell r="T346">
            <v>51318900</v>
          </cell>
        </row>
        <row r="347">
          <cell r="H347">
            <v>1237</v>
          </cell>
          <cell r="J347">
            <v>495</v>
          </cell>
          <cell r="K347">
            <v>40155000</v>
          </cell>
          <cell r="L347">
            <v>30905161</v>
          </cell>
          <cell r="T347">
            <v>24623722</v>
          </cell>
        </row>
        <row r="348">
          <cell r="H348">
            <v>2291</v>
          </cell>
          <cell r="J348">
            <v>1197</v>
          </cell>
          <cell r="K348">
            <v>96565100</v>
          </cell>
          <cell r="L348">
            <v>74108120</v>
          </cell>
          <cell r="T348">
            <v>45723778</v>
          </cell>
        </row>
        <row r="349">
          <cell r="H349">
            <v>614</v>
          </cell>
          <cell r="J349">
            <v>483</v>
          </cell>
          <cell r="K349">
            <v>44051645</v>
          </cell>
          <cell r="L349">
            <v>33846353</v>
          </cell>
          <cell r="T349">
            <v>12999608</v>
          </cell>
        </row>
        <row r="350">
          <cell r="H350">
            <v>444</v>
          </cell>
          <cell r="J350">
            <v>132</v>
          </cell>
          <cell r="K350">
            <v>10251300</v>
          </cell>
          <cell r="L350">
            <v>7924934</v>
          </cell>
          <cell r="T350">
            <v>9294696</v>
          </cell>
        </row>
        <row r="351">
          <cell r="H351">
            <v>770</v>
          </cell>
          <cell r="J351">
            <v>414</v>
          </cell>
          <cell r="K351">
            <v>37366200</v>
          </cell>
          <cell r="L351">
            <v>28890725</v>
          </cell>
          <cell r="T351">
            <v>17733870</v>
          </cell>
        </row>
        <row r="352">
          <cell r="H352">
            <v>497</v>
          </cell>
          <cell r="J352">
            <v>225</v>
          </cell>
          <cell r="K352">
            <v>16736400</v>
          </cell>
          <cell r="L352">
            <v>12738342</v>
          </cell>
          <cell r="T352">
            <v>11269972</v>
          </cell>
        </row>
        <row r="353">
          <cell r="H353">
            <v>590</v>
          </cell>
          <cell r="J353">
            <v>248</v>
          </cell>
          <cell r="K353">
            <v>24392800</v>
          </cell>
          <cell r="L353">
            <v>18863431</v>
          </cell>
          <cell r="T353">
            <v>12996520</v>
          </cell>
        </row>
        <row r="354">
          <cell r="H354">
            <v>1777</v>
          </cell>
          <cell r="J354">
            <v>1580</v>
          </cell>
          <cell r="K354">
            <v>96783150</v>
          </cell>
          <cell r="L354">
            <v>74165425</v>
          </cell>
          <cell r="T354">
            <v>32478229</v>
          </cell>
        </row>
        <row r="355">
          <cell r="H355">
            <v>1505</v>
          </cell>
          <cell r="J355">
            <v>466</v>
          </cell>
          <cell r="K355">
            <v>39001895</v>
          </cell>
          <cell r="L355">
            <v>30018098</v>
          </cell>
          <cell r="T355">
            <v>29382115</v>
          </cell>
        </row>
        <row r="356">
          <cell r="H356">
            <v>882</v>
          </cell>
          <cell r="J356">
            <v>429</v>
          </cell>
          <cell r="K356">
            <v>43652500</v>
          </cell>
          <cell r="L356">
            <v>33400761</v>
          </cell>
          <cell r="T356">
            <v>23326254</v>
          </cell>
        </row>
        <row r="357">
          <cell r="H357">
            <v>1083</v>
          </cell>
          <cell r="J357">
            <v>560</v>
          </cell>
          <cell r="K357">
            <v>50911880</v>
          </cell>
          <cell r="L357">
            <v>38754832</v>
          </cell>
          <cell r="T357">
            <v>22678020</v>
          </cell>
        </row>
        <row r="358">
          <cell r="H358">
            <v>403</v>
          </cell>
          <cell r="J358">
            <v>87</v>
          </cell>
          <cell r="K358">
            <v>8908000</v>
          </cell>
          <cell r="L358">
            <v>6767756</v>
          </cell>
          <cell r="T358">
            <v>9314539</v>
          </cell>
        </row>
        <row r="359">
          <cell r="H359">
            <v>664</v>
          </cell>
          <cell r="J359">
            <v>389</v>
          </cell>
          <cell r="K359">
            <v>49501500</v>
          </cell>
          <cell r="L359">
            <v>37095131</v>
          </cell>
          <cell r="T359">
            <v>21778536</v>
          </cell>
        </row>
        <row r="360">
          <cell r="H360">
            <v>1513</v>
          </cell>
          <cell r="J360">
            <v>1006</v>
          </cell>
          <cell r="K360">
            <v>100045685</v>
          </cell>
          <cell r="L360">
            <v>76239510</v>
          </cell>
          <cell r="T360">
            <v>39628496</v>
          </cell>
        </row>
        <row r="361">
          <cell r="H361">
            <v>923</v>
          </cell>
          <cell r="J361">
            <v>512</v>
          </cell>
          <cell r="K361">
            <v>36394450</v>
          </cell>
          <cell r="L361">
            <v>27764812</v>
          </cell>
          <cell r="T361">
            <v>15753764</v>
          </cell>
        </row>
        <row r="362">
          <cell r="H362">
            <v>4917</v>
          </cell>
          <cell r="J362">
            <v>1757</v>
          </cell>
          <cell r="K362">
            <v>158467485</v>
          </cell>
          <cell r="L362">
            <v>121444448</v>
          </cell>
          <cell r="T362">
            <v>133432629</v>
          </cell>
        </row>
        <row r="363">
          <cell r="H363">
            <v>403</v>
          </cell>
          <cell r="J363">
            <v>86</v>
          </cell>
          <cell r="K363">
            <v>13317900</v>
          </cell>
          <cell r="L363">
            <v>10025503</v>
          </cell>
          <cell r="T363">
            <v>19296849</v>
          </cell>
        </row>
        <row r="364">
          <cell r="H364">
            <v>600</v>
          </cell>
          <cell r="J364">
            <v>115</v>
          </cell>
          <cell r="K364">
            <v>3588000</v>
          </cell>
          <cell r="L364">
            <v>2732340</v>
          </cell>
          <cell r="T364">
            <v>5149200</v>
          </cell>
        </row>
        <row r="365">
          <cell r="H365">
            <v>199</v>
          </cell>
          <cell r="J365">
            <v>103</v>
          </cell>
          <cell r="K365">
            <v>2886400</v>
          </cell>
          <cell r="L365">
            <v>2265984</v>
          </cell>
          <cell r="T365">
            <v>1518967</v>
          </cell>
        </row>
        <row r="366">
          <cell r="H366">
            <v>294</v>
          </cell>
          <cell r="J366">
            <v>162</v>
          </cell>
          <cell r="K366">
            <v>7273000</v>
          </cell>
          <cell r="L366">
            <v>5659872</v>
          </cell>
          <cell r="T366">
            <v>2832102</v>
          </cell>
        </row>
        <row r="367">
          <cell r="H367">
            <v>150</v>
          </cell>
          <cell r="J367">
            <v>74</v>
          </cell>
          <cell r="K367">
            <v>3305600</v>
          </cell>
          <cell r="L367">
            <v>2590048</v>
          </cell>
          <cell r="T367">
            <v>1444950</v>
          </cell>
        </row>
        <row r="368">
          <cell r="H368">
            <v>288</v>
          </cell>
          <cell r="J368">
            <v>94</v>
          </cell>
          <cell r="K368">
            <v>3856800</v>
          </cell>
          <cell r="L368">
            <v>3040200</v>
          </cell>
          <cell r="T368">
            <v>3206304</v>
          </cell>
        </row>
        <row r="369">
          <cell r="H369">
            <v>151</v>
          </cell>
          <cell r="J369">
            <v>72</v>
          </cell>
          <cell r="K369">
            <v>3244000</v>
          </cell>
          <cell r="L369">
            <v>2559888</v>
          </cell>
          <cell r="T369">
            <v>1605583</v>
          </cell>
        </row>
        <row r="370">
          <cell r="H370">
            <v>149</v>
          </cell>
          <cell r="J370">
            <v>59</v>
          </cell>
          <cell r="K370">
            <v>2596000</v>
          </cell>
          <cell r="L370">
            <v>2070368</v>
          </cell>
          <cell r="T370">
            <v>1658817</v>
          </cell>
        </row>
        <row r="371">
          <cell r="H371">
            <v>247</v>
          </cell>
          <cell r="J371">
            <v>94</v>
          </cell>
          <cell r="K371">
            <v>4025600</v>
          </cell>
          <cell r="L371">
            <v>3234776</v>
          </cell>
          <cell r="T371">
            <v>3120351</v>
          </cell>
        </row>
        <row r="372">
          <cell r="H372">
            <v>199</v>
          </cell>
          <cell r="J372">
            <v>148</v>
          </cell>
          <cell r="K372">
            <v>6470400</v>
          </cell>
          <cell r="L372">
            <v>5257584</v>
          </cell>
          <cell r="T372">
            <v>2613467</v>
          </cell>
        </row>
        <row r="373">
          <cell r="H373">
            <v>199</v>
          </cell>
          <cell r="J373">
            <v>98</v>
          </cell>
          <cell r="K373">
            <v>4409200</v>
          </cell>
          <cell r="L373">
            <v>3419680</v>
          </cell>
          <cell r="T373">
            <v>2513967</v>
          </cell>
        </row>
        <row r="374">
          <cell r="H374">
            <v>298</v>
          </cell>
          <cell r="J374">
            <v>183</v>
          </cell>
          <cell r="K374">
            <v>8241200</v>
          </cell>
          <cell r="L374">
            <v>6426632</v>
          </cell>
          <cell r="T374">
            <v>3466634</v>
          </cell>
        </row>
        <row r="375">
          <cell r="H375">
            <v>148</v>
          </cell>
          <cell r="J375">
            <v>139</v>
          </cell>
          <cell r="K375">
            <v>7251600</v>
          </cell>
          <cell r="L375">
            <v>5700032</v>
          </cell>
          <cell r="T375">
            <v>1795684</v>
          </cell>
        </row>
        <row r="376">
          <cell r="H376">
            <v>296</v>
          </cell>
          <cell r="J376">
            <v>247</v>
          </cell>
          <cell r="K376">
            <v>14702800</v>
          </cell>
          <cell r="L376">
            <v>11732760</v>
          </cell>
          <cell r="T376">
            <v>5071368</v>
          </cell>
        </row>
        <row r="377">
          <cell r="H377">
            <v>350</v>
          </cell>
          <cell r="J377">
            <v>299</v>
          </cell>
          <cell r="K377">
            <v>15725600</v>
          </cell>
          <cell r="L377">
            <v>12321872</v>
          </cell>
          <cell r="T377">
            <v>3896550</v>
          </cell>
        </row>
        <row r="378">
          <cell r="H378">
            <v>246</v>
          </cell>
          <cell r="J378">
            <v>203</v>
          </cell>
          <cell r="K378">
            <v>9232400</v>
          </cell>
          <cell r="L378">
            <v>7106624</v>
          </cell>
          <cell r="T378">
            <v>2738718</v>
          </cell>
        </row>
        <row r="379">
          <cell r="H379">
            <v>348</v>
          </cell>
          <cell r="J379">
            <v>185</v>
          </cell>
          <cell r="K379">
            <v>10884000</v>
          </cell>
          <cell r="L379">
            <v>8755032</v>
          </cell>
          <cell r="T379">
            <v>6658284</v>
          </cell>
        </row>
        <row r="380">
          <cell r="H380">
            <v>149</v>
          </cell>
          <cell r="J380">
            <v>131</v>
          </cell>
          <cell r="K380">
            <v>5908400</v>
          </cell>
          <cell r="L380">
            <v>4634664</v>
          </cell>
          <cell r="T380">
            <v>1807817</v>
          </cell>
        </row>
        <row r="381">
          <cell r="H381">
            <v>199</v>
          </cell>
          <cell r="J381">
            <v>188</v>
          </cell>
          <cell r="K381">
            <v>9094800</v>
          </cell>
          <cell r="L381">
            <v>7108920</v>
          </cell>
          <cell r="T381">
            <v>2772667</v>
          </cell>
        </row>
        <row r="382">
          <cell r="H382">
            <v>3002</v>
          </cell>
          <cell r="J382">
            <v>2927</v>
          </cell>
          <cell r="K382">
            <v>87185791</v>
          </cell>
          <cell r="L382">
            <v>62483759</v>
          </cell>
          <cell r="T382">
            <v>30578372</v>
          </cell>
        </row>
        <row r="383">
          <cell r="H383">
            <v>2997</v>
          </cell>
          <cell r="J383">
            <v>3122</v>
          </cell>
          <cell r="K383">
            <v>91273895</v>
          </cell>
          <cell r="L383">
            <v>65130547</v>
          </cell>
          <cell r="T383">
            <v>30527442</v>
          </cell>
        </row>
        <row r="384">
          <cell r="H384">
            <v>2995</v>
          </cell>
          <cell r="J384">
            <v>2422</v>
          </cell>
          <cell r="K384">
            <v>71047175</v>
          </cell>
          <cell r="L384">
            <v>50596415</v>
          </cell>
          <cell r="T384">
            <v>30507070</v>
          </cell>
        </row>
        <row r="385">
          <cell r="H385">
            <v>692</v>
          </cell>
          <cell r="J385">
            <v>282</v>
          </cell>
          <cell r="K385">
            <v>11470200</v>
          </cell>
          <cell r="L385">
            <v>8703855</v>
          </cell>
          <cell r="T385">
            <v>13782564</v>
          </cell>
        </row>
        <row r="386">
          <cell r="H386">
            <v>682</v>
          </cell>
          <cell r="J386">
            <v>226</v>
          </cell>
          <cell r="K386">
            <v>14924900</v>
          </cell>
          <cell r="L386">
            <v>11360791</v>
          </cell>
          <cell r="T386">
            <v>12762266</v>
          </cell>
        </row>
        <row r="387">
          <cell r="H387">
            <v>666</v>
          </cell>
          <cell r="J387">
            <v>438</v>
          </cell>
          <cell r="K387">
            <v>31563200</v>
          </cell>
          <cell r="L387">
            <v>24896732</v>
          </cell>
          <cell r="T387">
            <v>12829158</v>
          </cell>
        </row>
        <row r="388">
          <cell r="H388">
            <v>567</v>
          </cell>
          <cell r="J388">
            <v>197</v>
          </cell>
          <cell r="K388">
            <v>14194400</v>
          </cell>
          <cell r="L388">
            <v>10921197</v>
          </cell>
          <cell r="T388">
            <v>10426563</v>
          </cell>
        </row>
        <row r="389">
          <cell r="H389">
            <v>518</v>
          </cell>
          <cell r="J389">
            <v>180</v>
          </cell>
          <cell r="K389">
            <v>11916100</v>
          </cell>
          <cell r="L389">
            <v>9171197</v>
          </cell>
          <cell r="T389">
            <v>8703954</v>
          </cell>
        </row>
        <row r="390">
          <cell r="H390">
            <v>674</v>
          </cell>
          <cell r="J390">
            <v>202</v>
          </cell>
          <cell r="K390">
            <v>16307500</v>
          </cell>
          <cell r="L390">
            <v>12590608</v>
          </cell>
          <cell r="T390">
            <v>15302496</v>
          </cell>
        </row>
        <row r="391">
          <cell r="H391">
            <v>786</v>
          </cell>
          <cell r="J391">
            <v>191</v>
          </cell>
          <cell r="K391">
            <v>12451050</v>
          </cell>
          <cell r="L391">
            <v>9682672</v>
          </cell>
          <cell r="T391">
            <v>17260560</v>
          </cell>
        </row>
        <row r="392">
          <cell r="H392">
            <v>603</v>
          </cell>
          <cell r="J392">
            <v>153</v>
          </cell>
          <cell r="K392">
            <v>11499300</v>
          </cell>
          <cell r="L392">
            <v>8822435</v>
          </cell>
          <cell r="T392">
            <v>13499361</v>
          </cell>
        </row>
        <row r="393">
          <cell r="H393">
            <v>929</v>
          </cell>
          <cell r="J393">
            <v>373</v>
          </cell>
          <cell r="K393">
            <v>24217095</v>
          </cell>
          <cell r="L393">
            <v>18464695</v>
          </cell>
          <cell r="T393">
            <v>16308595</v>
          </cell>
        </row>
        <row r="394">
          <cell r="H394">
            <v>236</v>
          </cell>
          <cell r="J394">
            <v>42</v>
          </cell>
          <cell r="K394">
            <v>4684050</v>
          </cell>
          <cell r="L394">
            <v>3622079</v>
          </cell>
          <cell r="T394">
            <v>7869656</v>
          </cell>
        </row>
        <row r="395">
          <cell r="H395">
            <v>611</v>
          </cell>
          <cell r="J395">
            <v>64</v>
          </cell>
          <cell r="K395">
            <v>11222200</v>
          </cell>
          <cell r="L395">
            <v>8273097</v>
          </cell>
          <cell r="T395">
            <v>29640221</v>
          </cell>
        </row>
        <row r="396">
          <cell r="H396">
            <v>394</v>
          </cell>
          <cell r="J396">
            <v>63</v>
          </cell>
          <cell r="K396">
            <v>9733400</v>
          </cell>
          <cell r="L396">
            <v>7602212</v>
          </cell>
          <cell r="T396">
            <v>18901362</v>
          </cell>
        </row>
        <row r="397">
          <cell r="H397">
            <v>682</v>
          </cell>
          <cell r="J397">
            <v>319</v>
          </cell>
          <cell r="K397">
            <v>46369900</v>
          </cell>
          <cell r="L397">
            <v>35579828</v>
          </cell>
          <cell r="T397">
            <v>30777978</v>
          </cell>
        </row>
        <row r="398">
          <cell r="H398">
            <v>265</v>
          </cell>
          <cell r="J398">
            <v>70</v>
          </cell>
          <cell r="K398">
            <v>13847900</v>
          </cell>
          <cell r="L398">
            <v>10266501</v>
          </cell>
          <cell r="T398">
            <v>14753875</v>
          </cell>
        </row>
        <row r="399">
          <cell r="H399">
            <v>811</v>
          </cell>
          <cell r="J399">
            <v>55</v>
          </cell>
          <cell r="K399">
            <v>10914800</v>
          </cell>
          <cell r="L399">
            <v>8226041</v>
          </cell>
          <cell r="T399">
            <v>45193786</v>
          </cell>
        </row>
        <row r="400">
          <cell r="H400">
            <v>1228</v>
          </cell>
          <cell r="J400">
            <v>327</v>
          </cell>
          <cell r="K400">
            <v>28156500</v>
          </cell>
          <cell r="L400">
            <v>21603644</v>
          </cell>
          <cell r="T400">
            <v>29681988</v>
          </cell>
        </row>
        <row r="401">
          <cell r="H401">
            <v>864</v>
          </cell>
          <cell r="J401">
            <v>265</v>
          </cell>
          <cell r="K401">
            <v>23008200</v>
          </cell>
          <cell r="L401">
            <v>17411067</v>
          </cell>
          <cell r="T401">
            <v>18149184</v>
          </cell>
        </row>
        <row r="402">
          <cell r="H402">
            <v>963</v>
          </cell>
          <cell r="J402">
            <v>511</v>
          </cell>
          <cell r="K402">
            <v>60422585</v>
          </cell>
          <cell r="L402">
            <v>45783093</v>
          </cell>
          <cell r="T402">
            <v>25267194</v>
          </cell>
        </row>
        <row r="403">
          <cell r="H403">
            <v>602</v>
          </cell>
          <cell r="J403">
            <v>103</v>
          </cell>
          <cell r="K403">
            <v>14488000</v>
          </cell>
          <cell r="L403">
            <v>11038560</v>
          </cell>
          <cell r="T403">
            <v>27875610</v>
          </cell>
        </row>
        <row r="404">
          <cell r="H404">
            <v>716</v>
          </cell>
          <cell r="J404">
            <v>296</v>
          </cell>
          <cell r="K404">
            <v>17649650</v>
          </cell>
          <cell r="L404">
            <v>13631214</v>
          </cell>
          <cell r="T404">
            <v>11954336</v>
          </cell>
        </row>
        <row r="405">
          <cell r="H405">
            <v>376</v>
          </cell>
          <cell r="J405">
            <v>106</v>
          </cell>
          <cell r="K405">
            <v>6702300</v>
          </cell>
          <cell r="L405">
            <v>5149458</v>
          </cell>
          <cell r="T405">
            <v>7446680</v>
          </cell>
        </row>
        <row r="406">
          <cell r="H406">
            <v>700</v>
          </cell>
          <cell r="J406">
            <v>151</v>
          </cell>
          <cell r="K406">
            <v>9748550</v>
          </cell>
          <cell r="L406">
            <v>7508274</v>
          </cell>
          <cell r="T406">
            <v>12009200</v>
          </cell>
        </row>
        <row r="407">
          <cell r="H407">
            <v>608</v>
          </cell>
          <cell r="J407">
            <v>163</v>
          </cell>
          <cell r="K407">
            <v>10472600</v>
          </cell>
          <cell r="L407">
            <v>8224136</v>
          </cell>
          <cell r="T407">
            <v>9277472</v>
          </cell>
        </row>
        <row r="408">
          <cell r="H408">
            <v>573</v>
          </cell>
          <cell r="J408">
            <v>148</v>
          </cell>
          <cell r="K408">
            <v>9617200</v>
          </cell>
          <cell r="L408">
            <v>7379440</v>
          </cell>
          <cell r="T408">
            <v>9990828</v>
          </cell>
        </row>
        <row r="409">
          <cell r="H409">
            <v>700</v>
          </cell>
          <cell r="J409">
            <v>220</v>
          </cell>
          <cell r="K409">
            <v>17673700</v>
          </cell>
          <cell r="L409">
            <v>13736972</v>
          </cell>
          <cell r="T409">
            <v>16692900</v>
          </cell>
        </row>
        <row r="410">
          <cell r="H410">
            <v>1030</v>
          </cell>
          <cell r="J410">
            <v>788</v>
          </cell>
          <cell r="K410">
            <v>66115445</v>
          </cell>
          <cell r="L410">
            <v>51067386</v>
          </cell>
          <cell r="T410">
            <v>22193410</v>
          </cell>
        </row>
        <row r="411">
          <cell r="H411">
            <v>863</v>
          </cell>
          <cell r="J411">
            <v>745</v>
          </cell>
          <cell r="K411">
            <v>62664900</v>
          </cell>
          <cell r="L411">
            <v>48505107</v>
          </cell>
          <cell r="T411">
            <v>18886755</v>
          </cell>
        </row>
        <row r="412">
          <cell r="H412">
            <v>245</v>
          </cell>
          <cell r="J412">
            <v>71</v>
          </cell>
          <cell r="K412">
            <v>7367900</v>
          </cell>
          <cell r="L412">
            <v>5572059</v>
          </cell>
          <cell r="T412">
            <v>8403500</v>
          </cell>
        </row>
        <row r="413">
          <cell r="H413">
            <v>1709</v>
          </cell>
          <cell r="J413">
            <v>1030</v>
          </cell>
          <cell r="K413">
            <v>52524700</v>
          </cell>
          <cell r="L413">
            <v>40180832</v>
          </cell>
          <cell r="T413">
            <v>31404584</v>
          </cell>
        </row>
        <row r="414">
          <cell r="H414">
            <v>1587</v>
          </cell>
          <cell r="J414">
            <v>1173</v>
          </cell>
          <cell r="K414">
            <v>59736300</v>
          </cell>
          <cell r="L414">
            <v>45949845</v>
          </cell>
          <cell r="T414">
            <v>29162712</v>
          </cell>
        </row>
        <row r="415">
          <cell r="H415">
            <v>303</v>
          </cell>
          <cell r="J415">
            <v>170</v>
          </cell>
          <cell r="K415">
            <v>23515900</v>
          </cell>
          <cell r="L415">
            <v>17786056</v>
          </cell>
          <cell r="T415">
            <v>11378256</v>
          </cell>
        </row>
        <row r="416">
          <cell r="H416">
            <v>557</v>
          </cell>
          <cell r="J416">
            <v>208</v>
          </cell>
          <cell r="K416">
            <v>23867050</v>
          </cell>
          <cell r="L416">
            <v>18175674</v>
          </cell>
          <cell r="T416">
            <v>20295409</v>
          </cell>
        </row>
        <row r="417">
          <cell r="H417">
            <v>849</v>
          </cell>
          <cell r="J417">
            <v>616</v>
          </cell>
          <cell r="K417">
            <v>62863800</v>
          </cell>
          <cell r="L417">
            <v>47783507</v>
          </cell>
          <cell r="T417">
            <v>31828161</v>
          </cell>
        </row>
        <row r="418">
          <cell r="H418">
            <v>746</v>
          </cell>
          <cell r="J418">
            <v>468</v>
          </cell>
          <cell r="K418">
            <v>48196350</v>
          </cell>
          <cell r="L418">
            <v>36556688</v>
          </cell>
          <cell r="T418">
            <v>27593794</v>
          </cell>
        </row>
        <row r="419">
          <cell r="H419">
            <v>650</v>
          </cell>
          <cell r="J419">
            <v>188</v>
          </cell>
          <cell r="K419">
            <v>19468700</v>
          </cell>
          <cell r="L419">
            <v>14572672</v>
          </cell>
          <cell r="T419">
            <v>23067850</v>
          </cell>
        </row>
        <row r="420">
          <cell r="H420">
            <v>299</v>
          </cell>
          <cell r="J420">
            <v>111</v>
          </cell>
          <cell r="K420">
            <v>11967040</v>
          </cell>
          <cell r="L420">
            <v>9094658</v>
          </cell>
          <cell r="T420">
            <v>9481888</v>
          </cell>
        </row>
        <row r="421">
          <cell r="H421">
            <v>1062</v>
          </cell>
          <cell r="J421">
            <v>507</v>
          </cell>
          <cell r="K421">
            <v>27881740</v>
          </cell>
          <cell r="L421">
            <v>21556871</v>
          </cell>
          <cell r="T421">
            <v>17409366</v>
          </cell>
        </row>
        <row r="422">
          <cell r="H422">
            <v>298</v>
          </cell>
          <cell r="J422">
            <v>71</v>
          </cell>
          <cell r="K422">
            <v>10284000</v>
          </cell>
          <cell r="L422">
            <v>7978779</v>
          </cell>
          <cell r="T422">
            <v>12204590</v>
          </cell>
        </row>
        <row r="423">
          <cell r="H423">
            <v>545</v>
          </cell>
          <cell r="J423">
            <v>176</v>
          </cell>
          <cell r="K423">
            <v>25157990</v>
          </cell>
          <cell r="L423">
            <v>19220898</v>
          </cell>
          <cell r="T423">
            <v>20296890</v>
          </cell>
        </row>
        <row r="424">
          <cell r="H424">
            <v>794</v>
          </cell>
          <cell r="J424">
            <v>310</v>
          </cell>
          <cell r="K424">
            <v>19720150</v>
          </cell>
          <cell r="L424">
            <v>15113083</v>
          </cell>
          <cell r="T424">
            <v>15556842</v>
          </cell>
        </row>
        <row r="425">
          <cell r="H425">
            <v>792</v>
          </cell>
          <cell r="J425">
            <v>439</v>
          </cell>
          <cell r="K425">
            <v>71703335</v>
          </cell>
          <cell r="L425">
            <v>55113590</v>
          </cell>
          <cell r="T425">
            <v>34878888</v>
          </cell>
        </row>
        <row r="426">
          <cell r="H426">
            <v>646</v>
          </cell>
          <cell r="J426">
            <v>113</v>
          </cell>
          <cell r="K426">
            <v>15546900</v>
          </cell>
          <cell r="L426">
            <v>11990909</v>
          </cell>
          <cell r="T426">
            <v>24527974</v>
          </cell>
        </row>
        <row r="427">
          <cell r="H427">
            <v>354</v>
          </cell>
          <cell r="J427">
            <v>116</v>
          </cell>
          <cell r="K427">
            <v>20833800</v>
          </cell>
          <cell r="L427">
            <v>16086961</v>
          </cell>
          <cell r="T427">
            <v>17497512</v>
          </cell>
        </row>
        <row r="428">
          <cell r="H428">
            <v>851</v>
          </cell>
          <cell r="J428">
            <v>131</v>
          </cell>
          <cell r="K428">
            <v>32494600</v>
          </cell>
          <cell r="L428">
            <v>24332486</v>
          </cell>
          <cell r="T428">
            <v>48990368</v>
          </cell>
        </row>
        <row r="429">
          <cell r="H429">
            <v>340</v>
          </cell>
          <cell r="J429">
            <v>118</v>
          </cell>
          <cell r="K429">
            <v>60632200</v>
          </cell>
          <cell r="L429">
            <v>46334105</v>
          </cell>
          <cell r="T429">
            <v>42796140</v>
          </cell>
        </row>
        <row r="430">
          <cell r="H430">
            <v>647</v>
          </cell>
          <cell r="J430">
            <v>203</v>
          </cell>
          <cell r="K430">
            <v>102990050</v>
          </cell>
          <cell r="L430">
            <v>76781180</v>
          </cell>
          <cell r="T430">
            <v>81880438</v>
          </cell>
        </row>
        <row r="431">
          <cell r="H431">
            <v>749</v>
          </cell>
          <cell r="J431">
            <v>438</v>
          </cell>
          <cell r="K431">
            <v>32553200</v>
          </cell>
          <cell r="L431">
            <v>25072665</v>
          </cell>
          <cell r="T431">
            <v>12926991</v>
          </cell>
        </row>
        <row r="432">
          <cell r="H432">
            <v>486</v>
          </cell>
          <cell r="J432">
            <v>162</v>
          </cell>
          <cell r="K432">
            <v>13620650</v>
          </cell>
          <cell r="L432">
            <v>10328518</v>
          </cell>
          <cell r="T432">
            <v>11635812</v>
          </cell>
        </row>
        <row r="433">
          <cell r="H433">
            <v>563</v>
          </cell>
          <cell r="J433">
            <v>111</v>
          </cell>
          <cell r="K433">
            <v>9432500</v>
          </cell>
          <cell r="L433">
            <v>7256733</v>
          </cell>
          <cell r="T433">
            <v>11824126</v>
          </cell>
        </row>
        <row r="434">
          <cell r="H434">
            <v>420</v>
          </cell>
          <cell r="J434">
            <v>136</v>
          </cell>
          <cell r="K434">
            <v>12184600</v>
          </cell>
          <cell r="L434">
            <v>9367430</v>
          </cell>
          <cell r="T434">
            <v>8932140</v>
          </cell>
        </row>
        <row r="435">
          <cell r="H435">
            <v>460</v>
          </cell>
          <cell r="J435">
            <v>329</v>
          </cell>
          <cell r="K435">
            <v>29973100</v>
          </cell>
          <cell r="L435">
            <v>22718570</v>
          </cell>
          <cell r="T435">
            <v>8687100</v>
          </cell>
        </row>
        <row r="436">
          <cell r="H436">
            <v>1885</v>
          </cell>
          <cell r="J436">
            <v>791</v>
          </cell>
          <cell r="K436">
            <v>66446950</v>
          </cell>
          <cell r="L436">
            <v>50900536</v>
          </cell>
          <cell r="T436">
            <v>39922415</v>
          </cell>
        </row>
        <row r="437">
          <cell r="H437">
            <v>551</v>
          </cell>
          <cell r="J437">
            <v>288</v>
          </cell>
          <cell r="K437">
            <v>26277445</v>
          </cell>
          <cell r="L437">
            <v>19775681</v>
          </cell>
          <cell r="T437">
            <v>11764401</v>
          </cell>
        </row>
        <row r="438">
          <cell r="H438">
            <v>852</v>
          </cell>
          <cell r="J438">
            <v>260</v>
          </cell>
          <cell r="K438">
            <v>25805195</v>
          </cell>
          <cell r="L438">
            <v>19491527</v>
          </cell>
          <cell r="T438">
            <v>23280900</v>
          </cell>
        </row>
        <row r="439">
          <cell r="H439">
            <v>627</v>
          </cell>
          <cell r="J439">
            <v>265</v>
          </cell>
          <cell r="K439">
            <v>19455000</v>
          </cell>
          <cell r="L439">
            <v>14696281</v>
          </cell>
          <cell r="T439">
            <v>14268012</v>
          </cell>
        </row>
        <row r="440">
          <cell r="H440">
            <v>621</v>
          </cell>
          <cell r="J440">
            <v>291</v>
          </cell>
          <cell r="K440">
            <v>29139000</v>
          </cell>
          <cell r="L440">
            <v>21954726</v>
          </cell>
          <cell r="T440">
            <v>12657843</v>
          </cell>
        </row>
        <row r="441">
          <cell r="H441">
            <v>374</v>
          </cell>
          <cell r="J441">
            <v>44</v>
          </cell>
          <cell r="K441">
            <v>3139600</v>
          </cell>
          <cell r="L441">
            <v>2356586</v>
          </cell>
          <cell r="T441">
            <v>7191646</v>
          </cell>
        </row>
        <row r="442">
          <cell r="H442">
            <v>322</v>
          </cell>
          <cell r="J442">
            <v>99</v>
          </cell>
          <cell r="K442">
            <v>7030100</v>
          </cell>
          <cell r="L442">
            <v>5453195</v>
          </cell>
          <cell r="T442">
            <v>6926864</v>
          </cell>
        </row>
        <row r="443">
          <cell r="H443">
            <v>440</v>
          </cell>
          <cell r="J443">
            <v>134</v>
          </cell>
          <cell r="K443">
            <v>9640300</v>
          </cell>
          <cell r="L443">
            <v>7390648</v>
          </cell>
          <cell r="T443">
            <v>6695040</v>
          </cell>
        </row>
        <row r="444">
          <cell r="H444">
            <v>336</v>
          </cell>
          <cell r="J444">
            <v>104</v>
          </cell>
          <cell r="K444">
            <v>6721000</v>
          </cell>
          <cell r="L444">
            <v>5107967</v>
          </cell>
          <cell r="T444">
            <v>5031936</v>
          </cell>
        </row>
        <row r="445">
          <cell r="H445">
            <v>335</v>
          </cell>
          <cell r="J445">
            <v>95</v>
          </cell>
          <cell r="K445">
            <v>6460100</v>
          </cell>
          <cell r="L445">
            <v>4974271</v>
          </cell>
          <cell r="T445">
            <v>6362655</v>
          </cell>
        </row>
        <row r="446">
          <cell r="H446">
            <v>364</v>
          </cell>
          <cell r="J446">
            <v>240</v>
          </cell>
          <cell r="K446">
            <v>19370600</v>
          </cell>
          <cell r="L446">
            <v>15001484</v>
          </cell>
          <cell r="T446">
            <v>7225764</v>
          </cell>
        </row>
        <row r="447">
          <cell r="H447">
            <v>366</v>
          </cell>
          <cell r="J447">
            <v>102</v>
          </cell>
          <cell r="K447">
            <v>8626500</v>
          </cell>
          <cell r="L447">
            <v>6546039</v>
          </cell>
          <cell r="T447">
            <v>8572818</v>
          </cell>
        </row>
        <row r="448">
          <cell r="H448">
            <v>411</v>
          </cell>
          <cell r="J448">
            <v>126</v>
          </cell>
          <cell r="K448">
            <v>9491700</v>
          </cell>
          <cell r="L448">
            <v>7272898</v>
          </cell>
          <cell r="T448">
            <v>7116465</v>
          </cell>
        </row>
        <row r="449">
          <cell r="H449">
            <v>283</v>
          </cell>
          <cell r="J449">
            <v>49</v>
          </cell>
          <cell r="K449">
            <v>3752600</v>
          </cell>
          <cell r="L449">
            <v>2970756</v>
          </cell>
          <cell r="T449">
            <v>5203804</v>
          </cell>
        </row>
        <row r="450">
          <cell r="H450">
            <v>401</v>
          </cell>
          <cell r="J450">
            <v>100</v>
          </cell>
          <cell r="K450">
            <v>8355000</v>
          </cell>
          <cell r="L450">
            <v>6326343</v>
          </cell>
          <cell r="T450">
            <v>9630416</v>
          </cell>
        </row>
        <row r="451">
          <cell r="H451">
            <v>323</v>
          </cell>
          <cell r="J451">
            <v>190</v>
          </cell>
          <cell r="K451">
            <v>16061300</v>
          </cell>
          <cell r="L451">
            <v>11903483</v>
          </cell>
          <cell r="T451">
            <v>5498106</v>
          </cell>
        </row>
        <row r="452">
          <cell r="H452">
            <v>434</v>
          </cell>
          <cell r="J452">
            <v>216</v>
          </cell>
          <cell r="K452">
            <v>35636400</v>
          </cell>
          <cell r="L452">
            <v>27139622</v>
          </cell>
          <cell r="T452">
            <v>16864372</v>
          </cell>
        </row>
        <row r="453">
          <cell r="H453">
            <v>400</v>
          </cell>
          <cell r="J453">
            <v>119</v>
          </cell>
          <cell r="K453">
            <v>20440000</v>
          </cell>
          <cell r="L453">
            <v>15721493</v>
          </cell>
          <cell r="T453">
            <v>15634000</v>
          </cell>
        </row>
        <row r="454">
          <cell r="H454">
            <v>339</v>
          </cell>
          <cell r="J454">
            <v>72</v>
          </cell>
          <cell r="K454">
            <v>13428600</v>
          </cell>
          <cell r="L454">
            <v>10097602</v>
          </cell>
          <cell r="T454">
            <v>18242607</v>
          </cell>
        </row>
        <row r="455">
          <cell r="H455">
            <v>342</v>
          </cell>
          <cell r="J455">
            <v>153</v>
          </cell>
          <cell r="K455">
            <v>33437300</v>
          </cell>
          <cell r="L455">
            <v>25213664</v>
          </cell>
          <cell r="T455">
            <v>19342836</v>
          </cell>
        </row>
        <row r="456">
          <cell r="H456">
            <v>348</v>
          </cell>
          <cell r="J456">
            <v>90</v>
          </cell>
          <cell r="K456">
            <v>19404100</v>
          </cell>
          <cell r="L456">
            <v>14491168</v>
          </cell>
          <cell r="T456">
            <v>20733840</v>
          </cell>
        </row>
        <row r="457">
          <cell r="H457">
            <v>349</v>
          </cell>
          <cell r="J457">
            <v>198</v>
          </cell>
          <cell r="K457">
            <v>39341545</v>
          </cell>
          <cell r="L457">
            <v>29656082</v>
          </cell>
          <cell r="T457">
            <v>17488390</v>
          </cell>
        </row>
        <row r="458">
          <cell r="H458">
            <v>400</v>
          </cell>
          <cell r="J458">
            <v>170</v>
          </cell>
          <cell r="K458">
            <v>38773800</v>
          </cell>
          <cell r="L458">
            <v>29438897</v>
          </cell>
          <cell r="T458">
            <v>21930400</v>
          </cell>
        </row>
        <row r="459">
          <cell r="H459">
            <v>897</v>
          </cell>
          <cell r="J459">
            <v>136</v>
          </cell>
          <cell r="K459">
            <v>29425095</v>
          </cell>
          <cell r="L459">
            <v>22685078</v>
          </cell>
          <cell r="T459">
            <v>58637787</v>
          </cell>
        </row>
        <row r="460">
          <cell r="H460">
            <v>1040</v>
          </cell>
          <cell r="J460">
            <v>388</v>
          </cell>
          <cell r="K460">
            <v>104550100</v>
          </cell>
          <cell r="L460">
            <v>79790393</v>
          </cell>
          <cell r="T460">
            <v>67137200</v>
          </cell>
        </row>
        <row r="461">
          <cell r="H461">
            <v>798</v>
          </cell>
          <cell r="J461">
            <v>84</v>
          </cell>
          <cell r="K461">
            <v>20938480</v>
          </cell>
          <cell r="L461">
            <v>15794720</v>
          </cell>
          <cell r="T461">
            <v>57172710</v>
          </cell>
        </row>
        <row r="462">
          <cell r="H462">
            <v>793</v>
          </cell>
          <cell r="J462">
            <v>437</v>
          </cell>
          <cell r="K462">
            <v>58065200</v>
          </cell>
          <cell r="L462">
            <v>44607769</v>
          </cell>
          <cell r="T462">
            <v>32376604</v>
          </cell>
        </row>
        <row r="463">
          <cell r="H463">
            <v>322</v>
          </cell>
          <cell r="J463">
            <v>26</v>
          </cell>
          <cell r="K463">
            <v>6454200</v>
          </cell>
          <cell r="L463">
            <v>4846317</v>
          </cell>
          <cell r="T463">
            <v>22282722</v>
          </cell>
        </row>
        <row r="464">
          <cell r="H464">
            <v>372</v>
          </cell>
          <cell r="J464">
            <v>254</v>
          </cell>
          <cell r="K464">
            <v>80491280</v>
          </cell>
          <cell r="L464">
            <v>61371476</v>
          </cell>
          <cell r="T464">
            <v>30130884</v>
          </cell>
        </row>
        <row r="465">
          <cell r="H465">
            <v>712</v>
          </cell>
          <cell r="J465">
            <v>215</v>
          </cell>
          <cell r="K465">
            <v>45486645</v>
          </cell>
          <cell r="L465">
            <v>34885114</v>
          </cell>
          <cell r="T465">
            <v>41178520</v>
          </cell>
        </row>
        <row r="466">
          <cell r="H466">
            <v>820</v>
          </cell>
          <cell r="J466">
            <v>48</v>
          </cell>
          <cell r="K466">
            <v>11379545</v>
          </cell>
          <cell r="L466">
            <v>8730912</v>
          </cell>
          <cell r="T466">
            <v>54396340</v>
          </cell>
        </row>
        <row r="467">
          <cell r="H467">
            <v>889</v>
          </cell>
          <cell r="J467">
            <v>312</v>
          </cell>
          <cell r="K467">
            <v>95130180</v>
          </cell>
          <cell r="L467">
            <v>71791895</v>
          </cell>
          <cell r="T467">
            <v>72875775</v>
          </cell>
        </row>
        <row r="468">
          <cell r="H468">
            <v>497</v>
          </cell>
          <cell r="J468">
            <v>282</v>
          </cell>
          <cell r="K468">
            <v>77032300</v>
          </cell>
          <cell r="L468">
            <v>58325482</v>
          </cell>
          <cell r="T468">
            <v>3414887</v>
          </cell>
        </row>
        <row r="469">
          <cell r="H469">
            <v>867</v>
          </cell>
          <cell r="J469">
            <v>605</v>
          </cell>
          <cell r="K469">
            <v>54339370</v>
          </cell>
          <cell r="L469">
            <v>41702191</v>
          </cell>
          <cell r="T469">
            <v>20384904</v>
          </cell>
        </row>
        <row r="470">
          <cell r="H470">
            <v>1798</v>
          </cell>
          <cell r="J470">
            <v>859</v>
          </cell>
          <cell r="K470">
            <v>30919900</v>
          </cell>
          <cell r="L470">
            <v>24063137</v>
          </cell>
          <cell r="T470">
            <v>18560754</v>
          </cell>
        </row>
        <row r="471">
          <cell r="H471">
            <v>681</v>
          </cell>
          <cell r="J471">
            <v>238</v>
          </cell>
          <cell r="K471">
            <v>10734000</v>
          </cell>
          <cell r="L471">
            <v>8207685</v>
          </cell>
          <cell r="T471">
            <v>11031519</v>
          </cell>
        </row>
        <row r="472">
          <cell r="H472">
            <v>1176</v>
          </cell>
          <cell r="J472">
            <v>827</v>
          </cell>
          <cell r="K472">
            <v>59269845</v>
          </cell>
          <cell r="L472">
            <v>46400208</v>
          </cell>
          <cell r="T472">
            <v>19884984</v>
          </cell>
        </row>
        <row r="473">
          <cell r="H473">
            <v>823</v>
          </cell>
          <cell r="J473">
            <v>478</v>
          </cell>
          <cell r="K473">
            <v>33952100</v>
          </cell>
          <cell r="L473">
            <v>26153661</v>
          </cell>
          <cell r="T473">
            <v>15154722</v>
          </cell>
        </row>
        <row r="474">
          <cell r="H474">
            <v>696</v>
          </cell>
          <cell r="J474">
            <v>338</v>
          </cell>
          <cell r="K474">
            <v>17801150</v>
          </cell>
          <cell r="L474">
            <v>13792128</v>
          </cell>
          <cell r="T474">
            <v>12418032</v>
          </cell>
        </row>
        <row r="475">
          <cell r="H475">
            <v>378</v>
          </cell>
          <cell r="J475">
            <v>190</v>
          </cell>
          <cell r="K475">
            <v>11617750</v>
          </cell>
          <cell r="L475">
            <v>8894963</v>
          </cell>
          <cell r="T475">
            <v>6886026</v>
          </cell>
        </row>
        <row r="476">
          <cell r="H476">
            <v>315</v>
          </cell>
          <cell r="J476">
            <v>144</v>
          </cell>
          <cell r="K476">
            <v>13005200</v>
          </cell>
          <cell r="L476">
            <v>10014642</v>
          </cell>
          <cell r="T476">
            <v>6892200</v>
          </cell>
        </row>
        <row r="477">
          <cell r="H477">
            <v>800</v>
          </cell>
          <cell r="J477">
            <v>305</v>
          </cell>
          <cell r="K477">
            <v>24644700</v>
          </cell>
          <cell r="L477">
            <v>19098866</v>
          </cell>
          <cell r="T477">
            <v>16719200</v>
          </cell>
        </row>
        <row r="478">
          <cell r="H478">
            <v>898</v>
          </cell>
          <cell r="J478">
            <v>630</v>
          </cell>
          <cell r="K478">
            <v>44741695</v>
          </cell>
          <cell r="L478">
            <v>34939954</v>
          </cell>
          <cell r="T478">
            <v>14975946</v>
          </cell>
        </row>
        <row r="479">
          <cell r="H479">
            <v>549</v>
          </cell>
          <cell r="J479">
            <v>165</v>
          </cell>
          <cell r="K479">
            <v>11418400</v>
          </cell>
          <cell r="L479">
            <v>8572638</v>
          </cell>
          <cell r="T479">
            <v>12338226</v>
          </cell>
        </row>
        <row r="480">
          <cell r="H480">
            <v>841</v>
          </cell>
          <cell r="J480">
            <v>426</v>
          </cell>
          <cell r="K480">
            <v>30296100</v>
          </cell>
          <cell r="L480">
            <v>23679065</v>
          </cell>
          <cell r="T480">
            <v>14060679</v>
          </cell>
        </row>
        <row r="481">
          <cell r="H481">
            <v>667</v>
          </cell>
          <cell r="J481">
            <v>348</v>
          </cell>
          <cell r="K481">
            <v>28218200</v>
          </cell>
          <cell r="L481">
            <v>21797213</v>
          </cell>
          <cell r="T481">
            <v>13894944</v>
          </cell>
        </row>
        <row r="482">
          <cell r="H482">
            <v>1708</v>
          </cell>
          <cell r="J482">
            <v>665</v>
          </cell>
          <cell r="K482">
            <v>30618290</v>
          </cell>
          <cell r="L482">
            <v>23482157</v>
          </cell>
          <cell r="T482">
            <v>15641864</v>
          </cell>
        </row>
        <row r="483">
          <cell r="H483">
            <v>681</v>
          </cell>
          <cell r="J483">
            <v>192</v>
          </cell>
          <cell r="K483">
            <v>12521235</v>
          </cell>
          <cell r="L483">
            <v>9479869</v>
          </cell>
          <cell r="T483">
            <v>11666211</v>
          </cell>
        </row>
        <row r="484">
          <cell r="H484">
            <v>945</v>
          </cell>
          <cell r="J484">
            <v>199</v>
          </cell>
          <cell r="K484">
            <v>12883100</v>
          </cell>
          <cell r="L484">
            <v>9895582</v>
          </cell>
          <cell r="T484">
            <v>18905670</v>
          </cell>
        </row>
        <row r="485">
          <cell r="H485">
            <v>686</v>
          </cell>
          <cell r="J485">
            <v>219</v>
          </cell>
          <cell r="K485">
            <v>14827650</v>
          </cell>
          <cell r="L485">
            <v>11379261</v>
          </cell>
          <cell r="T485">
            <v>15259384</v>
          </cell>
        </row>
        <row r="486">
          <cell r="H486">
            <v>681</v>
          </cell>
          <cell r="J486">
            <v>103</v>
          </cell>
          <cell r="K486">
            <v>8037000</v>
          </cell>
          <cell r="L486">
            <v>6226665</v>
          </cell>
          <cell r="T486">
            <v>15678663</v>
          </cell>
        </row>
        <row r="487">
          <cell r="H487">
            <v>846</v>
          </cell>
          <cell r="J487">
            <v>270</v>
          </cell>
          <cell r="K487">
            <v>14705500</v>
          </cell>
          <cell r="L487">
            <v>11329269</v>
          </cell>
          <cell r="T487">
            <v>11723868</v>
          </cell>
        </row>
        <row r="488">
          <cell r="H488">
            <v>1086</v>
          </cell>
          <cell r="J488">
            <v>234</v>
          </cell>
          <cell r="K488">
            <v>18066000</v>
          </cell>
          <cell r="L488">
            <v>13777445</v>
          </cell>
          <cell r="T488">
            <v>25484076</v>
          </cell>
        </row>
        <row r="489">
          <cell r="H489">
            <v>1259</v>
          </cell>
          <cell r="J489">
            <v>743</v>
          </cell>
          <cell r="K489">
            <v>61898950</v>
          </cell>
          <cell r="L489">
            <v>47615668</v>
          </cell>
          <cell r="T489">
            <v>25693672</v>
          </cell>
        </row>
        <row r="490">
          <cell r="H490">
            <v>998</v>
          </cell>
          <cell r="J490">
            <v>367</v>
          </cell>
          <cell r="K490">
            <v>29914880</v>
          </cell>
          <cell r="L490">
            <v>23044726</v>
          </cell>
          <cell r="T490">
            <v>19666588</v>
          </cell>
        </row>
        <row r="491">
          <cell r="H491">
            <v>637</v>
          </cell>
          <cell r="J491">
            <v>192</v>
          </cell>
          <cell r="K491">
            <v>14162345</v>
          </cell>
          <cell r="L491">
            <v>10773112</v>
          </cell>
          <cell r="T491">
            <v>11917633</v>
          </cell>
        </row>
        <row r="492">
          <cell r="H492">
            <v>1051</v>
          </cell>
          <cell r="J492">
            <v>337</v>
          </cell>
          <cell r="K492">
            <v>24395700</v>
          </cell>
          <cell r="L492">
            <v>18731809</v>
          </cell>
          <cell r="T492">
            <v>21020000</v>
          </cell>
        </row>
        <row r="493">
          <cell r="H493">
            <v>1105</v>
          </cell>
          <cell r="J493">
            <v>471</v>
          </cell>
          <cell r="K493">
            <v>37989800</v>
          </cell>
          <cell r="L493">
            <v>28969958</v>
          </cell>
          <cell r="T493">
            <v>23052510</v>
          </cell>
        </row>
        <row r="494">
          <cell r="H494">
            <v>1217</v>
          </cell>
          <cell r="J494">
            <v>500</v>
          </cell>
          <cell r="K494">
            <v>45194800</v>
          </cell>
          <cell r="L494">
            <v>34483680</v>
          </cell>
          <cell r="T494">
            <v>26048668</v>
          </cell>
        </row>
        <row r="495">
          <cell r="H495">
            <v>1970</v>
          </cell>
          <cell r="J495">
            <v>932</v>
          </cell>
          <cell r="K495">
            <v>49832100</v>
          </cell>
          <cell r="L495">
            <v>38296005</v>
          </cell>
          <cell r="T495">
            <v>31395890</v>
          </cell>
        </row>
        <row r="496">
          <cell r="H496">
            <v>2620</v>
          </cell>
          <cell r="J496">
            <v>1661</v>
          </cell>
          <cell r="K496">
            <v>67113000</v>
          </cell>
          <cell r="L496">
            <v>51262458</v>
          </cell>
          <cell r="T496">
            <v>34429420</v>
          </cell>
        </row>
        <row r="497">
          <cell r="H497">
            <v>408</v>
          </cell>
          <cell r="J497">
            <v>185</v>
          </cell>
          <cell r="K497">
            <v>22624540</v>
          </cell>
          <cell r="L497">
            <v>16627986</v>
          </cell>
          <cell r="T497">
            <v>12783456</v>
          </cell>
        </row>
        <row r="498">
          <cell r="H498">
            <v>1102</v>
          </cell>
          <cell r="J498">
            <v>311</v>
          </cell>
          <cell r="K498">
            <v>16083000</v>
          </cell>
          <cell r="L498">
            <v>12210980</v>
          </cell>
          <cell r="T498">
            <v>20220598</v>
          </cell>
        </row>
        <row r="499">
          <cell r="H499">
            <v>608</v>
          </cell>
          <cell r="J499">
            <v>136</v>
          </cell>
          <cell r="K499">
            <v>20969795</v>
          </cell>
          <cell r="L499">
            <v>15701773</v>
          </cell>
          <cell r="T499">
            <v>25228960</v>
          </cell>
        </row>
        <row r="500">
          <cell r="H500">
            <v>304</v>
          </cell>
          <cell r="J500">
            <v>83</v>
          </cell>
          <cell r="K500">
            <v>9835900</v>
          </cell>
          <cell r="L500">
            <v>7397699</v>
          </cell>
          <cell r="T500">
            <v>8369728</v>
          </cell>
        </row>
        <row r="501">
          <cell r="H501">
            <v>985</v>
          </cell>
          <cell r="J501">
            <v>698</v>
          </cell>
          <cell r="K501">
            <v>66102450</v>
          </cell>
          <cell r="L501">
            <v>49765759</v>
          </cell>
          <cell r="T501">
            <v>30570460</v>
          </cell>
        </row>
        <row r="502">
          <cell r="H502">
            <v>350</v>
          </cell>
          <cell r="J502">
            <v>114</v>
          </cell>
          <cell r="K502">
            <v>9750100</v>
          </cell>
          <cell r="L502">
            <v>7434170</v>
          </cell>
          <cell r="T502">
            <v>8062600</v>
          </cell>
        </row>
        <row r="503">
          <cell r="H503">
            <v>477</v>
          </cell>
          <cell r="J503">
            <v>171</v>
          </cell>
          <cell r="K503">
            <v>18863950</v>
          </cell>
          <cell r="L503">
            <v>14552629</v>
          </cell>
          <cell r="T503">
            <v>12469734</v>
          </cell>
        </row>
        <row r="504">
          <cell r="H504">
            <v>810</v>
          </cell>
          <cell r="J504">
            <v>161</v>
          </cell>
          <cell r="K504">
            <v>17310100</v>
          </cell>
          <cell r="L504">
            <v>13181868</v>
          </cell>
          <cell r="T504">
            <v>21089160</v>
          </cell>
        </row>
        <row r="505">
          <cell r="H505">
            <v>471</v>
          </cell>
          <cell r="J505">
            <v>117</v>
          </cell>
          <cell r="K505">
            <v>15787200</v>
          </cell>
          <cell r="L505">
            <v>12118437</v>
          </cell>
          <cell r="T505">
            <v>16068165</v>
          </cell>
        </row>
        <row r="506">
          <cell r="H506">
            <v>696</v>
          </cell>
          <cell r="J506">
            <v>128</v>
          </cell>
          <cell r="K506">
            <v>18614300</v>
          </cell>
          <cell r="L506">
            <v>13999314</v>
          </cell>
          <cell r="T506">
            <v>28452480</v>
          </cell>
        </row>
        <row r="507">
          <cell r="H507">
            <v>902</v>
          </cell>
          <cell r="J507">
            <v>213</v>
          </cell>
          <cell r="K507">
            <v>30871445</v>
          </cell>
          <cell r="L507">
            <v>23225607</v>
          </cell>
          <cell r="T507">
            <v>34406790</v>
          </cell>
        </row>
        <row r="508">
          <cell r="H508">
            <v>364</v>
          </cell>
          <cell r="J508">
            <v>79</v>
          </cell>
          <cell r="K508">
            <v>12585300</v>
          </cell>
          <cell r="L508">
            <v>9453617</v>
          </cell>
          <cell r="T508">
            <v>15995980</v>
          </cell>
        </row>
        <row r="509">
          <cell r="H509">
            <v>495</v>
          </cell>
          <cell r="J509">
            <v>83</v>
          </cell>
          <cell r="K509">
            <v>14830375</v>
          </cell>
          <cell r="L509">
            <v>10885400</v>
          </cell>
          <cell r="T509">
            <v>21675555</v>
          </cell>
        </row>
        <row r="510">
          <cell r="H510">
            <v>298</v>
          </cell>
          <cell r="J510">
            <v>79</v>
          </cell>
          <cell r="K510">
            <v>14148900</v>
          </cell>
          <cell r="L510">
            <v>10508892</v>
          </cell>
          <cell r="T510">
            <v>15433122</v>
          </cell>
        </row>
        <row r="511">
          <cell r="H511">
            <v>597</v>
          </cell>
          <cell r="J511">
            <v>159</v>
          </cell>
          <cell r="K511">
            <v>17866000</v>
          </cell>
          <cell r="L511">
            <v>13520823</v>
          </cell>
          <cell r="T511">
            <v>21019176</v>
          </cell>
        </row>
        <row r="512">
          <cell r="H512">
            <v>864</v>
          </cell>
          <cell r="J512">
            <v>287</v>
          </cell>
          <cell r="K512">
            <v>31068795</v>
          </cell>
          <cell r="L512">
            <v>23936892</v>
          </cell>
          <cell r="T512">
            <v>27761184</v>
          </cell>
        </row>
        <row r="513">
          <cell r="H513">
            <v>739</v>
          </cell>
          <cell r="J513">
            <v>422</v>
          </cell>
          <cell r="K513">
            <v>58293550</v>
          </cell>
          <cell r="L513">
            <v>44715496</v>
          </cell>
          <cell r="T513">
            <v>27951936</v>
          </cell>
        </row>
        <row r="514">
          <cell r="H514">
            <v>206</v>
          </cell>
          <cell r="J514">
            <v>28</v>
          </cell>
          <cell r="K514">
            <v>4782600</v>
          </cell>
          <cell r="L514">
            <v>3571449</v>
          </cell>
          <cell r="T514">
            <v>10627952</v>
          </cell>
        </row>
        <row r="515">
          <cell r="H515">
            <v>1123</v>
          </cell>
          <cell r="J515">
            <v>631</v>
          </cell>
          <cell r="K515">
            <v>67811190</v>
          </cell>
          <cell r="L515">
            <v>51808221</v>
          </cell>
          <cell r="T515">
            <v>38082053</v>
          </cell>
        </row>
        <row r="516">
          <cell r="H516">
            <v>1077</v>
          </cell>
          <cell r="J516">
            <v>594</v>
          </cell>
          <cell r="K516">
            <v>87183580</v>
          </cell>
          <cell r="L516">
            <v>66618666</v>
          </cell>
          <cell r="T516">
            <v>36014880</v>
          </cell>
        </row>
        <row r="517">
          <cell r="H517">
            <v>905</v>
          </cell>
          <cell r="J517">
            <v>142</v>
          </cell>
          <cell r="K517">
            <v>28419800</v>
          </cell>
          <cell r="L517">
            <v>21360496</v>
          </cell>
          <cell r="T517">
            <v>50395830</v>
          </cell>
        </row>
        <row r="518">
          <cell r="H518">
            <v>401</v>
          </cell>
          <cell r="J518">
            <v>168</v>
          </cell>
          <cell r="K518">
            <v>34783350</v>
          </cell>
          <cell r="L518">
            <v>26041947</v>
          </cell>
          <cell r="T518">
            <v>23566369</v>
          </cell>
        </row>
        <row r="519">
          <cell r="H519">
            <v>978</v>
          </cell>
          <cell r="J519">
            <v>191</v>
          </cell>
          <cell r="K519">
            <v>12163150</v>
          </cell>
          <cell r="L519">
            <v>9411687</v>
          </cell>
          <cell r="T519">
            <v>17726250</v>
          </cell>
        </row>
        <row r="520">
          <cell r="H520">
            <v>898</v>
          </cell>
          <cell r="J520">
            <v>277</v>
          </cell>
          <cell r="K520">
            <v>20535600</v>
          </cell>
          <cell r="L520">
            <v>16020696</v>
          </cell>
          <cell r="T520">
            <v>17362830</v>
          </cell>
        </row>
        <row r="521">
          <cell r="H521">
            <v>683</v>
          </cell>
          <cell r="J521">
            <v>154</v>
          </cell>
          <cell r="K521">
            <v>13975900</v>
          </cell>
          <cell r="L521">
            <v>10626017</v>
          </cell>
          <cell r="T521">
            <v>13672294</v>
          </cell>
        </row>
        <row r="522">
          <cell r="H522">
            <v>487</v>
          </cell>
          <cell r="J522">
            <v>289</v>
          </cell>
          <cell r="K522">
            <v>28098990</v>
          </cell>
          <cell r="L522">
            <v>21115235</v>
          </cell>
          <cell r="T522">
            <v>10210442</v>
          </cell>
        </row>
        <row r="523">
          <cell r="H523">
            <v>693</v>
          </cell>
          <cell r="J523">
            <v>258</v>
          </cell>
          <cell r="K523">
            <v>20975700</v>
          </cell>
          <cell r="L523">
            <v>15808937</v>
          </cell>
          <cell r="T523">
            <v>12352032</v>
          </cell>
        </row>
        <row r="524">
          <cell r="H524">
            <v>1327</v>
          </cell>
          <cell r="J524">
            <v>544</v>
          </cell>
          <cell r="K524">
            <v>46679700</v>
          </cell>
          <cell r="L524">
            <v>35198140</v>
          </cell>
          <cell r="T524">
            <v>24021354</v>
          </cell>
        </row>
        <row r="525">
          <cell r="H525">
            <v>1283</v>
          </cell>
          <cell r="J525">
            <v>639</v>
          </cell>
          <cell r="K525">
            <v>46003150</v>
          </cell>
          <cell r="L525">
            <v>34884305</v>
          </cell>
          <cell r="T525">
            <v>22376803</v>
          </cell>
        </row>
        <row r="526">
          <cell r="H526">
            <v>2124</v>
          </cell>
          <cell r="J526">
            <v>1280</v>
          </cell>
          <cell r="K526">
            <v>162963690</v>
          </cell>
          <cell r="L526">
            <v>123001164</v>
          </cell>
          <cell r="T526">
            <v>63533088</v>
          </cell>
        </row>
        <row r="527">
          <cell r="H527">
            <v>699</v>
          </cell>
          <cell r="J527">
            <v>571</v>
          </cell>
          <cell r="K527">
            <v>57019290</v>
          </cell>
          <cell r="L527">
            <v>42575095</v>
          </cell>
          <cell r="T527">
            <v>16300680</v>
          </cell>
        </row>
        <row r="528">
          <cell r="H528">
            <v>1308</v>
          </cell>
          <cell r="J528">
            <v>219</v>
          </cell>
          <cell r="K528">
            <v>18475395</v>
          </cell>
          <cell r="L528">
            <v>13986985</v>
          </cell>
          <cell r="T528">
            <v>25219548</v>
          </cell>
        </row>
        <row r="529">
          <cell r="H529">
            <v>1019</v>
          </cell>
          <cell r="J529">
            <v>307</v>
          </cell>
          <cell r="K529">
            <v>28528200</v>
          </cell>
          <cell r="L529">
            <v>21527303</v>
          </cell>
          <cell r="T529">
            <v>20331088</v>
          </cell>
        </row>
        <row r="530">
          <cell r="H530">
            <v>598</v>
          </cell>
          <cell r="J530">
            <v>127</v>
          </cell>
          <cell r="K530">
            <v>12655700</v>
          </cell>
          <cell r="L530">
            <v>9756045</v>
          </cell>
          <cell r="T530">
            <v>13552474</v>
          </cell>
        </row>
        <row r="531">
          <cell r="H531">
            <v>546</v>
          </cell>
          <cell r="J531">
            <v>464</v>
          </cell>
          <cell r="K531">
            <v>54790440</v>
          </cell>
          <cell r="L531">
            <v>40838265</v>
          </cell>
          <cell r="T531">
            <v>12519780</v>
          </cell>
        </row>
        <row r="532">
          <cell r="H532">
            <v>858</v>
          </cell>
          <cell r="J532">
            <v>183</v>
          </cell>
          <cell r="K532">
            <v>14831500</v>
          </cell>
          <cell r="L532">
            <v>11382270</v>
          </cell>
          <cell r="T532">
            <v>16487328</v>
          </cell>
        </row>
        <row r="533">
          <cell r="H533">
            <v>4953</v>
          </cell>
          <cell r="J533">
            <v>1689</v>
          </cell>
          <cell r="K533">
            <v>275545790</v>
          </cell>
          <cell r="L533">
            <v>209824391</v>
          </cell>
          <cell r="T533">
            <v>212959188</v>
          </cell>
        </row>
        <row r="534">
          <cell r="H534">
            <v>1454</v>
          </cell>
          <cell r="J534">
            <v>175</v>
          </cell>
          <cell r="K534">
            <v>31740100</v>
          </cell>
          <cell r="L534">
            <v>23469065</v>
          </cell>
          <cell r="T534">
            <v>65370386</v>
          </cell>
        </row>
        <row r="535">
          <cell r="H535">
            <v>1476</v>
          </cell>
          <cell r="J535">
            <v>634</v>
          </cell>
          <cell r="K535">
            <v>129875650</v>
          </cell>
          <cell r="L535">
            <v>97397935</v>
          </cell>
          <cell r="T535">
            <v>75059028</v>
          </cell>
        </row>
        <row r="536">
          <cell r="H536">
            <v>555</v>
          </cell>
          <cell r="J536">
            <v>373</v>
          </cell>
          <cell r="K536">
            <v>100396725</v>
          </cell>
          <cell r="L536">
            <v>74548295</v>
          </cell>
          <cell r="T536">
            <v>38047470</v>
          </cell>
        </row>
        <row r="537">
          <cell r="H537">
            <v>672</v>
          </cell>
          <cell r="J537">
            <v>295</v>
          </cell>
          <cell r="K537">
            <v>31457500</v>
          </cell>
          <cell r="L537">
            <v>24303311</v>
          </cell>
          <cell r="T537">
            <v>21188832</v>
          </cell>
        </row>
        <row r="538">
          <cell r="H538">
            <v>4099</v>
          </cell>
          <cell r="J538">
            <v>1147</v>
          </cell>
          <cell r="K538">
            <v>92273040</v>
          </cell>
          <cell r="L538">
            <v>70624188</v>
          </cell>
          <cell r="T538">
            <v>103577631</v>
          </cell>
        </row>
        <row r="539">
          <cell r="H539">
            <v>3317</v>
          </cell>
          <cell r="J539">
            <v>2272</v>
          </cell>
          <cell r="K539">
            <v>203883270</v>
          </cell>
          <cell r="L539">
            <v>156985146</v>
          </cell>
          <cell r="T539">
            <v>86961789</v>
          </cell>
        </row>
        <row r="540">
          <cell r="H540">
            <v>759</v>
          </cell>
          <cell r="J540">
            <v>227</v>
          </cell>
          <cell r="K540">
            <v>32311550</v>
          </cell>
          <cell r="L540">
            <v>24152752</v>
          </cell>
          <cell r="T540">
            <v>30322809</v>
          </cell>
        </row>
        <row r="541">
          <cell r="H541">
            <v>600</v>
          </cell>
          <cell r="J541">
            <v>89</v>
          </cell>
          <cell r="K541">
            <v>4072600</v>
          </cell>
          <cell r="L541">
            <v>3157326</v>
          </cell>
          <cell r="T541">
            <v>9349200</v>
          </cell>
        </row>
        <row r="542">
          <cell r="H542">
            <v>991</v>
          </cell>
          <cell r="J542">
            <v>462</v>
          </cell>
          <cell r="K542">
            <v>21025200</v>
          </cell>
          <cell r="L542">
            <v>16884336</v>
          </cell>
          <cell r="T542">
            <v>14501303</v>
          </cell>
        </row>
        <row r="543">
          <cell r="H543">
            <v>349</v>
          </cell>
          <cell r="J543">
            <v>184</v>
          </cell>
          <cell r="K543">
            <v>5226400</v>
          </cell>
          <cell r="L543">
            <v>4003560</v>
          </cell>
          <cell r="T543">
            <v>2663917</v>
          </cell>
        </row>
        <row r="544">
          <cell r="H544">
            <v>247</v>
          </cell>
          <cell r="J544">
            <v>64</v>
          </cell>
          <cell r="K544">
            <v>2707200</v>
          </cell>
          <cell r="L544">
            <v>2082672</v>
          </cell>
          <cell r="T544">
            <v>2749851</v>
          </cell>
        </row>
        <row r="545">
          <cell r="H545">
            <v>298</v>
          </cell>
          <cell r="J545">
            <v>131</v>
          </cell>
          <cell r="K545">
            <v>6240000</v>
          </cell>
          <cell r="L545">
            <v>4913500</v>
          </cell>
          <cell r="T545">
            <v>3764634</v>
          </cell>
        </row>
        <row r="546">
          <cell r="H546">
            <v>199</v>
          </cell>
          <cell r="J546">
            <v>139</v>
          </cell>
          <cell r="K546">
            <v>6221200</v>
          </cell>
          <cell r="L546">
            <v>4856804</v>
          </cell>
          <cell r="T546">
            <v>2314967</v>
          </cell>
        </row>
        <row r="547">
          <cell r="H547">
            <v>401</v>
          </cell>
          <cell r="J547">
            <v>195</v>
          </cell>
          <cell r="K547">
            <v>8966800</v>
          </cell>
          <cell r="L547">
            <v>7139548</v>
          </cell>
          <cell r="T547">
            <v>5065833</v>
          </cell>
        </row>
        <row r="548">
          <cell r="H548">
            <v>200</v>
          </cell>
          <cell r="J548">
            <v>151</v>
          </cell>
          <cell r="K548">
            <v>7874880</v>
          </cell>
          <cell r="L548">
            <v>6224013</v>
          </cell>
          <cell r="T548">
            <v>2326600</v>
          </cell>
        </row>
        <row r="549">
          <cell r="H549">
            <v>402</v>
          </cell>
          <cell r="J549">
            <v>213</v>
          </cell>
          <cell r="K549">
            <v>10817200</v>
          </cell>
          <cell r="L549">
            <v>8689312</v>
          </cell>
          <cell r="T549">
            <v>6284466</v>
          </cell>
        </row>
        <row r="550">
          <cell r="H550">
            <v>200</v>
          </cell>
          <cell r="J550">
            <v>45</v>
          </cell>
          <cell r="K550">
            <v>1962600</v>
          </cell>
          <cell r="L550">
            <v>1523544</v>
          </cell>
          <cell r="T550">
            <v>2226600</v>
          </cell>
        </row>
        <row r="551">
          <cell r="H551">
            <v>448</v>
          </cell>
          <cell r="J551">
            <v>177</v>
          </cell>
          <cell r="K551">
            <v>8888800</v>
          </cell>
          <cell r="L551">
            <v>7310272</v>
          </cell>
          <cell r="T551">
            <v>7227584</v>
          </cell>
        </row>
        <row r="552">
          <cell r="H552">
            <v>199</v>
          </cell>
          <cell r="J552">
            <v>89</v>
          </cell>
          <cell r="K552">
            <v>4224400</v>
          </cell>
          <cell r="L552">
            <v>3372552</v>
          </cell>
          <cell r="T552">
            <v>2513967</v>
          </cell>
        </row>
        <row r="553">
          <cell r="H553">
            <v>350</v>
          </cell>
          <cell r="J553">
            <v>168</v>
          </cell>
          <cell r="K553">
            <v>8749200</v>
          </cell>
          <cell r="L553">
            <v>6949600</v>
          </cell>
          <cell r="T553">
            <v>5121550</v>
          </cell>
        </row>
        <row r="554">
          <cell r="H554">
            <v>298</v>
          </cell>
          <cell r="J554">
            <v>163</v>
          </cell>
          <cell r="K554">
            <v>7203200</v>
          </cell>
          <cell r="L554">
            <v>5703024</v>
          </cell>
          <cell r="T554">
            <v>3615634</v>
          </cell>
        </row>
        <row r="555">
          <cell r="H555">
            <v>298</v>
          </cell>
          <cell r="J555">
            <v>100</v>
          </cell>
          <cell r="K555">
            <v>4730000</v>
          </cell>
          <cell r="L555">
            <v>3807296</v>
          </cell>
          <cell r="T555">
            <v>3913634</v>
          </cell>
        </row>
        <row r="556">
          <cell r="H556">
            <v>694</v>
          </cell>
          <cell r="J556">
            <v>624</v>
          </cell>
          <cell r="K556">
            <v>32379200</v>
          </cell>
          <cell r="L556">
            <v>25505304</v>
          </cell>
          <cell r="T556">
            <v>11890302</v>
          </cell>
        </row>
        <row r="557">
          <cell r="H557">
            <v>347</v>
          </cell>
          <cell r="J557">
            <v>141</v>
          </cell>
          <cell r="K557">
            <v>6242400</v>
          </cell>
          <cell r="L557">
            <v>4947632</v>
          </cell>
          <cell r="T557">
            <v>3863151</v>
          </cell>
        </row>
        <row r="558">
          <cell r="H558">
            <v>297</v>
          </cell>
          <cell r="J558">
            <v>163</v>
          </cell>
          <cell r="K558">
            <v>7804400</v>
          </cell>
          <cell r="L558">
            <v>6040040</v>
          </cell>
          <cell r="T558">
            <v>3752001</v>
          </cell>
        </row>
        <row r="559">
          <cell r="H559">
            <v>299</v>
          </cell>
          <cell r="J559">
            <v>120</v>
          </cell>
          <cell r="K559">
            <v>5942200</v>
          </cell>
          <cell r="L559">
            <v>4584466</v>
          </cell>
          <cell r="T559">
            <v>3627767</v>
          </cell>
        </row>
        <row r="560">
          <cell r="H560">
            <v>398</v>
          </cell>
          <cell r="J560">
            <v>142</v>
          </cell>
          <cell r="K560">
            <v>7054800</v>
          </cell>
          <cell r="L560">
            <v>5856704</v>
          </cell>
          <cell r="T560">
            <v>5425934</v>
          </cell>
        </row>
        <row r="561">
          <cell r="H561">
            <v>346</v>
          </cell>
          <cell r="J561">
            <v>278</v>
          </cell>
          <cell r="K561">
            <v>12280800</v>
          </cell>
          <cell r="L561">
            <v>9657580</v>
          </cell>
          <cell r="T561">
            <v>3852018</v>
          </cell>
        </row>
        <row r="562">
          <cell r="H562">
            <v>200</v>
          </cell>
          <cell r="J562">
            <v>104</v>
          </cell>
          <cell r="K562">
            <v>10673600</v>
          </cell>
          <cell r="L562">
            <v>8440080</v>
          </cell>
          <cell r="T562">
            <v>5626600</v>
          </cell>
        </row>
        <row r="563">
          <cell r="H563">
            <v>398</v>
          </cell>
          <cell r="J563">
            <v>172</v>
          </cell>
          <cell r="K563">
            <v>16522000</v>
          </cell>
          <cell r="L563">
            <v>12688256</v>
          </cell>
          <cell r="T563">
            <v>10798934</v>
          </cell>
        </row>
        <row r="564">
          <cell r="H564">
            <v>460</v>
          </cell>
          <cell r="J564">
            <v>345</v>
          </cell>
          <cell r="K564">
            <v>11108200</v>
          </cell>
          <cell r="L564">
            <v>8317624</v>
          </cell>
          <cell r="T564">
            <v>5714120</v>
          </cell>
        </row>
        <row r="565">
          <cell r="H565">
            <v>519</v>
          </cell>
          <cell r="J565">
            <v>128</v>
          </cell>
          <cell r="K565">
            <v>8185800</v>
          </cell>
          <cell r="L565">
            <v>6017332</v>
          </cell>
          <cell r="T565">
            <v>10193160</v>
          </cell>
        </row>
        <row r="566">
          <cell r="H566">
            <v>595</v>
          </cell>
          <cell r="J566">
            <v>130</v>
          </cell>
          <cell r="K566">
            <v>8328900</v>
          </cell>
          <cell r="L566">
            <v>6565973</v>
          </cell>
          <cell r="T566">
            <v>11302025</v>
          </cell>
        </row>
        <row r="567">
          <cell r="H567">
            <v>764</v>
          </cell>
          <cell r="J567">
            <v>196</v>
          </cell>
          <cell r="K567">
            <v>14858500</v>
          </cell>
          <cell r="L567">
            <v>11399925</v>
          </cell>
          <cell r="T567">
            <v>15991284</v>
          </cell>
        </row>
        <row r="568">
          <cell r="H568">
            <v>800</v>
          </cell>
          <cell r="J568">
            <v>148</v>
          </cell>
          <cell r="K568">
            <v>10131850</v>
          </cell>
          <cell r="L568">
            <v>7810771</v>
          </cell>
          <cell r="T568">
            <v>8152000</v>
          </cell>
        </row>
        <row r="569">
          <cell r="H569">
            <v>298</v>
          </cell>
          <cell r="J569">
            <v>129</v>
          </cell>
          <cell r="K569">
            <v>9994200</v>
          </cell>
          <cell r="L569">
            <v>7690357</v>
          </cell>
          <cell r="T569">
            <v>6747018</v>
          </cell>
        </row>
        <row r="570">
          <cell r="H570">
            <v>399</v>
          </cell>
          <cell r="J570">
            <v>133</v>
          </cell>
          <cell r="K570">
            <v>14096600</v>
          </cell>
          <cell r="L570">
            <v>10478664</v>
          </cell>
          <cell r="T570">
            <v>13878816</v>
          </cell>
        </row>
        <row r="571">
          <cell r="H571">
            <v>483</v>
          </cell>
          <cell r="J571">
            <v>93</v>
          </cell>
          <cell r="K571">
            <v>12842800</v>
          </cell>
          <cell r="L571">
            <v>9839886</v>
          </cell>
          <cell r="T571">
            <v>19125351</v>
          </cell>
        </row>
        <row r="572">
          <cell r="H572">
            <v>351</v>
          </cell>
          <cell r="J572">
            <v>91</v>
          </cell>
          <cell r="K572">
            <v>12738100</v>
          </cell>
          <cell r="L572">
            <v>9480274</v>
          </cell>
          <cell r="T572">
            <v>12843441</v>
          </cell>
        </row>
        <row r="573">
          <cell r="H573">
            <v>581</v>
          </cell>
          <cell r="J573">
            <v>250</v>
          </cell>
          <cell r="K573">
            <v>32384200</v>
          </cell>
          <cell r="L573">
            <v>24733799</v>
          </cell>
          <cell r="T573">
            <v>24431050</v>
          </cell>
        </row>
        <row r="574">
          <cell r="H574">
            <v>362</v>
          </cell>
          <cell r="J574">
            <v>121</v>
          </cell>
          <cell r="K574">
            <v>22177200</v>
          </cell>
          <cell r="L574">
            <v>16806943</v>
          </cell>
          <cell r="T574">
            <v>18542364</v>
          </cell>
        </row>
        <row r="575">
          <cell r="H575">
            <v>903</v>
          </cell>
          <cell r="J575">
            <v>124</v>
          </cell>
          <cell r="K575">
            <v>20746650</v>
          </cell>
          <cell r="L575">
            <v>15449311</v>
          </cell>
          <cell r="T575">
            <v>37276743</v>
          </cell>
        </row>
        <row r="576">
          <cell r="H576">
            <v>709</v>
          </cell>
          <cell r="J576">
            <v>304</v>
          </cell>
          <cell r="K576">
            <v>67418445</v>
          </cell>
          <cell r="L576">
            <v>50419165</v>
          </cell>
          <cell r="T576">
            <v>44292648</v>
          </cell>
        </row>
        <row r="577">
          <cell r="H577">
            <v>276</v>
          </cell>
          <cell r="J577">
            <v>100</v>
          </cell>
          <cell r="K577">
            <v>9081040</v>
          </cell>
          <cell r="L577">
            <v>6912507</v>
          </cell>
          <cell r="T577">
            <v>5464248</v>
          </cell>
        </row>
        <row r="578">
          <cell r="H578">
            <v>613</v>
          </cell>
          <cell r="J578">
            <v>242</v>
          </cell>
          <cell r="K578">
            <v>21448300</v>
          </cell>
          <cell r="L578">
            <v>16235654</v>
          </cell>
          <cell r="T578">
            <v>12151499</v>
          </cell>
        </row>
        <row r="579">
          <cell r="H579">
            <v>931</v>
          </cell>
          <cell r="J579">
            <v>394</v>
          </cell>
          <cell r="K579">
            <v>36052300</v>
          </cell>
          <cell r="L579">
            <v>26965719</v>
          </cell>
          <cell r="T579">
            <v>17499076</v>
          </cell>
        </row>
        <row r="580">
          <cell r="H580">
            <v>679</v>
          </cell>
          <cell r="J580">
            <v>351</v>
          </cell>
          <cell r="K580">
            <v>50700845</v>
          </cell>
          <cell r="L580">
            <v>37479854</v>
          </cell>
          <cell r="T580">
            <v>20605613</v>
          </cell>
        </row>
        <row r="581">
          <cell r="H581">
            <v>461</v>
          </cell>
          <cell r="J581">
            <v>81</v>
          </cell>
          <cell r="K581">
            <v>6418900</v>
          </cell>
          <cell r="L581">
            <v>4889795</v>
          </cell>
          <cell r="T581">
            <v>10020296</v>
          </cell>
        </row>
        <row r="582">
          <cell r="H582">
            <v>565</v>
          </cell>
          <cell r="J582">
            <v>262</v>
          </cell>
          <cell r="K582">
            <v>35188740</v>
          </cell>
          <cell r="L582">
            <v>26876516</v>
          </cell>
          <cell r="T582">
            <v>19512840</v>
          </cell>
        </row>
        <row r="583">
          <cell r="H583">
            <v>999</v>
          </cell>
          <cell r="J583">
            <v>83</v>
          </cell>
          <cell r="K583">
            <v>9138400</v>
          </cell>
          <cell r="L583">
            <v>6738093</v>
          </cell>
          <cell r="T583">
            <v>32931036</v>
          </cell>
        </row>
        <row r="584">
          <cell r="H584">
            <v>1729</v>
          </cell>
          <cell r="J584">
            <v>1082</v>
          </cell>
          <cell r="K584">
            <v>29245095</v>
          </cell>
          <cell r="L584">
            <v>22541667</v>
          </cell>
          <cell r="T584">
            <v>12706421</v>
          </cell>
        </row>
        <row r="585">
          <cell r="H585">
            <v>1704</v>
          </cell>
          <cell r="J585">
            <v>1163</v>
          </cell>
          <cell r="K585">
            <v>61789530</v>
          </cell>
          <cell r="L585">
            <v>47884972</v>
          </cell>
          <cell r="T585">
            <v>22920504</v>
          </cell>
        </row>
        <row r="586">
          <cell r="H586">
            <v>696</v>
          </cell>
          <cell r="J586">
            <v>291</v>
          </cell>
          <cell r="K586">
            <v>23360300</v>
          </cell>
          <cell r="L586">
            <v>18038797</v>
          </cell>
          <cell r="T586">
            <v>14931288</v>
          </cell>
        </row>
        <row r="587">
          <cell r="H587">
            <v>703</v>
          </cell>
          <cell r="J587">
            <v>236</v>
          </cell>
          <cell r="K587">
            <v>14299200</v>
          </cell>
          <cell r="L587">
            <v>11127872</v>
          </cell>
          <cell r="T587">
            <v>11704950</v>
          </cell>
        </row>
        <row r="588">
          <cell r="H588">
            <v>1001</v>
          </cell>
          <cell r="J588">
            <v>169</v>
          </cell>
          <cell r="K588">
            <v>9205450</v>
          </cell>
          <cell r="L588">
            <v>7094035</v>
          </cell>
          <cell r="T588">
            <v>18167149</v>
          </cell>
        </row>
        <row r="589">
          <cell r="H589">
            <v>300</v>
          </cell>
          <cell r="J589">
            <v>49</v>
          </cell>
          <cell r="K589">
            <v>4076300</v>
          </cell>
          <cell r="L589">
            <v>3161903</v>
          </cell>
          <cell r="T589">
            <v>7544700</v>
          </cell>
        </row>
        <row r="590">
          <cell r="H590">
            <v>401</v>
          </cell>
          <cell r="J590">
            <v>179</v>
          </cell>
          <cell r="K590">
            <v>15097900</v>
          </cell>
          <cell r="L590">
            <v>11436678</v>
          </cell>
          <cell r="T590">
            <v>9759137</v>
          </cell>
        </row>
        <row r="591">
          <cell r="H591">
            <v>1136</v>
          </cell>
          <cell r="J591">
            <v>623</v>
          </cell>
          <cell r="K591">
            <v>31698300</v>
          </cell>
          <cell r="L591">
            <v>23928396</v>
          </cell>
          <cell r="T591">
            <v>20844464</v>
          </cell>
        </row>
        <row r="592">
          <cell r="H592">
            <v>1073</v>
          </cell>
          <cell r="J592">
            <v>436</v>
          </cell>
          <cell r="K592">
            <v>27689900</v>
          </cell>
          <cell r="L592">
            <v>21394002</v>
          </cell>
          <cell r="T592">
            <v>19688477</v>
          </cell>
        </row>
        <row r="593">
          <cell r="H593">
            <v>299</v>
          </cell>
          <cell r="J593">
            <v>191</v>
          </cell>
          <cell r="K593">
            <v>17213900</v>
          </cell>
          <cell r="L593">
            <v>12716105</v>
          </cell>
          <cell r="T593">
            <v>6569030</v>
          </cell>
        </row>
        <row r="594">
          <cell r="H594">
            <v>682</v>
          </cell>
          <cell r="J594">
            <v>151</v>
          </cell>
          <cell r="K594">
            <v>12394800</v>
          </cell>
          <cell r="L594">
            <v>9740739</v>
          </cell>
          <cell r="T594">
            <v>13878018</v>
          </cell>
        </row>
        <row r="595">
          <cell r="H595">
            <v>618</v>
          </cell>
          <cell r="J595">
            <v>251</v>
          </cell>
          <cell r="K595">
            <v>41281700</v>
          </cell>
          <cell r="L595">
            <v>31252237</v>
          </cell>
          <cell r="T595">
            <v>27150594</v>
          </cell>
        </row>
        <row r="596">
          <cell r="H596">
            <v>750</v>
          </cell>
          <cell r="J596">
            <v>108</v>
          </cell>
          <cell r="K596">
            <v>17500900</v>
          </cell>
          <cell r="L596">
            <v>13318921</v>
          </cell>
          <cell r="T596">
            <v>43432500</v>
          </cell>
        </row>
        <row r="597">
          <cell r="H597">
            <v>1238</v>
          </cell>
          <cell r="J597">
            <v>1001</v>
          </cell>
          <cell r="K597">
            <v>53648740</v>
          </cell>
          <cell r="L597">
            <v>41174035</v>
          </cell>
          <cell r="T597">
            <v>19836474</v>
          </cell>
        </row>
        <row r="598">
          <cell r="H598">
            <v>790</v>
          </cell>
          <cell r="J598">
            <v>281</v>
          </cell>
          <cell r="K598">
            <v>25228200</v>
          </cell>
          <cell r="L598">
            <v>19469450</v>
          </cell>
          <cell r="T598">
            <v>14795910</v>
          </cell>
        </row>
        <row r="599">
          <cell r="H599">
            <v>1328</v>
          </cell>
          <cell r="J599">
            <v>557</v>
          </cell>
          <cell r="K599">
            <v>35399095</v>
          </cell>
          <cell r="L599">
            <v>27291108</v>
          </cell>
          <cell r="T599">
            <v>23006272</v>
          </cell>
        </row>
        <row r="600">
          <cell r="H600">
            <v>1583</v>
          </cell>
          <cell r="J600">
            <v>364</v>
          </cell>
          <cell r="K600">
            <v>20617700</v>
          </cell>
          <cell r="L600">
            <v>15913325</v>
          </cell>
          <cell r="T600">
            <v>25527458</v>
          </cell>
        </row>
        <row r="601">
          <cell r="H601">
            <v>553</v>
          </cell>
          <cell r="J601">
            <v>144</v>
          </cell>
          <cell r="K601">
            <v>8073700</v>
          </cell>
          <cell r="L601">
            <v>6190578</v>
          </cell>
          <cell r="T601">
            <v>9857225</v>
          </cell>
        </row>
        <row r="602">
          <cell r="H602">
            <v>597</v>
          </cell>
          <cell r="J602">
            <v>318</v>
          </cell>
          <cell r="K602">
            <v>26597700</v>
          </cell>
          <cell r="L602">
            <v>20186446</v>
          </cell>
          <cell r="T602">
            <v>12434913</v>
          </cell>
        </row>
        <row r="603">
          <cell r="H603">
            <v>399</v>
          </cell>
          <cell r="J603">
            <v>255</v>
          </cell>
          <cell r="K603">
            <v>22065300</v>
          </cell>
          <cell r="L603">
            <v>16881252</v>
          </cell>
          <cell r="T603">
            <v>8709771</v>
          </cell>
        </row>
        <row r="604">
          <cell r="H604">
            <v>399</v>
          </cell>
          <cell r="J604">
            <v>355</v>
          </cell>
          <cell r="K604">
            <v>30903800</v>
          </cell>
          <cell r="L604">
            <v>23139896</v>
          </cell>
          <cell r="T604">
            <v>8709771</v>
          </cell>
        </row>
        <row r="605">
          <cell r="H605">
            <v>596</v>
          </cell>
          <cell r="J605">
            <v>555</v>
          </cell>
          <cell r="K605">
            <v>55886695</v>
          </cell>
          <cell r="L605">
            <v>42012023</v>
          </cell>
          <cell r="T605">
            <v>18076084</v>
          </cell>
        </row>
        <row r="606">
          <cell r="H606">
            <v>1020</v>
          </cell>
          <cell r="J606">
            <v>787</v>
          </cell>
          <cell r="K606">
            <v>261445355</v>
          </cell>
          <cell r="L606">
            <v>195034009</v>
          </cell>
          <cell r="T606">
            <v>83807280</v>
          </cell>
        </row>
        <row r="607">
          <cell r="H607">
            <v>329</v>
          </cell>
          <cell r="J607">
            <v>134</v>
          </cell>
          <cell r="K607">
            <v>36483980</v>
          </cell>
          <cell r="L607">
            <v>27079982</v>
          </cell>
          <cell r="T607">
            <v>24565772</v>
          </cell>
        </row>
        <row r="608">
          <cell r="H608">
            <v>987</v>
          </cell>
          <cell r="J608">
            <v>281</v>
          </cell>
          <cell r="K608">
            <v>45834100</v>
          </cell>
          <cell r="L608">
            <v>34648314</v>
          </cell>
          <cell r="T608">
            <v>41977110</v>
          </cell>
        </row>
        <row r="609">
          <cell r="H609">
            <v>741</v>
          </cell>
          <cell r="J609">
            <v>399</v>
          </cell>
          <cell r="K609">
            <v>71699790</v>
          </cell>
          <cell r="L609">
            <v>54455574</v>
          </cell>
          <cell r="T609">
            <v>39610896</v>
          </cell>
        </row>
        <row r="610">
          <cell r="H610">
            <v>1114</v>
          </cell>
          <cell r="J610">
            <v>418</v>
          </cell>
          <cell r="K610">
            <v>69765800</v>
          </cell>
          <cell r="L610">
            <v>51959994</v>
          </cell>
          <cell r="T610">
            <v>55750130</v>
          </cell>
        </row>
        <row r="611">
          <cell r="H611">
            <v>1972</v>
          </cell>
          <cell r="J611">
            <v>433</v>
          </cell>
          <cell r="K611">
            <v>84432895</v>
          </cell>
          <cell r="L611">
            <v>64633361</v>
          </cell>
          <cell r="T611">
            <v>89374984</v>
          </cell>
        </row>
        <row r="612">
          <cell r="H612">
            <v>989</v>
          </cell>
          <cell r="J612">
            <v>663</v>
          </cell>
          <cell r="K612">
            <v>180241450</v>
          </cell>
          <cell r="L612">
            <v>135957543</v>
          </cell>
          <cell r="T612">
            <v>73412481</v>
          </cell>
        </row>
        <row r="613">
          <cell r="H613">
            <v>786</v>
          </cell>
          <cell r="J613">
            <v>47</v>
          </cell>
          <cell r="K613">
            <v>23306000</v>
          </cell>
          <cell r="L613">
            <v>17420385</v>
          </cell>
          <cell r="T613">
            <v>72569808</v>
          </cell>
        </row>
        <row r="615">
          <cell r="H615">
            <v>3174</v>
          </cell>
          <cell r="J615">
            <v>1876</v>
          </cell>
          <cell r="K615">
            <v>68361185</v>
          </cell>
          <cell r="L615">
            <v>52729333</v>
          </cell>
          <cell r="T615">
            <v>33936408</v>
          </cell>
        </row>
        <row r="616">
          <cell r="H616">
            <v>851</v>
          </cell>
          <cell r="J616">
            <v>263</v>
          </cell>
          <cell r="K616">
            <v>19487300</v>
          </cell>
          <cell r="L616">
            <v>14746812</v>
          </cell>
          <cell r="T616">
            <v>14229571</v>
          </cell>
        </row>
        <row r="617">
          <cell r="H617">
            <v>1024</v>
          </cell>
          <cell r="J617">
            <v>167</v>
          </cell>
          <cell r="K617">
            <v>9171050</v>
          </cell>
          <cell r="L617">
            <v>6956631</v>
          </cell>
          <cell r="T617">
            <v>13999104</v>
          </cell>
        </row>
        <row r="618">
          <cell r="H618">
            <v>964</v>
          </cell>
          <cell r="J618">
            <v>320</v>
          </cell>
          <cell r="K618">
            <v>23378240</v>
          </cell>
          <cell r="L618">
            <v>17627365</v>
          </cell>
          <cell r="T618">
            <v>15906000</v>
          </cell>
        </row>
        <row r="619">
          <cell r="H619">
            <v>752</v>
          </cell>
          <cell r="J619">
            <v>253</v>
          </cell>
          <cell r="K619">
            <v>21000900</v>
          </cell>
          <cell r="L619">
            <v>15812630</v>
          </cell>
          <cell r="T619">
            <v>13241968</v>
          </cell>
        </row>
        <row r="620">
          <cell r="H620">
            <v>980</v>
          </cell>
          <cell r="J620">
            <v>482</v>
          </cell>
          <cell r="K620">
            <v>35294050</v>
          </cell>
          <cell r="L620">
            <v>26791485</v>
          </cell>
          <cell r="T620">
            <v>15611400</v>
          </cell>
        </row>
        <row r="621">
          <cell r="H621">
            <v>432</v>
          </cell>
          <cell r="J621">
            <v>40</v>
          </cell>
          <cell r="K621">
            <v>2725200</v>
          </cell>
          <cell r="L621">
            <v>2077450</v>
          </cell>
          <cell r="T621">
            <v>8135856</v>
          </cell>
        </row>
        <row r="622">
          <cell r="H622">
            <v>2240</v>
          </cell>
          <cell r="J622">
            <v>752</v>
          </cell>
          <cell r="K622">
            <v>42139525</v>
          </cell>
          <cell r="L622">
            <v>32120174</v>
          </cell>
          <cell r="T622">
            <v>30470720</v>
          </cell>
        </row>
        <row r="623">
          <cell r="H623">
            <v>2826</v>
          </cell>
          <cell r="J623">
            <v>466</v>
          </cell>
          <cell r="K623">
            <v>28986390</v>
          </cell>
          <cell r="L623">
            <v>22178891</v>
          </cell>
          <cell r="T623">
            <v>41796540</v>
          </cell>
        </row>
        <row r="624">
          <cell r="H624">
            <v>1377</v>
          </cell>
          <cell r="J624">
            <v>137</v>
          </cell>
          <cell r="K624">
            <v>10154000</v>
          </cell>
          <cell r="L624">
            <v>7677497</v>
          </cell>
          <cell r="T624">
            <v>23827608</v>
          </cell>
        </row>
        <row r="625">
          <cell r="H625">
            <v>1830</v>
          </cell>
          <cell r="J625">
            <v>657</v>
          </cell>
          <cell r="K625">
            <v>56923295</v>
          </cell>
          <cell r="L625">
            <v>43423376</v>
          </cell>
          <cell r="T625">
            <v>32921700</v>
          </cell>
        </row>
        <row r="626">
          <cell r="H626">
            <v>1635</v>
          </cell>
          <cell r="J626">
            <v>453</v>
          </cell>
          <cell r="K626">
            <v>42228680</v>
          </cell>
          <cell r="L626">
            <v>31902437</v>
          </cell>
          <cell r="T626">
            <v>45202845</v>
          </cell>
        </row>
        <row r="627">
          <cell r="H627">
            <v>1110</v>
          </cell>
          <cell r="J627">
            <v>302</v>
          </cell>
          <cell r="K627">
            <v>31338100</v>
          </cell>
          <cell r="L627">
            <v>23627630</v>
          </cell>
          <cell r="T627">
            <v>33640770</v>
          </cell>
        </row>
        <row r="628">
          <cell r="H628">
            <v>2528</v>
          </cell>
          <cell r="J628">
            <v>1352</v>
          </cell>
          <cell r="K628">
            <v>61936675</v>
          </cell>
          <cell r="L628">
            <v>47251772</v>
          </cell>
          <cell r="T628">
            <v>34962240</v>
          </cell>
        </row>
        <row r="629">
          <cell r="H629">
            <v>606</v>
          </cell>
          <cell r="J629">
            <v>133</v>
          </cell>
          <cell r="K629">
            <v>17143300</v>
          </cell>
          <cell r="L629">
            <v>12877238</v>
          </cell>
          <cell r="T629">
            <v>17489160</v>
          </cell>
        </row>
        <row r="630">
          <cell r="H630">
            <v>696</v>
          </cell>
          <cell r="J630">
            <v>99</v>
          </cell>
          <cell r="K630">
            <v>16515400</v>
          </cell>
          <cell r="L630">
            <v>12265886</v>
          </cell>
          <cell r="T630">
            <v>28980744</v>
          </cell>
        </row>
        <row r="631">
          <cell r="H631">
            <v>886</v>
          </cell>
          <cell r="J631">
            <v>176</v>
          </cell>
          <cell r="K631">
            <v>29623000</v>
          </cell>
          <cell r="L631">
            <v>22346718</v>
          </cell>
          <cell r="T631">
            <v>40756000</v>
          </cell>
        </row>
        <row r="632">
          <cell r="H632">
            <v>555</v>
          </cell>
          <cell r="J632">
            <v>152</v>
          </cell>
          <cell r="K632">
            <v>20725900</v>
          </cell>
          <cell r="L632">
            <v>15359740</v>
          </cell>
          <cell r="T632">
            <v>21413010</v>
          </cell>
        </row>
        <row r="633">
          <cell r="H633">
            <v>287</v>
          </cell>
          <cell r="J633">
            <v>49</v>
          </cell>
          <cell r="K633">
            <v>6779500</v>
          </cell>
          <cell r="L633">
            <v>5018842</v>
          </cell>
          <cell r="T633">
            <v>9024428</v>
          </cell>
        </row>
        <row r="634">
          <cell r="H634">
            <v>800</v>
          </cell>
          <cell r="J634">
            <v>98</v>
          </cell>
          <cell r="K634">
            <v>17438000</v>
          </cell>
          <cell r="L634">
            <v>13113370</v>
          </cell>
          <cell r="T634">
            <v>39326400</v>
          </cell>
        </row>
        <row r="635">
          <cell r="H635">
            <v>800</v>
          </cell>
          <cell r="J635">
            <v>209</v>
          </cell>
          <cell r="K635">
            <v>52941300</v>
          </cell>
          <cell r="L635">
            <v>39713546</v>
          </cell>
          <cell r="T635">
            <v>56693600</v>
          </cell>
        </row>
        <row r="636">
          <cell r="H636">
            <v>1530</v>
          </cell>
          <cell r="J636">
            <v>474</v>
          </cell>
          <cell r="K636">
            <v>52263860</v>
          </cell>
          <cell r="L636">
            <v>40064568</v>
          </cell>
          <cell r="T636">
            <v>42575310</v>
          </cell>
        </row>
        <row r="637">
          <cell r="H637">
            <v>885</v>
          </cell>
          <cell r="J637">
            <v>326</v>
          </cell>
          <cell r="K637">
            <v>47770800</v>
          </cell>
          <cell r="L637">
            <v>36615315</v>
          </cell>
          <cell r="T637">
            <v>29305005</v>
          </cell>
        </row>
        <row r="638">
          <cell r="H638">
            <v>779</v>
          </cell>
          <cell r="J638">
            <v>313</v>
          </cell>
          <cell r="K638">
            <v>57192300</v>
          </cell>
          <cell r="L638">
            <v>42875545</v>
          </cell>
          <cell r="T638">
            <v>40809473</v>
          </cell>
        </row>
        <row r="639">
          <cell r="H639">
            <v>1880</v>
          </cell>
          <cell r="J639">
            <v>280</v>
          </cell>
          <cell r="K639">
            <v>40294800</v>
          </cell>
          <cell r="L639">
            <v>30717271</v>
          </cell>
          <cell r="T639">
            <v>78144080</v>
          </cell>
        </row>
        <row r="640">
          <cell r="H640">
            <v>782</v>
          </cell>
          <cell r="J640">
            <v>571</v>
          </cell>
          <cell r="K640">
            <v>112617900</v>
          </cell>
          <cell r="L640">
            <v>84205757</v>
          </cell>
          <cell r="T640">
            <v>40600658</v>
          </cell>
        </row>
        <row r="641">
          <cell r="H641">
            <v>2155</v>
          </cell>
          <cell r="J641">
            <v>715</v>
          </cell>
          <cell r="K641">
            <v>59180740</v>
          </cell>
          <cell r="L641">
            <v>45069306</v>
          </cell>
          <cell r="T641">
            <v>41692785</v>
          </cell>
        </row>
        <row r="642">
          <cell r="H642">
            <v>1472</v>
          </cell>
          <cell r="J642">
            <v>458</v>
          </cell>
          <cell r="K642">
            <v>42448500</v>
          </cell>
          <cell r="L642">
            <v>32107631</v>
          </cell>
          <cell r="T642">
            <v>27953280</v>
          </cell>
        </row>
        <row r="643">
          <cell r="H643">
            <v>1369</v>
          </cell>
          <cell r="J643">
            <v>178</v>
          </cell>
          <cell r="K643">
            <v>14867500</v>
          </cell>
          <cell r="L643">
            <v>11158239</v>
          </cell>
          <cell r="T643">
            <v>31194034</v>
          </cell>
        </row>
        <row r="644">
          <cell r="H644">
            <v>2632</v>
          </cell>
          <cell r="J644">
            <v>350</v>
          </cell>
          <cell r="K644">
            <v>29301770</v>
          </cell>
          <cell r="L644">
            <v>22114710</v>
          </cell>
          <cell r="T644">
            <v>44962456</v>
          </cell>
        </row>
        <row r="645">
          <cell r="H645">
            <v>995</v>
          </cell>
          <cell r="J645">
            <v>300</v>
          </cell>
          <cell r="K645">
            <v>36090300</v>
          </cell>
          <cell r="L645">
            <v>26791301</v>
          </cell>
          <cell r="T645">
            <v>27943580</v>
          </cell>
        </row>
        <row r="646">
          <cell r="H646">
            <v>1306</v>
          </cell>
          <cell r="J646">
            <v>217</v>
          </cell>
          <cell r="K646">
            <v>18369800</v>
          </cell>
          <cell r="L646">
            <v>13807727</v>
          </cell>
          <cell r="T646">
            <v>26813486</v>
          </cell>
        </row>
        <row r="647">
          <cell r="H647">
            <v>1953</v>
          </cell>
          <cell r="J647">
            <v>222</v>
          </cell>
          <cell r="K647">
            <v>19405500</v>
          </cell>
          <cell r="L647">
            <v>14655826</v>
          </cell>
          <cell r="T647">
            <v>42452361</v>
          </cell>
        </row>
        <row r="648">
          <cell r="H648">
            <v>2239</v>
          </cell>
          <cell r="J648">
            <v>783</v>
          </cell>
          <cell r="K648">
            <v>75106650</v>
          </cell>
          <cell r="L648">
            <v>56795825</v>
          </cell>
          <cell r="T648">
            <v>66869974</v>
          </cell>
        </row>
        <row r="649">
          <cell r="H649">
            <v>200</v>
          </cell>
          <cell r="J649">
            <v>12</v>
          </cell>
          <cell r="K649">
            <v>950600</v>
          </cell>
          <cell r="L649">
            <v>729708</v>
          </cell>
          <cell r="T649">
            <v>4811800</v>
          </cell>
        </row>
        <row r="650">
          <cell r="H650">
            <v>199</v>
          </cell>
          <cell r="J650">
            <v>15</v>
          </cell>
          <cell r="K650">
            <v>1106000</v>
          </cell>
          <cell r="L650">
            <v>873376</v>
          </cell>
          <cell r="T650">
            <v>4787741</v>
          </cell>
        </row>
        <row r="651">
          <cell r="H651">
            <v>302</v>
          </cell>
          <cell r="J651">
            <v>50</v>
          </cell>
          <cell r="K651">
            <v>1850000</v>
          </cell>
          <cell r="L651">
            <v>1455360</v>
          </cell>
          <cell r="T651">
            <v>3181570</v>
          </cell>
        </row>
        <row r="652">
          <cell r="H652">
            <v>201</v>
          </cell>
          <cell r="J652">
            <v>93</v>
          </cell>
          <cell r="K652">
            <v>3491200</v>
          </cell>
          <cell r="L652">
            <v>2680320</v>
          </cell>
          <cell r="T652">
            <v>2218035</v>
          </cell>
        </row>
        <row r="653">
          <cell r="H653">
            <v>347</v>
          </cell>
          <cell r="J653">
            <v>63</v>
          </cell>
          <cell r="K653">
            <v>2923200</v>
          </cell>
          <cell r="L653">
            <v>2195184</v>
          </cell>
          <cell r="T653">
            <v>3412051</v>
          </cell>
        </row>
        <row r="654">
          <cell r="H654">
            <v>278</v>
          </cell>
          <cell r="J654">
            <v>102</v>
          </cell>
          <cell r="K654">
            <v>4592800</v>
          </cell>
          <cell r="L654">
            <v>3550296</v>
          </cell>
          <cell r="T654">
            <v>2900374</v>
          </cell>
        </row>
        <row r="655">
          <cell r="H655">
            <v>199</v>
          </cell>
          <cell r="J655">
            <v>76</v>
          </cell>
          <cell r="K655">
            <v>3526400</v>
          </cell>
          <cell r="L655">
            <v>2668928</v>
          </cell>
          <cell r="T655">
            <v>2414467</v>
          </cell>
        </row>
        <row r="656">
          <cell r="H656">
            <v>350</v>
          </cell>
          <cell r="J656">
            <v>196</v>
          </cell>
          <cell r="K656">
            <v>9024400</v>
          </cell>
          <cell r="L656">
            <v>6879496</v>
          </cell>
          <cell r="T656">
            <v>3476550</v>
          </cell>
        </row>
        <row r="657">
          <cell r="H657">
            <v>199</v>
          </cell>
          <cell r="J657">
            <v>76</v>
          </cell>
          <cell r="K657">
            <v>4722400</v>
          </cell>
          <cell r="L657">
            <v>3582072</v>
          </cell>
          <cell r="T657">
            <v>3215243</v>
          </cell>
        </row>
        <row r="658">
          <cell r="H658">
            <v>249</v>
          </cell>
          <cell r="J658">
            <v>122</v>
          </cell>
          <cell r="K658">
            <v>5580800</v>
          </cell>
          <cell r="L658">
            <v>4275064</v>
          </cell>
          <cell r="T658">
            <v>3145617</v>
          </cell>
        </row>
        <row r="659">
          <cell r="H659">
            <v>446</v>
          </cell>
          <cell r="J659">
            <v>179</v>
          </cell>
          <cell r="K659">
            <v>9467600</v>
          </cell>
          <cell r="L659">
            <v>7256960</v>
          </cell>
          <cell r="T659">
            <v>5411318</v>
          </cell>
        </row>
        <row r="660">
          <cell r="H660">
            <v>349</v>
          </cell>
          <cell r="J660">
            <v>81</v>
          </cell>
          <cell r="K660">
            <v>4226400</v>
          </cell>
          <cell r="L660">
            <v>3316768</v>
          </cell>
          <cell r="T660">
            <v>5455917</v>
          </cell>
        </row>
        <row r="661">
          <cell r="H661">
            <v>398</v>
          </cell>
          <cell r="J661">
            <v>171</v>
          </cell>
          <cell r="K661">
            <v>8932400</v>
          </cell>
          <cell r="L661">
            <v>7031200</v>
          </cell>
          <cell r="T661">
            <v>5147334</v>
          </cell>
        </row>
        <row r="662">
          <cell r="H662">
            <v>437</v>
          </cell>
          <cell r="J662">
            <v>48</v>
          </cell>
          <cell r="K662">
            <v>2875200</v>
          </cell>
          <cell r="L662">
            <v>2238288</v>
          </cell>
          <cell r="T662">
            <v>7487121</v>
          </cell>
        </row>
        <row r="663">
          <cell r="H663">
            <v>475</v>
          </cell>
          <cell r="J663">
            <v>141</v>
          </cell>
          <cell r="K663">
            <v>7505020</v>
          </cell>
          <cell r="L663">
            <v>5814172</v>
          </cell>
          <cell r="T663">
            <v>6808175</v>
          </cell>
        </row>
        <row r="664">
          <cell r="H664">
            <v>296</v>
          </cell>
          <cell r="J664">
            <v>76</v>
          </cell>
          <cell r="K664">
            <v>3456400</v>
          </cell>
          <cell r="L664">
            <v>2671944</v>
          </cell>
          <cell r="T664">
            <v>3591368</v>
          </cell>
        </row>
        <row r="665">
          <cell r="H665">
            <v>349</v>
          </cell>
          <cell r="J665">
            <v>93</v>
          </cell>
          <cell r="K665">
            <v>4275200</v>
          </cell>
          <cell r="L665">
            <v>3273752</v>
          </cell>
          <cell r="T665">
            <v>4583417</v>
          </cell>
        </row>
        <row r="666">
          <cell r="H666">
            <v>203</v>
          </cell>
          <cell r="J666">
            <v>66</v>
          </cell>
          <cell r="K666">
            <v>3470400</v>
          </cell>
          <cell r="L666">
            <v>2729248</v>
          </cell>
          <cell r="T666">
            <v>2462999</v>
          </cell>
        </row>
        <row r="667">
          <cell r="H667">
            <v>198</v>
          </cell>
          <cell r="J667">
            <v>60</v>
          </cell>
          <cell r="K667">
            <v>3234000</v>
          </cell>
          <cell r="L667">
            <v>2496960</v>
          </cell>
          <cell r="T667">
            <v>2778534</v>
          </cell>
        </row>
        <row r="668">
          <cell r="H668">
            <v>498</v>
          </cell>
          <cell r="J668">
            <v>65</v>
          </cell>
          <cell r="K668">
            <v>3946000</v>
          </cell>
          <cell r="L668">
            <v>3026088</v>
          </cell>
          <cell r="T668">
            <v>8283234</v>
          </cell>
        </row>
        <row r="669">
          <cell r="H669">
            <v>348</v>
          </cell>
          <cell r="J669">
            <v>74</v>
          </cell>
          <cell r="K669">
            <v>3885600</v>
          </cell>
          <cell r="L669">
            <v>3022192</v>
          </cell>
          <cell r="T669">
            <v>5448984</v>
          </cell>
        </row>
        <row r="670">
          <cell r="H670">
            <v>199</v>
          </cell>
          <cell r="J670">
            <v>23</v>
          </cell>
          <cell r="K670">
            <v>2857200</v>
          </cell>
          <cell r="L670">
            <v>2156384</v>
          </cell>
          <cell r="T670">
            <v>7586676</v>
          </cell>
        </row>
        <row r="671">
          <cell r="H671">
            <v>8919</v>
          </cell>
          <cell r="J671">
            <v>6156</v>
          </cell>
          <cell r="K671">
            <v>116734890</v>
          </cell>
          <cell r="L671">
            <v>93469779</v>
          </cell>
          <cell r="T671">
            <v>34917885</v>
          </cell>
        </row>
        <row r="672">
          <cell r="H672">
            <v>2964</v>
          </cell>
          <cell r="J672">
            <v>1643</v>
          </cell>
          <cell r="K672">
            <v>47635284</v>
          </cell>
          <cell r="L672">
            <v>36929288</v>
          </cell>
          <cell r="T672">
            <v>26264004</v>
          </cell>
        </row>
        <row r="673">
          <cell r="H673">
            <v>7062</v>
          </cell>
          <cell r="J673">
            <v>4024</v>
          </cell>
          <cell r="K673">
            <v>156795556</v>
          </cell>
          <cell r="L673">
            <v>120535002</v>
          </cell>
          <cell r="T673">
            <v>69800808</v>
          </cell>
        </row>
        <row r="674">
          <cell r="H674">
            <v>4044</v>
          </cell>
          <cell r="J674">
            <v>1079</v>
          </cell>
          <cell r="K674">
            <v>42389500</v>
          </cell>
          <cell r="L674">
            <v>34032815</v>
          </cell>
          <cell r="T674">
            <v>55309788</v>
          </cell>
        </row>
        <row r="675">
          <cell r="H675">
            <v>1300</v>
          </cell>
          <cell r="J675">
            <v>172</v>
          </cell>
          <cell r="K675">
            <v>12885800</v>
          </cell>
          <cell r="L675">
            <v>9739275</v>
          </cell>
          <cell r="T675">
            <v>29039400</v>
          </cell>
        </row>
        <row r="676">
          <cell r="H676">
            <v>454</v>
          </cell>
          <cell r="J676">
            <v>106</v>
          </cell>
          <cell r="K676">
            <v>6558500</v>
          </cell>
          <cell r="L676">
            <v>5049834</v>
          </cell>
          <cell r="T676">
            <v>7207704</v>
          </cell>
        </row>
        <row r="677">
          <cell r="H677">
            <v>587</v>
          </cell>
          <cell r="J677">
            <v>89</v>
          </cell>
          <cell r="K677">
            <v>5340500</v>
          </cell>
          <cell r="L677">
            <v>4061644</v>
          </cell>
          <cell r="T677">
            <v>9865709</v>
          </cell>
        </row>
        <row r="678">
          <cell r="H678">
            <v>953</v>
          </cell>
          <cell r="J678">
            <v>375</v>
          </cell>
          <cell r="K678">
            <v>34381190</v>
          </cell>
          <cell r="L678">
            <v>25744937</v>
          </cell>
          <cell r="T678">
            <v>17923071</v>
          </cell>
        </row>
        <row r="679">
          <cell r="H679">
            <v>1770</v>
          </cell>
          <cell r="J679">
            <v>377</v>
          </cell>
          <cell r="K679">
            <v>27805345</v>
          </cell>
          <cell r="L679">
            <v>21134968</v>
          </cell>
          <cell r="T679">
            <v>29748390</v>
          </cell>
        </row>
        <row r="680">
          <cell r="H680">
            <v>956</v>
          </cell>
          <cell r="J680">
            <v>119</v>
          </cell>
          <cell r="K680">
            <v>8246600</v>
          </cell>
          <cell r="L680">
            <v>6236204</v>
          </cell>
          <cell r="T680">
            <v>18935492</v>
          </cell>
        </row>
        <row r="681">
          <cell r="H681">
            <v>688</v>
          </cell>
          <cell r="J681">
            <v>60</v>
          </cell>
          <cell r="K681">
            <v>9452700</v>
          </cell>
          <cell r="L681">
            <v>7152149</v>
          </cell>
          <cell r="T681">
            <v>27522752</v>
          </cell>
        </row>
        <row r="682">
          <cell r="H682">
            <v>791</v>
          </cell>
          <cell r="J682">
            <v>157</v>
          </cell>
          <cell r="K682">
            <v>36054200</v>
          </cell>
          <cell r="L682">
            <v>26762147</v>
          </cell>
          <cell r="T682">
            <v>48099128</v>
          </cell>
        </row>
        <row r="683">
          <cell r="H683">
            <v>1645</v>
          </cell>
          <cell r="J683">
            <v>646</v>
          </cell>
          <cell r="K683">
            <v>64870900</v>
          </cell>
          <cell r="L683">
            <v>48946886</v>
          </cell>
          <cell r="T683">
            <v>40557475</v>
          </cell>
        </row>
        <row r="684">
          <cell r="H684">
            <v>1688</v>
          </cell>
          <cell r="J684">
            <v>317</v>
          </cell>
          <cell r="K684">
            <v>32387680</v>
          </cell>
          <cell r="L684">
            <v>24152318</v>
          </cell>
          <cell r="T684">
            <v>38322664</v>
          </cell>
        </row>
        <row r="685">
          <cell r="H685">
            <v>1620</v>
          </cell>
          <cell r="J685">
            <v>429</v>
          </cell>
          <cell r="K685">
            <v>51360600</v>
          </cell>
          <cell r="L685">
            <v>38065772</v>
          </cell>
          <cell r="T685">
            <v>44558100</v>
          </cell>
        </row>
        <row r="686">
          <cell r="H686">
            <v>800</v>
          </cell>
          <cell r="J686">
            <v>212</v>
          </cell>
          <cell r="K686">
            <v>53949750</v>
          </cell>
          <cell r="L686">
            <v>43942923</v>
          </cell>
          <cell r="T686">
            <v>64771200</v>
          </cell>
        </row>
        <row r="687">
          <cell r="H687">
            <v>692</v>
          </cell>
          <cell r="J687">
            <v>217</v>
          </cell>
          <cell r="K687">
            <v>34454280</v>
          </cell>
          <cell r="L687">
            <v>26174740</v>
          </cell>
          <cell r="T687">
            <v>31638932</v>
          </cell>
        </row>
        <row r="688">
          <cell r="H688">
            <v>6265</v>
          </cell>
          <cell r="J688">
            <v>2010</v>
          </cell>
          <cell r="K688">
            <v>56068668</v>
          </cell>
          <cell r="L688">
            <v>35071786</v>
          </cell>
          <cell r="T688">
            <v>70061495</v>
          </cell>
        </row>
        <row r="689">
          <cell r="H689">
            <v>6265</v>
          </cell>
          <cell r="J689">
            <v>2012</v>
          </cell>
          <cell r="K689">
            <v>58306566</v>
          </cell>
          <cell r="L689">
            <v>36108641</v>
          </cell>
          <cell r="T689">
            <v>70061495</v>
          </cell>
        </row>
        <row r="690">
          <cell r="H690">
            <v>6265</v>
          </cell>
          <cell r="J690">
            <v>2011</v>
          </cell>
          <cell r="K690">
            <v>58562556</v>
          </cell>
          <cell r="L690">
            <v>36146761</v>
          </cell>
          <cell r="T690">
            <v>70061495</v>
          </cell>
        </row>
        <row r="691">
          <cell r="H691">
            <v>9756</v>
          </cell>
          <cell r="J691">
            <v>891</v>
          </cell>
          <cell r="K691">
            <v>26732827</v>
          </cell>
          <cell r="L691">
            <v>15400758</v>
          </cell>
          <cell r="T691">
            <v>91969812</v>
          </cell>
        </row>
        <row r="692">
          <cell r="H692">
            <v>9768</v>
          </cell>
          <cell r="J692">
            <v>891</v>
          </cell>
          <cell r="K692">
            <v>25998417</v>
          </cell>
          <cell r="L692">
            <v>16417960</v>
          </cell>
          <cell r="T692">
            <v>92082936</v>
          </cell>
        </row>
        <row r="693">
          <cell r="H693">
            <v>9761</v>
          </cell>
          <cell r="J693">
            <v>891</v>
          </cell>
          <cell r="K693">
            <v>26057137</v>
          </cell>
          <cell r="L693">
            <v>16932835</v>
          </cell>
          <cell r="T693">
            <v>92016947</v>
          </cell>
        </row>
        <row r="694">
          <cell r="H694">
            <v>1485</v>
          </cell>
          <cell r="J694">
            <v>1005</v>
          </cell>
          <cell r="K694">
            <v>55340300</v>
          </cell>
          <cell r="L694">
            <v>42341085</v>
          </cell>
          <cell r="T694">
            <v>18103635</v>
          </cell>
        </row>
        <row r="695">
          <cell r="H695">
            <v>782</v>
          </cell>
          <cell r="J695">
            <v>263</v>
          </cell>
          <cell r="K695">
            <v>19564200</v>
          </cell>
          <cell r="L695">
            <v>15100732</v>
          </cell>
          <cell r="T695">
            <v>14334842</v>
          </cell>
        </row>
        <row r="696">
          <cell r="H696">
            <v>1626</v>
          </cell>
          <cell r="J696">
            <v>229</v>
          </cell>
          <cell r="K696">
            <v>14945800</v>
          </cell>
          <cell r="L696">
            <v>11339184</v>
          </cell>
          <cell r="T696">
            <v>24396504</v>
          </cell>
        </row>
        <row r="697">
          <cell r="H697">
            <v>955</v>
          </cell>
          <cell r="J697">
            <v>184</v>
          </cell>
          <cell r="K697">
            <v>12999800</v>
          </cell>
          <cell r="L697">
            <v>9806136</v>
          </cell>
          <cell r="T697">
            <v>17508970</v>
          </cell>
        </row>
        <row r="698">
          <cell r="H698">
            <v>962</v>
          </cell>
          <cell r="J698">
            <v>93</v>
          </cell>
          <cell r="K698">
            <v>7402200</v>
          </cell>
          <cell r="L698">
            <v>5565416</v>
          </cell>
          <cell r="T698">
            <v>23405460</v>
          </cell>
        </row>
        <row r="699">
          <cell r="H699">
            <v>825</v>
          </cell>
          <cell r="J699">
            <v>232</v>
          </cell>
          <cell r="K699">
            <v>15255300</v>
          </cell>
          <cell r="L699">
            <v>11583237</v>
          </cell>
          <cell r="T699">
            <v>13464000</v>
          </cell>
        </row>
        <row r="700">
          <cell r="H700">
            <v>465</v>
          </cell>
          <cell r="J700">
            <v>222</v>
          </cell>
          <cell r="K700">
            <v>16666210</v>
          </cell>
          <cell r="L700">
            <v>12564381</v>
          </cell>
          <cell r="T700">
            <v>8143545</v>
          </cell>
        </row>
        <row r="701">
          <cell r="H701">
            <v>1212</v>
          </cell>
          <cell r="J701">
            <v>546</v>
          </cell>
          <cell r="K701">
            <v>45615300</v>
          </cell>
          <cell r="L701">
            <v>34769274</v>
          </cell>
          <cell r="T701">
            <v>19778628</v>
          </cell>
        </row>
        <row r="702">
          <cell r="H702">
            <v>977</v>
          </cell>
          <cell r="J702">
            <v>231</v>
          </cell>
          <cell r="K702">
            <v>20935300</v>
          </cell>
          <cell r="L702">
            <v>16017903</v>
          </cell>
          <cell r="T702">
            <v>23114843</v>
          </cell>
        </row>
        <row r="703">
          <cell r="H703">
            <v>1514</v>
          </cell>
          <cell r="J703">
            <v>330</v>
          </cell>
          <cell r="K703">
            <v>20295860</v>
          </cell>
          <cell r="L703">
            <v>15424150</v>
          </cell>
          <cell r="T703">
            <v>26955256</v>
          </cell>
        </row>
        <row r="704">
          <cell r="H704">
            <v>1598</v>
          </cell>
          <cell r="J704">
            <v>544</v>
          </cell>
          <cell r="K704">
            <v>45776670</v>
          </cell>
          <cell r="L704">
            <v>35102581</v>
          </cell>
          <cell r="T704">
            <v>32512908</v>
          </cell>
        </row>
        <row r="705">
          <cell r="H705">
            <v>1985</v>
          </cell>
          <cell r="J705">
            <v>373</v>
          </cell>
          <cell r="K705">
            <v>31107120</v>
          </cell>
          <cell r="L705">
            <v>23831549</v>
          </cell>
          <cell r="T705">
            <v>40565460</v>
          </cell>
        </row>
        <row r="706">
          <cell r="H706">
            <v>1558</v>
          </cell>
          <cell r="J706">
            <v>32</v>
          </cell>
          <cell r="K706">
            <v>3038900</v>
          </cell>
          <cell r="L706">
            <v>2252052</v>
          </cell>
          <cell r="T706">
            <v>35569140</v>
          </cell>
        </row>
        <row r="707">
          <cell r="H707">
            <v>1808</v>
          </cell>
          <cell r="J707">
            <v>387</v>
          </cell>
          <cell r="K707">
            <v>39795700</v>
          </cell>
          <cell r="L707">
            <v>29578834</v>
          </cell>
          <cell r="T707">
            <v>51976384</v>
          </cell>
        </row>
        <row r="708">
          <cell r="H708">
            <v>1680</v>
          </cell>
          <cell r="J708">
            <v>539</v>
          </cell>
          <cell r="K708">
            <v>55168980</v>
          </cell>
          <cell r="L708">
            <v>41659336</v>
          </cell>
          <cell r="T708">
            <v>49454160</v>
          </cell>
        </row>
        <row r="709">
          <cell r="H709">
            <v>1597</v>
          </cell>
          <cell r="J709">
            <v>277</v>
          </cell>
          <cell r="K709">
            <v>28174420</v>
          </cell>
          <cell r="L709">
            <v>20975403</v>
          </cell>
          <cell r="T709">
            <v>49933399</v>
          </cell>
        </row>
        <row r="710">
          <cell r="H710">
            <v>805</v>
          </cell>
          <cell r="J710">
            <v>46</v>
          </cell>
          <cell r="K710">
            <v>7089700</v>
          </cell>
          <cell r="L710">
            <v>5075094</v>
          </cell>
          <cell r="T710">
            <v>38068450</v>
          </cell>
        </row>
        <row r="711">
          <cell r="H711">
            <v>780</v>
          </cell>
          <cell r="J711">
            <v>53</v>
          </cell>
          <cell r="K711">
            <v>8333200</v>
          </cell>
          <cell r="L711">
            <v>6100756</v>
          </cell>
          <cell r="T711">
            <v>32449560</v>
          </cell>
        </row>
        <row r="712">
          <cell r="H712">
            <v>683</v>
          </cell>
          <cell r="J712">
            <v>225</v>
          </cell>
          <cell r="K712">
            <v>16814500</v>
          </cell>
          <cell r="L712">
            <v>12744715</v>
          </cell>
          <cell r="T712">
            <v>15618161</v>
          </cell>
        </row>
        <row r="713">
          <cell r="H713">
            <v>710</v>
          </cell>
          <cell r="J713">
            <v>234</v>
          </cell>
          <cell r="K713">
            <v>20007300</v>
          </cell>
          <cell r="L713">
            <v>15174011</v>
          </cell>
          <cell r="T713">
            <v>17119520</v>
          </cell>
        </row>
        <row r="714">
          <cell r="H714">
            <v>367</v>
          </cell>
          <cell r="J714">
            <v>104</v>
          </cell>
          <cell r="K714">
            <v>16883400</v>
          </cell>
          <cell r="L714">
            <v>12739520</v>
          </cell>
          <cell r="T714">
            <v>17096328</v>
          </cell>
        </row>
        <row r="715">
          <cell r="H715">
            <v>554</v>
          </cell>
          <cell r="J715">
            <v>116</v>
          </cell>
          <cell r="K715">
            <v>12751700</v>
          </cell>
          <cell r="L715">
            <v>9678826</v>
          </cell>
          <cell r="T715">
            <v>18265380</v>
          </cell>
        </row>
        <row r="716">
          <cell r="H716">
            <v>1510</v>
          </cell>
          <cell r="J716">
            <v>184</v>
          </cell>
          <cell r="K716">
            <v>18473100</v>
          </cell>
          <cell r="L716">
            <v>13919502</v>
          </cell>
          <cell r="T716">
            <v>48520830</v>
          </cell>
        </row>
        <row r="717">
          <cell r="H717">
            <v>1752</v>
          </cell>
          <cell r="J717">
            <v>313</v>
          </cell>
          <cell r="K717">
            <v>54575600</v>
          </cell>
          <cell r="L717">
            <v>40999252</v>
          </cell>
          <cell r="T717">
            <v>81030000</v>
          </cell>
        </row>
        <row r="718">
          <cell r="H718">
            <v>822</v>
          </cell>
          <cell r="J718">
            <v>438</v>
          </cell>
          <cell r="K718">
            <v>59236100</v>
          </cell>
          <cell r="L718">
            <v>48257077</v>
          </cell>
          <cell r="T718">
            <v>26493882</v>
          </cell>
        </row>
        <row r="719">
          <cell r="H719">
            <v>497</v>
          </cell>
          <cell r="J719">
            <v>61</v>
          </cell>
          <cell r="K719">
            <v>10741900</v>
          </cell>
          <cell r="L719">
            <v>8154783</v>
          </cell>
          <cell r="T719">
            <v>23425101</v>
          </cell>
        </row>
        <row r="720">
          <cell r="H720">
            <v>700</v>
          </cell>
          <cell r="J720">
            <v>171</v>
          </cell>
          <cell r="K720">
            <v>28287300</v>
          </cell>
          <cell r="L720">
            <v>21375285</v>
          </cell>
          <cell r="T720">
            <v>29864100</v>
          </cell>
        </row>
        <row r="721">
          <cell r="H721">
            <v>797</v>
          </cell>
          <cell r="J721">
            <v>31</v>
          </cell>
          <cell r="K721">
            <v>5512300</v>
          </cell>
          <cell r="L721">
            <v>4177607</v>
          </cell>
          <cell r="T721">
            <v>34445543</v>
          </cell>
        </row>
        <row r="722">
          <cell r="H722">
            <v>1199</v>
          </cell>
          <cell r="J722">
            <v>116</v>
          </cell>
          <cell r="K722">
            <v>26959600</v>
          </cell>
          <cell r="L722">
            <v>19962555</v>
          </cell>
          <cell r="T722">
            <v>71372873</v>
          </cell>
        </row>
        <row r="723">
          <cell r="H723">
            <v>799</v>
          </cell>
          <cell r="J723">
            <v>187</v>
          </cell>
          <cell r="K723">
            <v>47109500</v>
          </cell>
          <cell r="L723">
            <v>34817208</v>
          </cell>
          <cell r="T723">
            <v>51168759</v>
          </cell>
        </row>
        <row r="724">
          <cell r="H724">
            <v>604</v>
          </cell>
          <cell r="J724">
            <v>169</v>
          </cell>
          <cell r="K724">
            <v>46512250</v>
          </cell>
          <cell r="L724">
            <v>34748591</v>
          </cell>
          <cell r="T724">
            <v>42905744</v>
          </cell>
        </row>
        <row r="725">
          <cell r="H725">
            <v>447</v>
          </cell>
          <cell r="J725">
            <v>86</v>
          </cell>
          <cell r="K725">
            <v>26864400</v>
          </cell>
          <cell r="L725">
            <v>20338305</v>
          </cell>
          <cell r="T725">
            <v>36295953</v>
          </cell>
        </row>
        <row r="726">
          <cell r="H726">
            <v>1847</v>
          </cell>
          <cell r="J726">
            <v>670</v>
          </cell>
          <cell r="K726">
            <v>56098710</v>
          </cell>
          <cell r="L726">
            <v>42720973</v>
          </cell>
          <cell r="T726">
            <v>35105929</v>
          </cell>
        </row>
        <row r="727">
          <cell r="H727">
            <v>1311</v>
          </cell>
          <cell r="J727">
            <v>272</v>
          </cell>
          <cell r="K727">
            <v>22563800</v>
          </cell>
          <cell r="L727">
            <v>17061745</v>
          </cell>
          <cell r="T727">
            <v>20150070</v>
          </cell>
        </row>
        <row r="728">
          <cell r="H728">
            <v>1279</v>
          </cell>
          <cell r="J728">
            <v>235</v>
          </cell>
          <cell r="K728">
            <v>19625600</v>
          </cell>
          <cell r="L728">
            <v>14671666</v>
          </cell>
          <cell r="T728">
            <v>26291124</v>
          </cell>
        </row>
        <row r="729">
          <cell r="H729">
            <v>1254</v>
          </cell>
          <cell r="J729">
            <v>386</v>
          </cell>
          <cell r="K729">
            <v>35201600</v>
          </cell>
          <cell r="L729">
            <v>26472501</v>
          </cell>
          <cell r="T729">
            <v>32983962</v>
          </cell>
        </row>
        <row r="730">
          <cell r="H730">
            <v>1884</v>
          </cell>
          <cell r="J730">
            <v>416</v>
          </cell>
          <cell r="K730">
            <v>31392665</v>
          </cell>
          <cell r="L730">
            <v>23767628</v>
          </cell>
          <cell r="T730">
            <v>30775140</v>
          </cell>
        </row>
        <row r="731">
          <cell r="H731">
            <v>1410</v>
          </cell>
          <cell r="J731">
            <v>784</v>
          </cell>
          <cell r="K731">
            <v>73311800</v>
          </cell>
          <cell r="L731">
            <v>55758681</v>
          </cell>
          <cell r="T731">
            <v>26506590</v>
          </cell>
        </row>
        <row r="732">
          <cell r="H732">
            <v>1611</v>
          </cell>
          <cell r="J732">
            <v>237</v>
          </cell>
          <cell r="K732">
            <v>22135600</v>
          </cell>
          <cell r="L732">
            <v>16818071</v>
          </cell>
          <cell r="T732">
            <v>35011863</v>
          </cell>
        </row>
        <row r="733">
          <cell r="H733">
            <v>1621</v>
          </cell>
          <cell r="J733">
            <v>464</v>
          </cell>
          <cell r="K733">
            <v>47032795</v>
          </cell>
          <cell r="L733">
            <v>35113162</v>
          </cell>
          <cell r="T733">
            <v>39602651</v>
          </cell>
        </row>
        <row r="734">
          <cell r="H734">
            <v>892</v>
          </cell>
          <cell r="J734">
            <v>410</v>
          </cell>
          <cell r="K734">
            <v>45754630</v>
          </cell>
          <cell r="L734">
            <v>34253554</v>
          </cell>
          <cell r="T734">
            <v>25375616</v>
          </cell>
        </row>
        <row r="735">
          <cell r="H735">
            <v>789</v>
          </cell>
          <cell r="J735">
            <v>380</v>
          </cell>
          <cell r="K735">
            <v>38964400</v>
          </cell>
          <cell r="L735">
            <v>29174068</v>
          </cell>
          <cell r="T735">
            <v>21458433</v>
          </cell>
        </row>
        <row r="736">
          <cell r="H736">
            <v>332</v>
          </cell>
          <cell r="J736">
            <v>131</v>
          </cell>
          <cell r="K736">
            <v>9576500</v>
          </cell>
          <cell r="L736">
            <v>7339969</v>
          </cell>
          <cell r="T736">
            <v>6382700</v>
          </cell>
        </row>
        <row r="737">
          <cell r="H737">
            <v>439</v>
          </cell>
          <cell r="J737">
            <v>193</v>
          </cell>
          <cell r="K737">
            <v>14187500</v>
          </cell>
          <cell r="L737">
            <v>10638338</v>
          </cell>
          <cell r="T737">
            <v>7780397</v>
          </cell>
        </row>
        <row r="738">
          <cell r="H738">
            <v>483</v>
          </cell>
          <cell r="J738">
            <v>94</v>
          </cell>
          <cell r="K738">
            <v>7661900</v>
          </cell>
          <cell r="L738">
            <v>5708638</v>
          </cell>
          <cell r="T738">
            <v>8923425</v>
          </cell>
        </row>
        <row r="739">
          <cell r="H739">
            <v>510</v>
          </cell>
          <cell r="J739">
            <v>220</v>
          </cell>
          <cell r="K739">
            <v>18007570</v>
          </cell>
          <cell r="L739">
            <v>13560850</v>
          </cell>
          <cell r="T739">
            <v>10965510</v>
          </cell>
        </row>
        <row r="740">
          <cell r="H740">
            <v>360</v>
          </cell>
          <cell r="J740">
            <v>74</v>
          </cell>
          <cell r="K740">
            <v>5999800</v>
          </cell>
          <cell r="L740">
            <v>4577804</v>
          </cell>
          <cell r="T740">
            <v>6212520</v>
          </cell>
        </row>
        <row r="741">
          <cell r="H741">
            <v>440</v>
          </cell>
          <cell r="J741">
            <v>192</v>
          </cell>
          <cell r="K741">
            <v>14188200</v>
          </cell>
          <cell r="L741">
            <v>10840025</v>
          </cell>
          <cell r="T741">
            <v>8218760</v>
          </cell>
        </row>
        <row r="742">
          <cell r="H742">
            <v>403</v>
          </cell>
          <cell r="J742">
            <v>65</v>
          </cell>
          <cell r="K742">
            <v>4823900</v>
          </cell>
          <cell r="L742">
            <v>3775709</v>
          </cell>
          <cell r="T742">
            <v>7019051</v>
          </cell>
        </row>
        <row r="743">
          <cell r="H743">
            <v>415</v>
          </cell>
          <cell r="J743">
            <v>72</v>
          </cell>
          <cell r="K743">
            <v>6110100</v>
          </cell>
          <cell r="L743">
            <v>4465925</v>
          </cell>
          <cell r="T743">
            <v>8034400</v>
          </cell>
        </row>
        <row r="744">
          <cell r="H744">
            <v>506</v>
          </cell>
          <cell r="J744">
            <v>313</v>
          </cell>
          <cell r="K744">
            <v>26931900</v>
          </cell>
          <cell r="L744">
            <v>20165086</v>
          </cell>
          <cell r="T744">
            <v>10386156</v>
          </cell>
        </row>
        <row r="745">
          <cell r="H745">
            <v>664</v>
          </cell>
          <cell r="J745">
            <v>286</v>
          </cell>
          <cell r="K745">
            <v>47215550</v>
          </cell>
          <cell r="L745">
            <v>35491494</v>
          </cell>
          <cell r="T745">
            <v>24682208</v>
          </cell>
        </row>
        <row r="746">
          <cell r="H746">
            <v>353</v>
          </cell>
          <cell r="J746">
            <v>151</v>
          </cell>
          <cell r="K746">
            <v>33362200</v>
          </cell>
          <cell r="L746">
            <v>25160964</v>
          </cell>
          <cell r="T746">
            <v>24096839</v>
          </cell>
        </row>
        <row r="747">
          <cell r="H747">
            <v>252</v>
          </cell>
          <cell r="J747">
            <v>129</v>
          </cell>
          <cell r="K747">
            <v>28289300</v>
          </cell>
          <cell r="L747">
            <v>21060919</v>
          </cell>
          <cell r="T747">
            <v>15752520</v>
          </cell>
        </row>
        <row r="748">
          <cell r="H748">
            <v>330</v>
          </cell>
          <cell r="J748">
            <v>69</v>
          </cell>
          <cell r="K748">
            <v>13862700</v>
          </cell>
          <cell r="L748">
            <v>10345889</v>
          </cell>
          <cell r="T748">
            <v>17534880</v>
          </cell>
        </row>
        <row r="749">
          <cell r="H749">
            <v>412</v>
          </cell>
          <cell r="J749">
            <v>123</v>
          </cell>
          <cell r="K749">
            <v>26505900</v>
          </cell>
          <cell r="L749">
            <v>19761899</v>
          </cell>
          <cell r="T749">
            <v>21632060</v>
          </cell>
        </row>
        <row r="750">
          <cell r="H750">
            <v>437</v>
          </cell>
          <cell r="J750">
            <v>119</v>
          </cell>
          <cell r="K750">
            <v>27877600</v>
          </cell>
          <cell r="L750">
            <v>20626040</v>
          </cell>
          <cell r="T750">
            <v>25357799</v>
          </cell>
        </row>
        <row r="751">
          <cell r="H751">
            <v>818</v>
          </cell>
          <cell r="J751">
            <v>154</v>
          </cell>
          <cell r="K751">
            <v>41869600</v>
          </cell>
          <cell r="L751">
            <v>31030519</v>
          </cell>
          <cell r="T751">
            <v>57926670</v>
          </cell>
        </row>
        <row r="752">
          <cell r="H752">
            <v>703</v>
          </cell>
          <cell r="J752">
            <v>219</v>
          </cell>
          <cell r="K752">
            <v>31989800</v>
          </cell>
          <cell r="L752">
            <v>23935463</v>
          </cell>
          <cell r="T752">
            <v>28530552</v>
          </cell>
        </row>
        <row r="753">
          <cell r="H753">
            <v>880</v>
          </cell>
          <cell r="J753">
            <v>294</v>
          </cell>
          <cell r="K753">
            <v>72267650</v>
          </cell>
          <cell r="L753">
            <v>55075608</v>
          </cell>
          <cell r="T753">
            <v>56694880</v>
          </cell>
        </row>
        <row r="754">
          <cell r="H754">
            <v>805</v>
          </cell>
          <cell r="J754">
            <v>83</v>
          </cell>
          <cell r="K754">
            <v>24985800</v>
          </cell>
          <cell r="L754">
            <v>18702398</v>
          </cell>
          <cell r="T754">
            <v>59044335</v>
          </cell>
        </row>
        <row r="755">
          <cell r="H755">
            <v>391</v>
          </cell>
          <cell r="J755">
            <v>115</v>
          </cell>
          <cell r="K755">
            <v>36036600</v>
          </cell>
          <cell r="L755">
            <v>27122012</v>
          </cell>
          <cell r="T755">
            <v>29398508</v>
          </cell>
        </row>
        <row r="756">
          <cell r="H756">
            <v>1289</v>
          </cell>
          <cell r="J756">
            <v>257</v>
          </cell>
          <cell r="K756">
            <v>61033550</v>
          </cell>
          <cell r="L756">
            <v>46166447</v>
          </cell>
          <cell r="T756">
            <v>76286887</v>
          </cell>
        </row>
        <row r="757">
          <cell r="H757">
            <v>897</v>
          </cell>
          <cell r="J757">
            <v>166</v>
          </cell>
          <cell r="K757">
            <v>52200000</v>
          </cell>
          <cell r="L757">
            <v>39497377</v>
          </cell>
          <cell r="T757">
            <v>84823908</v>
          </cell>
        </row>
        <row r="758">
          <cell r="H758">
            <v>812</v>
          </cell>
          <cell r="J758">
            <v>81</v>
          </cell>
          <cell r="K758">
            <v>40834100</v>
          </cell>
          <cell r="L758">
            <v>30751717</v>
          </cell>
          <cell r="T758">
            <v>98539448</v>
          </cell>
        </row>
        <row r="759">
          <cell r="H759">
            <v>1188</v>
          </cell>
          <cell r="J759">
            <v>365</v>
          </cell>
          <cell r="K759">
            <v>31004950</v>
          </cell>
          <cell r="L759">
            <v>23686167</v>
          </cell>
          <cell r="T759">
            <v>28428840</v>
          </cell>
        </row>
        <row r="760">
          <cell r="H760">
            <v>2533</v>
          </cell>
          <cell r="J760">
            <v>1028</v>
          </cell>
          <cell r="K760">
            <v>37173195</v>
          </cell>
          <cell r="L760">
            <v>28313234</v>
          </cell>
          <cell r="T760">
            <v>25702351</v>
          </cell>
        </row>
        <row r="761">
          <cell r="H761">
            <v>979</v>
          </cell>
          <cell r="J761">
            <v>125</v>
          </cell>
          <cell r="K761">
            <v>6148750</v>
          </cell>
          <cell r="L761">
            <v>4546923</v>
          </cell>
          <cell r="T761">
            <v>12241416</v>
          </cell>
        </row>
        <row r="762">
          <cell r="H762">
            <v>924</v>
          </cell>
          <cell r="J762">
            <v>133</v>
          </cell>
          <cell r="K762">
            <v>8725600</v>
          </cell>
          <cell r="L762">
            <v>6637939</v>
          </cell>
          <cell r="T762">
            <v>12833436</v>
          </cell>
        </row>
        <row r="763">
          <cell r="H763">
            <v>866</v>
          </cell>
          <cell r="J763">
            <v>166</v>
          </cell>
          <cell r="K763">
            <v>11885300</v>
          </cell>
          <cell r="L763">
            <v>9016665</v>
          </cell>
          <cell r="T763">
            <v>12977876</v>
          </cell>
        </row>
        <row r="764">
          <cell r="H764">
            <v>604</v>
          </cell>
          <cell r="J764">
            <v>151</v>
          </cell>
          <cell r="K764">
            <v>11190700</v>
          </cell>
          <cell r="L764">
            <v>8496253</v>
          </cell>
          <cell r="T764">
            <v>9684536</v>
          </cell>
        </row>
        <row r="765">
          <cell r="H765">
            <v>963</v>
          </cell>
          <cell r="J765">
            <v>268</v>
          </cell>
          <cell r="K765">
            <v>19852800</v>
          </cell>
          <cell r="L765">
            <v>14740531</v>
          </cell>
          <cell r="T765">
            <v>14740641</v>
          </cell>
        </row>
        <row r="766">
          <cell r="H766">
            <v>977</v>
          </cell>
          <cell r="J766">
            <v>230</v>
          </cell>
          <cell r="K766">
            <v>14777840</v>
          </cell>
          <cell r="L766">
            <v>11312322</v>
          </cell>
          <cell r="T766">
            <v>16908939</v>
          </cell>
        </row>
        <row r="767">
          <cell r="H767">
            <v>931</v>
          </cell>
          <cell r="J767">
            <v>273</v>
          </cell>
          <cell r="K767">
            <v>19900700</v>
          </cell>
          <cell r="L767">
            <v>14911685</v>
          </cell>
          <cell r="T767">
            <v>15638007</v>
          </cell>
        </row>
        <row r="768">
          <cell r="H768">
            <v>1014</v>
          </cell>
          <cell r="J768">
            <v>630</v>
          </cell>
          <cell r="K768">
            <v>45804400</v>
          </cell>
          <cell r="L768">
            <v>33455434</v>
          </cell>
          <cell r="T768">
            <v>17681118</v>
          </cell>
        </row>
        <row r="769">
          <cell r="H769">
            <v>469</v>
          </cell>
          <cell r="J769">
            <v>130</v>
          </cell>
          <cell r="K769">
            <v>9723400</v>
          </cell>
          <cell r="L769">
            <v>7218704</v>
          </cell>
          <cell r="T769">
            <v>7727244</v>
          </cell>
        </row>
        <row r="770">
          <cell r="H770">
            <v>779</v>
          </cell>
          <cell r="J770">
            <v>69</v>
          </cell>
          <cell r="K770">
            <v>5004670</v>
          </cell>
          <cell r="L770">
            <v>3697642</v>
          </cell>
          <cell r="T770">
            <v>15326825</v>
          </cell>
        </row>
        <row r="771">
          <cell r="H771">
            <v>340</v>
          </cell>
          <cell r="J771">
            <v>117</v>
          </cell>
          <cell r="K771">
            <v>5355700</v>
          </cell>
          <cell r="L771">
            <v>4096082</v>
          </cell>
          <cell r="T771">
            <v>4353020</v>
          </cell>
        </row>
        <row r="772">
          <cell r="H772">
            <v>2250</v>
          </cell>
          <cell r="J772">
            <v>1451</v>
          </cell>
          <cell r="K772">
            <v>81674832</v>
          </cell>
          <cell r="L772">
            <v>62946565</v>
          </cell>
          <cell r="T772">
            <v>27681750</v>
          </cell>
        </row>
        <row r="773">
          <cell r="H773">
            <v>1832</v>
          </cell>
          <cell r="J773">
            <v>803</v>
          </cell>
          <cell r="K773">
            <v>67993060</v>
          </cell>
          <cell r="L773">
            <v>50919282</v>
          </cell>
          <cell r="T773">
            <v>36542904</v>
          </cell>
        </row>
        <row r="774">
          <cell r="H774">
            <v>1477</v>
          </cell>
          <cell r="J774">
            <v>229</v>
          </cell>
          <cell r="K774">
            <v>16726500</v>
          </cell>
          <cell r="L774">
            <v>12880396</v>
          </cell>
          <cell r="T774">
            <v>24970162</v>
          </cell>
        </row>
        <row r="775">
          <cell r="H775">
            <v>956</v>
          </cell>
          <cell r="J775">
            <v>71</v>
          </cell>
          <cell r="K775">
            <v>5849900</v>
          </cell>
          <cell r="L775">
            <v>4400629</v>
          </cell>
          <cell r="T775">
            <v>16067492</v>
          </cell>
        </row>
        <row r="776">
          <cell r="H776">
            <v>1157</v>
          </cell>
          <cell r="J776">
            <v>196</v>
          </cell>
          <cell r="K776">
            <v>16226700</v>
          </cell>
          <cell r="L776">
            <v>12000859</v>
          </cell>
          <cell r="T776">
            <v>19445699</v>
          </cell>
        </row>
        <row r="777">
          <cell r="H777">
            <v>3048</v>
          </cell>
          <cell r="J777">
            <v>780</v>
          </cell>
          <cell r="K777">
            <v>37040020</v>
          </cell>
          <cell r="L777">
            <v>28339837</v>
          </cell>
          <cell r="T777">
            <v>37581840</v>
          </cell>
        </row>
        <row r="778">
          <cell r="H778">
            <v>1366</v>
          </cell>
          <cell r="J778">
            <v>68</v>
          </cell>
          <cell r="K778">
            <v>6394900</v>
          </cell>
          <cell r="L778">
            <v>4838130</v>
          </cell>
          <cell r="T778">
            <v>31917956</v>
          </cell>
        </row>
        <row r="779">
          <cell r="H779">
            <v>1007</v>
          </cell>
          <cell r="J779">
            <v>112</v>
          </cell>
          <cell r="K779">
            <v>17147500</v>
          </cell>
          <cell r="L779">
            <v>12855001</v>
          </cell>
          <cell r="T779">
            <v>39569058</v>
          </cell>
        </row>
        <row r="780">
          <cell r="H780">
            <v>800</v>
          </cell>
          <cell r="J780">
            <v>139</v>
          </cell>
          <cell r="K780">
            <v>22245600</v>
          </cell>
          <cell r="L780">
            <v>16305965</v>
          </cell>
          <cell r="T780">
            <v>35155200</v>
          </cell>
        </row>
        <row r="781">
          <cell r="H781">
            <v>783</v>
          </cell>
          <cell r="J781">
            <v>247</v>
          </cell>
          <cell r="K781">
            <v>24782000</v>
          </cell>
          <cell r="L781">
            <v>18688868</v>
          </cell>
          <cell r="T781">
            <v>17193897</v>
          </cell>
        </row>
        <row r="782">
          <cell r="H782">
            <v>810</v>
          </cell>
          <cell r="J782">
            <v>309</v>
          </cell>
          <cell r="K782">
            <v>39918600</v>
          </cell>
          <cell r="L782">
            <v>29724525</v>
          </cell>
          <cell r="T782">
            <v>28622160</v>
          </cell>
        </row>
        <row r="783">
          <cell r="H783">
            <v>763</v>
          </cell>
          <cell r="J783">
            <v>85</v>
          </cell>
          <cell r="K783">
            <v>11025300</v>
          </cell>
          <cell r="L783">
            <v>8277482</v>
          </cell>
          <cell r="T783">
            <v>26964420</v>
          </cell>
        </row>
        <row r="784">
          <cell r="H784">
            <v>299</v>
          </cell>
          <cell r="J784">
            <v>29</v>
          </cell>
          <cell r="K784">
            <v>4475700</v>
          </cell>
          <cell r="L784">
            <v>3271116</v>
          </cell>
          <cell r="T784">
            <v>14623193</v>
          </cell>
        </row>
        <row r="785">
          <cell r="H785">
            <v>906</v>
          </cell>
          <cell r="J785">
            <v>108</v>
          </cell>
          <cell r="K785">
            <v>18468930</v>
          </cell>
          <cell r="L785">
            <v>13806170</v>
          </cell>
          <cell r="T785">
            <v>43449948</v>
          </cell>
        </row>
        <row r="786">
          <cell r="H786">
            <v>1338</v>
          </cell>
          <cell r="J786">
            <v>237</v>
          </cell>
          <cell r="K786">
            <v>24021700</v>
          </cell>
          <cell r="L786">
            <v>18024840</v>
          </cell>
          <cell r="T786">
            <v>36883308</v>
          </cell>
        </row>
        <row r="787">
          <cell r="H787">
            <v>1023</v>
          </cell>
          <cell r="J787">
            <v>531</v>
          </cell>
          <cell r="K787">
            <v>70263800</v>
          </cell>
          <cell r="L787">
            <v>53091432</v>
          </cell>
          <cell r="T787">
            <v>34027026</v>
          </cell>
        </row>
        <row r="788">
          <cell r="H788">
            <v>396</v>
          </cell>
          <cell r="J788">
            <v>179</v>
          </cell>
          <cell r="K788">
            <v>33769700</v>
          </cell>
          <cell r="L788">
            <v>25091910</v>
          </cell>
          <cell r="T788">
            <v>19456272</v>
          </cell>
        </row>
        <row r="789">
          <cell r="H789">
            <v>748</v>
          </cell>
          <cell r="J789">
            <v>240</v>
          </cell>
          <cell r="K789">
            <v>44077700</v>
          </cell>
          <cell r="L789">
            <v>32855995</v>
          </cell>
          <cell r="T789">
            <v>34712436</v>
          </cell>
        </row>
        <row r="790">
          <cell r="H790">
            <v>2088</v>
          </cell>
          <cell r="J790">
            <v>721</v>
          </cell>
          <cell r="K790">
            <v>114139446</v>
          </cell>
          <cell r="L790">
            <v>85075553</v>
          </cell>
          <cell r="T790">
            <v>84480480</v>
          </cell>
        </row>
        <row r="791">
          <cell r="H791">
            <v>1782</v>
          </cell>
          <cell r="J791">
            <v>456</v>
          </cell>
          <cell r="K791">
            <v>37396100</v>
          </cell>
          <cell r="L791">
            <v>28463135</v>
          </cell>
          <cell r="T791">
            <v>30844638</v>
          </cell>
        </row>
        <row r="792">
          <cell r="H792">
            <v>1082</v>
          </cell>
          <cell r="J792">
            <v>305</v>
          </cell>
          <cell r="K792">
            <v>28054800</v>
          </cell>
          <cell r="L792">
            <v>20990970</v>
          </cell>
          <cell r="T792">
            <v>23670914</v>
          </cell>
        </row>
        <row r="793">
          <cell r="H793">
            <v>2264</v>
          </cell>
          <cell r="J793">
            <v>345</v>
          </cell>
          <cell r="K793">
            <v>27441230</v>
          </cell>
          <cell r="L793">
            <v>20828225</v>
          </cell>
          <cell r="T793">
            <v>48035288</v>
          </cell>
        </row>
        <row r="794">
          <cell r="H794">
            <v>1214</v>
          </cell>
          <cell r="J794">
            <v>606</v>
          </cell>
          <cell r="K794">
            <v>67243800</v>
          </cell>
          <cell r="L794">
            <v>50533053</v>
          </cell>
          <cell r="T794">
            <v>32949174</v>
          </cell>
        </row>
        <row r="795">
          <cell r="H795">
            <v>1508</v>
          </cell>
          <cell r="J795">
            <v>273</v>
          </cell>
          <cell r="K795">
            <v>25408605</v>
          </cell>
          <cell r="L795">
            <v>19064405</v>
          </cell>
          <cell r="T795">
            <v>33739992</v>
          </cell>
        </row>
        <row r="796">
          <cell r="H796">
            <v>1095</v>
          </cell>
          <cell r="J796">
            <v>147</v>
          </cell>
          <cell r="K796">
            <v>15390400</v>
          </cell>
          <cell r="L796">
            <v>11343251</v>
          </cell>
          <cell r="T796">
            <v>31354230</v>
          </cell>
        </row>
        <row r="797">
          <cell r="H797">
            <v>1118</v>
          </cell>
          <cell r="J797">
            <v>98</v>
          </cell>
          <cell r="K797">
            <v>7197900</v>
          </cell>
          <cell r="L797">
            <v>5568214</v>
          </cell>
          <cell r="T797">
            <v>20905482</v>
          </cell>
        </row>
        <row r="798">
          <cell r="H798">
            <v>548</v>
          </cell>
          <cell r="J798">
            <v>58</v>
          </cell>
          <cell r="K798">
            <v>5147100</v>
          </cell>
          <cell r="L798">
            <v>3918470</v>
          </cell>
          <cell r="T798">
            <v>10450908</v>
          </cell>
        </row>
        <row r="799">
          <cell r="H799">
            <v>768</v>
          </cell>
          <cell r="J799">
            <v>152</v>
          </cell>
          <cell r="K799">
            <v>22285400</v>
          </cell>
          <cell r="L799">
            <v>16446642</v>
          </cell>
          <cell r="T799">
            <v>30193152</v>
          </cell>
        </row>
        <row r="800">
          <cell r="H800">
            <v>1906</v>
          </cell>
          <cell r="J800">
            <v>893</v>
          </cell>
          <cell r="K800">
            <v>92870403</v>
          </cell>
          <cell r="L800">
            <v>69650610</v>
          </cell>
          <cell r="T800">
            <v>57183812</v>
          </cell>
        </row>
        <row r="801">
          <cell r="H801">
            <v>346</v>
          </cell>
          <cell r="J801">
            <v>116</v>
          </cell>
          <cell r="K801">
            <v>3416400</v>
          </cell>
          <cell r="L801">
            <v>2690008</v>
          </cell>
          <cell r="T801">
            <v>2641018</v>
          </cell>
        </row>
        <row r="802">
          <cell r="H802">
            <v>300</v>
          </cell>
          <cell r="J802">
            <v>35</v>
          </cell>
          <cell r="K802">
            <v>2614000</v>
          </cell>
          <cell r="L802">
            <v>2022328</v>
          </cell>
          <cell r="T802">
            <v>7067700</v>
          </cell>
        </row>
        <row r="803">
          <cell r="H803">
            <v>309</v>
          </cell>
          <cell r="J803">
            <v>291</v>
          </cell>
          <cell r="K803">
            <v>4178240</v>
          </cell>
          <cell r="L803">
            <v>3088037</v>
          </cell>
          <cell r="T803">
            <v>1184397</v>
          </cell>
        </row>
        <row r="804">
          <cell r="H804">
            <v>284</v>
          </cell>
          <cell r="J804">
            <v>301</v>
          </cell>
          <cell r="K804">
            <v>4320230</v>
          </cell>
          <cell r="L804">
            <v>3190933</v>
          </cell>
          <cell r="T804">
            <v>1088572</v>
          </cell>
        </row>
        <row r="805">
          <cell r="H805">
            <v>1365</v>
          </cell>
          <cell r="J805">
            <v>608</v>
          </cell>
          <cell r="K805">
            <v>8725200</v>
          </cell>
          <cell r="L805">
            <v>6380640</v>
          </cell>
          <cell r="T805">
            <v>5641545</v>
          </cell>
        </row>
        <row r="806">
          <cell r="H806">
            <v>805</v>
          </cell>
          <cell r="J806">
            <v>283</v>
          </cell>
          <cell r="K806">
            <v>4055200</v>
          </cell>
          <cell r="L806">
            <v>2998512</v>
          </cell>
          <cell r="T806">
            <v>3327065</v>
          </cell>
        </row>
        <row r="807">
          <cell r="H807">
            <v>580</v>
          </cell>
          <cell r="J807">
            <v>65</v>
          </cell>
          <cell r="K807">
            <v>936000</v>
          </cell>
          <cell r="L807">
            <v>679608</v>
          </cell>
          <cell r="T807">
            <v>1858900</v>
          </cell>
        </row>
        <row r="808">
          <cell r="H808">
            <v>548</v>
          </cell>
          <cell r="J808">
            <v>126</v>
          </cell>
          <cell r="K808">
            <v>6436240</v>
          </cell>
          <cell r="L808">
            <v>4934733</v>
          </cell>
          <cell r="T808">
            <v>8292884</v>
          </cell>
        </row>
        <row r="809">
          <cell r="H809">
            <v>298</v>
          </cell>
          <cell r="J809">
            <v>145</v>
          </cell>
          <cell r="K809">
            <v>6415200</v>
          </cell>
          <cell r="L809">
            <v>5022800</v>
          </cell>
          <cell r="T809">
            <v>3019634</v>
          </cell>
        </row>
        <row r="810">
          <cell r="H810">
            <v>348</v>
          </cell>
          <cell r="J810">
            <v>48</v>
          </cell>
          <cell r="K810">
            <v>2064400</v>
          </cell>
          <cell r="L810">
            <v>1584328</v>
          </cell>
          <cell r="T810">
            <v>3526284</v>
          </cell>
        </row>
        <row r="811">
          <cell r="H811">
            <v>548</v>
          </cell>
          <cell r="J811">
            <v>77</v>
          </cell>
          <cell r="K811">
            <v>3422800</v>
          </cell>
          <cell r="L811">
            <v>2628792</v>
          </cell>
          <cell r="T811">
            <v>5717284</v>
          </cell>
        </row>
        <row r="812">
          <cell r="H812">
            <v>199</v>
          </cell>
          <cell r="J812">
            <v>25</v>
          </cell>
          <cell r="K812">
            <v>1120000</v>
          </cell>
          <cell r="L812">
            <v>864664</v>
          </cell>
          <cell r="T812">
            <v>2115967</v>
          </cell>
        </row>
        <row r="813">
          <cell r="H813">
            <v>601</v>
          </cell>
          <cell r="J813">
            <v>88</v>
          </cell>
          <cell r="K813">
            <v>4395210</v>
          </cell>
          <cell r="L813">
            <v>3446712</v>
          </cell>
          <cell r="T813">
            <v>8794433</v>
          </cell>
        </row>
        <row r="814">
          <cell r="H814">
            <v>301</v>
          </cell>
          <cell r="J814">
            <v>90</v>
          </cell>
          <cell r="K814">
            <v>4046000</v>
          </cell>
          <cell r="L814">
            <v>3120864</v>
          </cell>
          <cell r="T814">
            <v>3953033</v>
          </cell>
        </row>
        <row r="815">
          <cell r="H815">
            <v>250</v>
          </cell>
          <cell r="J815">
            <v>185</v>
          </cell>
          <cell r="K815">
            <v>9764450</v>
          </cell>
          <cell r="L815">
            <v>7565697</v>
          </cell>
          <cell r="T815">
            <v>3783250</v>
          </cell>
        </row>
        <row r="816">
          <cell r="H816">
            <v>598</v>
          </cell>
          <cell r="J816">
            <v>190</v>
          </cell>
          <cell r="K816">
            <v>9856000</v>
          </cell>
          <cell r="L816">
            <v>7880656</v>
          </cell>
          <cell r="T816">
            <v>9049534</v>
          </cell>
        </row>
        <row r="817">
          <cell r="H817">
            <v>449</v>
          </cell>
          <cell r="J817">
            <v>105</v>
          </cell>
          <cell r="K817">
            <v>5692000</v>
          </cell>
          <cell r="L817">
            <v>4347920</v>
          </cell>
          <cell r="T817">
            <v>5851817</v>
          </cell>
        </row>
        <row r="818">
          <cell r="H818">
            <v>398</v>
          </cell>
          <cell r="J818">
            <v>101</v>
          </cell>
          <cell r="K818">
            <v>5184400</v>
          </cell>
          <cell r="L818">
            <v>4101488</v>
          </cell>
          <cell r="T818">
            <v>6341334</v>
          </cell>
        </row>
        <row r="819">
          <cell r="H819">
            <v>198</v>
          </cell>
          <cell r="J819">
            <v>152</v>
          </cell>
          <cell r="K819">
            <v>5576400</v>
          </cell>
          <cell r="L819">
            <v>4269504</v>
          </cell>
          <cell r="T819">
            <v>2006334</v>
          </cell>
        </row>
        <row r="820">
          <cell r="H820">
            <v>498</v>
          </cell>
          <cell r="J820">
            <v>45</v>
          </cell>
          <cell r="K820">
            <v>2388000</v>
          </cell>
          <cell r="L820">
            <v>1838176</v>
          </cell>
          <cell r="T820">
            <v>6789234</v>
          </cell>
        </row>
        <row r="821">
          <cell r="H821">
            <v>500</v>
          </cell>
          <cell r="J821">
            <v>53</v>
          </cell>
          <cell r="K821">
            <v>2389200</v>
          </cell>
          <cell r="L821">
            <v>1828624</v>
          </cell>
          <cell r="T821">
            <v>5316500</v>
          </cell>
        </row>
        <row r="822">
          <cell r="H822">
            <v>700</v>
          </cell>
          <cell r="J822">
            <v>96</v>
          </cell>
          <cell r="K822">
            <v>5062400</v>
          </cell>
          <cell r="L822">
            <v>3913264</v>
          </cell>
          <cell r="T822">
            <v>9193100</v>
          </cell>
        </row>
        <row r="823">
          <cell r="H823">
            <v>348</v>
          </cell>
          <cell r="J823">
            <v>145</v>
          </cell>
          <cell r="K823">
            <v>7628000</v>
          </cell>
          <cell r="L823">
            <v>5985904</v>
          </cell>
          <cell r="T823">
            <v>4567500</v>
          </cell>
        </row>
        <row r="824">
          <cell r="H824">
            <v>448</v>
          </cell>
          <cell r="J824">
            <v>83</v>
          </cell>
          <cell r="K824">
            <v>4445200</v>
          </cell>
          <cell r="L824">
            <v>3431552</v>
          </cell>
          <cell r="T824">
            <v>6107584</v>
          </cell>
        </row>
        <row r="825">
          <cell r="H825">
            <v>498</v>
          </cell>
          <cell r="J825">
            <v>210</v>
          </cell>
          <cell r="K825">
            <v>11080800</v>
          </cell>
          <cell r="L825">
            <v>8614308</v>
          </cell>
          <cell r="T825">
            <v>7536234</v>
          </cell>
        </row>
        <row r="826">
          <cell r="H826">
            <v>448</v>
          </cell>
          <cell r="J826">
            <v>101</v>
          </cell>
          <cell r="K826">
            <v>5344400</v>
          </cell>
          <cell r="L826">
            <v>4162144</v>
          </cell>
          <cell r="T826">
            <v>6779584</v>
          </cell>
        </row>
        <row r="827">
          <cell r="H827">
            <v>3101</v>
          </cell>
          <cell r="J827">
            <v>637</v>
          </cell>
          <cell r="K827">
            <v>25686740</v>
          </cell>
          <cell r="L827">
            <v>20462692</v>
          </cell>
          <cell r="T827">
            <v>42412377</v>
          </cell>
        </row>
        <row r="828">
          <cell r="H828">
            <v>463</v>
          </cell>
          <cell r="J828">
            <v>28</v>
          </cell>
          <cell r="K828">
            <v>1385100</v>
          </cell>
          <cell r="L828">
            <v>1038859</v>
          </cell>
          <cell r="T828">
            <v>7318641</v>
          </cell>
        </row>
        <row r="829">
          <cell r="H829">
            <v>511</v>
          </cell>
          <cell r="J829">
            <v>167</v>
          </cell>
          <cell r="K829">
            <v>12122900</v>
          </cell>
          <cell r="L829">
            <v>9010148</v>
          </cell>
          <cell r="T829">
            <v>6931204</v>
          </cell>
        </row>
        <row r="830">
          <cell r="H830">
            <v>836</v>
          </cell>
          <cell r="J830">
            <v>109</v>
          </cell>
          <cell r="K830">
            <v>5822175</v>
          </cell>
          <cell r="L830">
            <v>4502363</v>
          </cell>
          <cell r="T830">
            <v>12796652</v>
          </cell>
        </row>
        <row r="831">
          <cell r="H831">
            <v>667</v>
          </cell>
          <cell r="J831">
            <v>77</v>
          </cell>
          <cell r="K831">
            <v>5367600</v>
          </cell>
          <cell r="L831">
            <v>4155056</v>
          </cell>
          <cell r="T831">
            <v>12877769</v>
          </cell>
        </row>
        <row r="832">
          <cell r="H832">
            <v>693</v>
          </cell>
          <cell r="J832">
            <v>88</v>
          </cell>
          <cell r="K832">
            <v>10666400</v>
          </cell>
          <cell r="L832">
            <v>8052460</v>
          </cell>
          <cell r="T832">
            <v>25919586</v>
          </cell>
        </row>
        <row r="833">
          <cell r="H833">
            <v>552</v>
          </cell>
          <cell r="J833">
            <v>91</v>
          </cell>
          <cell r="K833">
            <v>13976300</v>
          </cell>
          <cell r="L833">
            <v>10151323</v>
          </cell>
          <cell r="T833">
            <v>20048088</v>
          </cell>
        </row>
        <row r="834">
          <cell r="H834">
            <v>850</v>
          </cell>
          <cell r="J834">
            <v>282</v>
          </cell>
          <cell r="K834">
            <v>60637200</v>
          </cell>
          <cell r="L834">
            <v>45098802</v>
          </cell>
          <cell r="T834">
            <v>45584650</v>
          </cell>
        </row>
        <row r="835">
          <cell r="H835">
            <v>864</v>
          </cell>
          <cell r="J835">
            <v>169</v>
          </cell>
          <cell r="K835">
            <v>15769300</v>
          </cell>
          <cell r="L835">
            <v>11686059</v>
          </cell>
          <cell r="T835">
            <v>18069696</v>
          </cell>
        </row>
        <row r="836">
          <cell r="H836">
            <v>805</v>
          </cell>
          <cell r="J836">
            <v>255</v>
          </cell>
          <cell r="K836">
            <v>23628920</v>
          </cell>
          <cell r="L836">
            <v>17586932</v>
          </cell>
          <cell r="T836">
            <v>16867165</v>
          </cell>
        </row>
        <row r="837">
          <cell r="H837">
            <v>880</v>
          </cell>
          <cell r="J837">
            <v>56</v>
          </cell>
          <cell r="K837">
            <v>4635700</v>
          </cell>
          <cell r="L837">
            <v>3474528</v>
          </cell>
          <cell r="T837">
            <v>15742320</v>
          </cell>
        </row>
        <row r="838">
          <cell r="H838">
            <v>600</v>
          </cell>
          <cell r="J838">
            <v>91</v>
          </cell>
          <cell r="K838">
            <v>10890400</v>
          </cell>
          <cell r="L838">
            <v>8121847</v>
          </cell>
          <cell r="T838">
            <v>20536800</v>
          </cell>
        </row>
        <row r="839">
          <cell r="H839">
            <v>11567</v>
          </cell>
          <cell r="J839">
            <v>1951</v>
          </cell>
          <cell r="K839">
            <v>55416849</v>
          </cell>
          <cell r="L839">
            <v>39337334</v>
          </cell>
          <cell r="T839">
            <v>129353761</v>
          </cell>
        </row>
        <row r="840">
          <cell r="H840">
            <v>11567</v>
          </cell>
          <cell r="J840">
            <v>1372</v>
          </cell>
          <cell r="K840">
            <v>39374219</v>
          </cell>
          <cell r="L840">
            <v>26001865</v>
          </cell>
          <cell r="T840">
            <v>129353761</v>
          </cell>
        </row>
        <row r="841">
          <cell r="H841">
            <v>11567</v>
          </cell>
          <cell r="J841">
            <v>1471</v>
          </cell>
          <cell r="K841">
            <v>43939091</v>
          </cell>
          <cell r="L841">
            <v>30516441</v>
          </cell>
          <cell r="T841">
            <v>129353761</v>
          </cell>
        </row>
        <row r="842">
          <cell r="H842">
            <v>5230</v>
          </cell>
          <cell r="J842">
            <v>710</v>
          </cell>
          <cell r="K842">
            <v>20670387</v>
          </cell>
          <cell r="L842">
            <v>14375273</v>
          </cell>
          <cell r="T842">
            <v>49303210</v>
          </cell>
        </row>
        <row r="843">
          <cell r="H843">
            <v>5267</v>
          </cell>
          <cell r="J843">
            <v>710</v>
          </cell>
          <cell r="K843">
            <v>20670387</v>
          </cell>
          <cell r="L843">
            <v>14375273</v>
          </cell>
          <cell r="T843">
            <v>49652009</v>
          </cell>
        </row>
        <row r="844">
          <cell r="H844">
            <v>5278</v>
          </cell>
          <cell r="J844">
            <v>710</v>
          </cell>
          <cell r="K844">
            <v>20687472</v>
          </cell>
          <cell r="L844">
            <v>14211121</v>
          </cell>
          <cell r="T844">
            <v>49755706</v>
          </cell>
        </row>
        <row r="845">
          <cell r="H845">
            <v>3068</v>
          </cell>
          <cell r="J845">
            <v>911</v>
          </cell>
          <cell r="K845">
            <v>33144800</v>
          </cell>
          <cell r="L845">
            <v>25004031</v>
          </cell>
          <cell r="T845">
            <v>28029248</v>
          </cell>
        </row>
        <row r="846">
          <cell r="H846">
            <v>405</v>
          </cell>
          <cell r="J846">
            <v>97</v>
          </cell>
          <cell r="K846">
            <v>6229700</v>
          </cell>
          <cell r="L846">
            <v>4816787</v>
          </cell>
          <cell r="T846">
            <v>5762745</v>
          </cell>
        </row>
        <row r="847">
          <cell r="H847">
            <v>423</v>
          </cell>
          <cell r="J847">
            <v>37</v>
          </cell>
          <cell r="K847">
            <v>2329200</v>
          </cell>
          <cell r="L847">
            <v>1819610</v>
          </cell>
          <cell r="T847">
            <v>6634755</v>
          </cell>
        </row>
        <row r="848">
          <cell r="H848">
            <v>800</v>
          </cell>
          <cell r="J848">
            <v>637</v>
          </cell>
          <cell r="K848">
            <v>29871300</v>
          </cell>
          <cell r="L848">
            <v>22682492</v>
          </cell>
          <cell r="T848">
            <v>8348800</v>
          </cell>
        </row>
        <row r="849">
          <cell r="H849">
            <v>1759</v>
          </cell>
          <cell r="J849">
            <v>402</v>
          </cell>
          <cell r="K849">
            <v>33170500</v>
          </cell>
          <cell r="L849">
            <v>25406660</v>
          </cell>
          <cell r="T849">
            <v>35714736</v>
          </cell>
        </row>
        <row r="850">
          <cell r="H850">
            <v>1397</v>
          </cell>
          <cell r="J850">
            <v>175</v>
          </cell>
          <cell r="K850">
            <v>16019400</v>
          </cell>
          <cell r="L850">
            <v>12265973</v>
          </cell>
          <cell r="T850">
            <v>25049607</v>
          </cell>
        </row>
        <row r="851">
          <cell r="H851">
            <v>1067</v>
          </cell>
          <cell r="J851">
            <v>91</v>
          </cell>
          <cell r="K851">
            <v>7406500</v>
          </cell>
          <cell r="L851">
            <v>5583491</v>
          </cell>
          <cell r="T851">
            <v>16249343</v>
          </cell>
        </row>
        <row r="852">
          <cell r="H852">
            <v>1223</v>
          </cell>
          <cell r="J852">
            <v>234</v>
          </cell>
          <cell r="K852">
            <v>15368950</v>
          </cell>
          <cell r="L852">
            <v>11495155</v>
          </cell>
          <cell r="T852">
            <v>20711505</v>
          </cell>
        </row>
        <row r="853">
          <cell r="H853">
            <v>459</v>
          </cell>
          <cell r="J853">
            <v>95</v>
          </cell>
          <cell r="K853">
            <v>8833880</v>
          </cell>
          <cell r="L853">
            <v>6596478</v>
          </cell>
          <cell r="T853">
            <v>9935973</v>
          </cell>
        </row>
        <row r="854">
          <cell r="H854">
            <v>1305</v>
          </cell>
          <cell r="J854">
            <v>226</v>
          </cell>
          <cell r="K854">
            <v>18642200</v>
          </cell>
          <cell r="L854">
            <v>13808136</v>
          </cell>
          <cell r="T854">
            <v>31719330</v>
          </cell>
        </row>
        <row r="855">
          <cell r="H855">
            <v>1187</v>
          </cell>
          <cell r="J855">
            <v>90</v>
          </cell>
          <cell r="K855">
            <v>7234300</v>
          </cell>
          <cell r="L855">
            <v>5420411</v>
          </cell>
          <cell r="T855">
            <v>28851222</v>
          </cell>
        </row>
        <row r="856">
          <cell r="H856">
            <v>386</v>
          </cell>
          <cell r="J856">
            <v>236</v>
          </cell>
          <cell r="K856">
            <v>26565500</v>
          </cell>
          <cell r="L856">
            <v>19745968</v>
          </cell>
          <cell r="T856">
            <v>14818926</v>
          </cell>
        </row>
        <row r="857">
          <cell r="H857">
            <v>913</v>
          </cell>
          <cell r="J857">
            <v>128</v>
          </cell>
          <cell r="K857">
            <v>11456400</v>
          </cell>
          <cell r="L857">
            <v>8564608</v>
          </cell>
          <cell r="T857">
            <v>23702393</v>
          </cell>
        </row>
        <row r="858">
          <cell r="H858">
            <v>446</v>
          </cell>
          <cell r="J858">
            <v>47</v>
          </cell>
          <cell r="K858">
            <v>5166600</v>
          </cell>
          <cell r="L858">
            <v>3785241</v>
          </cell>
          <cell r="T858">
            <v>14569482</v>
          </cell>
        </row>
        <row r="859">
          <cell r="H859">
            <v>689</v>
          </cell>
          <cell r="J859">
            <v>84</v>
          </cell>
          <cell r="K859">
            <v>7667500</v>
          </cell>
          <cell r="L859">
            <v>5718833</v>
          </cell>
          <cell r="T859">
            <v>16953534</v>
          </cell>
        </row>
        <row r="860">
          <cell r="H860">
            <v>905</v>
          </cell>
          <cell r="J860">
            <v>103</v>
          </cell>
          <cell r="K860">
            <v>7191600</v>
          </cell>
          <cell r="L860">
            <v>5325032</v>
          </cell>
          <cell r="T860">
            <v>19401390</v>
          </cell>
        </row>
        <row r="861">
          <cell r="H861">
            <v>998</v>
          </cell>
          <cell r="J861">
            <v>92</v>
          </cell>
          <cell r="K861">
            <v>8519760</v>
          </cell>
          <cell r="L861">
            <v>6336782</v>
          </cell>
          <cell r="T861">
            <v>25255388</v>
          </cell>
        </row>
        <row r="862">
          <cell r="H862">
            <v>1656</v>
          </cell>
          <cell r="J862">
            <v>229</v>
          </cell>
          <cell r="K862">
            <v>21096200</v>
          </cell>
          <cell r="L862">
            <v>15782173</v>
          </cell>
          <cell r="T862">
            <v>38965680</v>
          </cell>
        </row>
        <row r="863">
          <cell r="H863">
            <v>767</v>
          </cell>
          <cell r="J863">
            <v>67</v>
          </cell>
          <cell r="K863">
            <v>7657800</v>
          </cell>
          <cell r="L863">
            <v>5731610</v>
          </cell>
          <cell r="T863">
            <v>21710702</v>
          </cell>
        </row>
        <row r="864">
          <cell r="H864">
            <v>383</v>
          </cell>
          <cell r="J864">
            <v>137</v>
          </cell>
          <cell r="K864">
            <v>16942500</v>
          </cell>
          <cell r="L864">
            <v>12598205</v>
          </cell>
          <cell r="T864">
            <v>14703753</v>
          </cell>
        </row>
        <row r="865">
          <cell r="H865">
            <v>608</v>
          </cell>
          <cell r="J865">
            <v>119</v>
          </cell>
          <cell r="K865">
            <v>22207700</v>
          </cell>
          <cell r="L865">
            <v>16557895</v>
          </cell>
          <cell r="T865">
            <v>31488928</v>
          </cell>
        </row>
        <row r="866">
          <cell r="H866">
            <v>915</v>
          </cell>
          <cell r="J866">
            <v>31</v>
          </cell>
          <cell r="K866">
            <v>2505500</v>
          </cell>
          <cell r="L866">
            <v>1886298</v>
          </cell>
          <cell r="T866">
            <v>22745985</v>
          </cell>
        </row>
        <row r="867">
          <cell r="H867">
            <v>842</v>
          </cell>
          <cell r="J867">
            <v>72</v>
          </cell>
          <cell r="K867">
            <v>10220000</v>
          </cell>
          <cell r="L867">
            <v>7635294</v>
          </cell>
          <cell r="T867">
            <v>28681046</v>
          </cell>
        </row>
        <row r="868">
          <cell r="H868">
            <v>1587</v>
          </cell>
          <cell r="J868">
            <v>344</v>
          </cell>
          <cell r="K868">
            <v>39314030</v>
          </cell>
          <cell r="L868">
            <v>29403647</v>
          </cell>
          <cell r="T868">
            <v>51439431</v>
          </cell>
        </row>
        <row r="869">
          <cell r="H869">
            <v>1827</v>
          </cell>
          <cell r="J869">
            <v>565</v>
          </cell>
          <cell r="K869">
            <v>31076530</v>
          </cell>
          <cell r="L869">
            <v>23679336</v>
          </cell>
          <cell r="T869">
            <v>28298403</v>
          </cell>
        </row>
        <row r="870">
          <cell r="H870">
            <v>1294</v>
          </cell>
          <cell r="J870">
            <v>31</v>
          </cell>
          <cell r="K870">
            <v>2371100</v>
          </cell>
          <cell r="L870">
            <v>1813640</v>
          </cell>
          <cell r="T870">
            <v>21121962</v>
          </cell>
        </row>
        <row r="871">
          <cell r="H871">
            <v>872</v>
          </cell>
          <cell r="J871">
            <v>336</v>
          </cell>
          <cell r="K871">
            <v>30459100</v>
          </cell>
          <cell r="L871">
            <v>22767851</v>
          </cell>
          <cell r="T871">
            <v>27112224</v>
          </cell>
        </row>
        <row r="872">
          <cell r="H872">
            <v>954</v>
          </cell>
          <cell r="J872">
            <v>135</v>
          </cell>
          <cell r="K872">
            <v>10054000</v>
          </cell>
          <cell r="L872">
            <v>7641981</v>
          </cell>
          <cell r="T872">
            <v>16049142</v>
          </cell>
        </row>
        <row r="873">
          <cell r="H873">
            <v>471</v>
          </cell>
          <cell r="J873">
            <v>17</v>
          </cell>
          <cell r="K873">
            <v>1285200</v>
          </cell>
          <cell r="L873">
            <v>991633</v>
          </cell>
          <cell r="T873">
            <v>8159133</v>
          </cell>
        </row>
        <row r="874">
          <cell r="H874">
            <v>614</v>
          </cell>
          <cell r="J874">
            <v>346</v>
          </cell>
          <cell r="K874">
            <v>32569900</v>
          </cell>
          <cell r="L874">
            <v>24258515</v>
          </cell>
          <cell r="T874">
            <v>11845902</v>
          </cell>
        </row>
        <row r="875">
          <cell r="H875">
            <v>698</v>
          </cell>
          <cell r="J875">
            <v>44</v>
          </cell>
          <cell r="K875">
            <v>3846500</v>
          </cell>
          <cell r="L875">
            <v>2779768</v>
          </cell>
          <cell r="T875">
            <v>14164514</v>
          </cell>
        </row>
        <row r="876">
          <cell r="H876">
            <v>2891</v>
          </cell>
          <cell r="J876">
            <v>208</v>
          </cell>
          <cell r="K876">
            <v>15380900</v>
          </cell>
          <cell r="L876">
            <v>11696108</v>
          </cell>
          <cell r="T876">
            <v>47189793</v>
          </cell>
        </row>
        <row r="877">
          <cell r="H877">
            <v>1559</v>
          </cell>
          <cell r="J877">
            <v>574</v>
          </cell>
          <cell r="K877">
            <v>69362903</v>
          </cell>
          <cell r="L877">
            <v>51842299</v>
          </cell>
          <cell r="T877">
            <v>37802632</v>
          </cell>
        </row>
        <row r="878">
          <cell r="H878">
            <v>1626</v>
          </cell>
          <cell r="J878">
            <v>255</v>
          </cell>
          <cell r="K878">
            <v>23618100</v>
          </cell>
          <cell r="L878">
            <v>17658214</v>
          </cell>
          <cell r="T878">
            <v>34710222</v>
          </cell>
        </row>
        <row r="879">
          <cell r="H879">
            <v>1756</v>
          </cell>
          <cell r="J879">
            <v>296</v>
          </cell>
          <cell r="K879">
            <v>27707600</v>
          </cell>
          <cell r="L879">
            <v>20752578</v>
          </cell>
          <cell r="T879">
            <v>32791544</v>
          </cell>
        </row>
        <row r="880">
          <cell r="H880">
            <v>723</v>
          </cell>
          <cell r="J880">
            <v>121</v>
          </cell>
          <cell r="K880">
            <v>13362680</v>
          </cell>
          <cell r="L880">
            <v>10129918</v>
          </cell>
          <cell r="T880">
            <v>21217881</v>
          </cell>
        </row>
        <row r="881">
          <cell r="H881">
            <v>751</v>
          </cell>
          <cell r="J881">
            <v>113</v>
          </cell>
          <cell r="K881">
            <v>10213200</v>
          </cell>
          <cell r="L881">
            <v>7873718</v>
          </cell>
          <cell r="T881">
            <v>13456418</v>
          </cell>
        </row>
        <row r="882">
          <cell r="H882">
            <v>996</v>
          </cell>
          <cell r="J882">
            <v>213</v>
          </cell>
          <cell r="K882">
            <v>18254300</v>
          </cell>
          <cell r="L882">
            <v>13708092</v>
          </cell>
          <cell r="T882">
            <v>20205852</v>
          </cell>
        </row>
        <row r="883">
          <cell r="H883">
            <v>387</v>
          </cell>
          <cell r="J883">
            <v>125</v>
          </cell>
          <cell r="K883">
            <v>11917200</v>
          </cell>
          <cell r="L883">
            <v>9022712</v>
          </cell>
          <cell r="T883">
            <v>8508969</v>
          </cell>
        </row>
        <row r="884">
          <cell r="H884">
            <v>397</v>
          </cell>
          <cell r="J884">
            <v>240</v>
          </cell>
          <cell r="K884">
            <v>27350400</v>
          </cell>
          <cell r="L884">
            <v>20328116</v>
          </cell>
          <cell r="T884">
            <v>12619439</v>
          </cell>
        </row>
        <row r="885">
          <cell r="H885">
            <v>422</v>
          </cell>
          <cell r="J885">
            <v>109</v>
          </cell>
          <cell r="K885">
            <v>10988800</v>
          </cell>
          <cell r="L885">
            <v>8369783</v>
          </cell>
          <cell r="T885">
            <v>10460114</v>
          </cell>
        </row>
        <row r="886">
          <cell r="H886">
            <v>393</v>
          </cell>
          <cell r="J886">
            <v>143</v>
          </cell>
          <cell r="K886">
            <v>14438700</v>
          </cell>
          <cell r="L886">
            <v>11037667</v>
          </cell>
          <cell r="T886">
            <v>11330583</v>
          </cell>
        </row>
        <row r="887">
          <cell r="H887">
            <v>495</v>
          </cell>
          <cell r="J887">
            <v>113</v>
          </cell>
          <cell r="K887">
            <v>11322300</v>
          </cell>
          <cell r="L887">
            <v>8366295</v>
          </cell>
          <cell r="T887">
            <v>15496965</v>
          </cell>
        </row>
        <row r="888">
          <cell r="H888">
            <v>1068</v>
          </cell>
          <cell r="J888">
            <v>385</v>
          </cell>
          <cell r="K888">
            <v>38622700</v>
          </cell>
          <cell r="L888">
            <v>29200882</v>
          </cell>
          <cell r="T888">
            <v>28095876</v>
          </cell>
        </row>
        <row r="889">
          <cell r="H889">
            <v>878</v>
          </cell>
          <cell r="J889">
            <v>783</v>
          </cell>
          <cell r="K889">
            <v>144358920</v>
          </cell>
          <cell r="L889">
            <v>108555579</v>
          </cell>
          <cell r="T889">
            <v>38737360</v>
          </cell>
        </row>
        <row r="890">
          <cell r="H890">
            <v>1799</v>
          </cell>
          <cell r="J890">
            <v>402</v>
          </cell>
          <cell r="K890">
            <v>81365070</v>
          </cell>
          <cell r="L890">
            <v>63825298</v>
          </cell>
          <cell r="T890">
            <v>101920546</v>
          </cell>
        </row>
        <row r="891">
          <cell r="H891">
            <v>1197</v>
          </cell>
          <cell r="J891">
            <v>179</v>
          </cell>
          <cell r="K891">
            <v>56828580</v>
          </cell>
          <cell r="L891">
            <v>42003652</v>
          </cell>
          <cell r="T891">
            <v>102994668</v>
          </cell>
        </row>
        <row r="892">
          <cell r="H892">
            <v>1743</v>
          </cell>
          <cell r="J892">
            <v>324</v>
          </cell>
          <cell r="K892">
            <v>107996800</v>
          </cell>
          <cell r="L892">
            <v>80398540</v>
          </cell>
          <cell r="T892">
            <v>163327815</v>
          </cell>
        </row>
        <row r="893">
          <cell r="H893">
            <v>940</v>
          </cell>
          <cell r="J893">
            <v>235</v>
          </cell>
          <cell r="K893">
            <v>76322900</v>
          </cell>
          <cell r="L893">
            <v>57044562</v>
          </cell>
          <cell r="T893">
            <v>81228220</v>
          </cell>
        </row>
        <row r="894">
          <cell r="H894">
            <v>444</v>
          </cell>
          <cell r="J894">
            <v>108</v>
          </cell>
          <cell r="K894">
            <v>44595500</v>
          </cell>
          <cell r="L894">
            <v>33371252</v>
          </cell>
          <cell r="T894">
            <v>52299204</v>
          </cell>
        </row>
        <row r="895">
          <cell r="H895">
            <v>265</v>
          </cell>
          <cell r="J895">
            <v>68</v>
          </cell>
          <cell r="K895">
            <v>6246600</v>
          </cell>
          <cell r="L895">
            <v>4731260</v>
          </cell>
          <cell r="T895">
            <v>6043590</v>
          </cell>
        </row>
        <row r="896">
          <cell r="H896">
            <v>863</v>
          </cell>
          <cell r="J896">
            <v>145</v>
          </cell>
          <cell r="K896">
            <v>24285600</v>
          </cell>
          <cell r="L896">
            <v>18045169</v>
          </cell>
          <cell r="T896">
            <v>34235210</v>
          </cell>
        </row>
        <row r="897">
          <cell r="H897">
            <v>1611</v>
          </cell>
          <cell r="J897">
            <v>257</v>
          </cell>
          <cell r="K897">
            <v>47487000</v>
          </cell>
          <cell r="L897">
            <v>35059185</v>
          </cell>
          <cell r="T897">
            <v>73978731</v>
          </cell>
        </row>
        <row r="898">
          <cell r="H898">
            <v>2368</v>
          </cell>
          <cell r="J898">
            <v>601</v>
          </cell>
          <cell r="K898">
            <v>101828639</v>
          </cell>
          <cell r="L898">
            <v>75966491</v>
          </cell>
          <cell r="T898">
            <v>115181888</v>
          </cell>
        </row>
        <row r="899">
          <cell r="H899">
            <v>1210</v>
          </cell>
          <cell r="J899">
            <v>550</v>
          </cell>
          <cell r="K899">
            <v>180664030</v>
          </cell>
          <cell r="L899">
            <v>134503834</v>
          </cell>
          <cell r="T899">
            <v>112154900</v>
          </cell>
        </row>
        <row r="900">
          <cell r="H900">
            <v>638</v>
          </cell>
          <cell r="J900">
            <v>35</v>
          </cell>
          <cell r="K900">
            <v>10551400</v>
          </cell>
          <cell r="L900">
            <v>7862185</v>
          </cell>
          <cell r="T900">
            <v>54272108</v>
          </cell>
        </row>
        <row r="901">
          <cell r="H901">
            <v>1031</v>
          </cell>
          <cell r="J901">
            <v>155</v>
          </cell>
          <cell r="K901">
            <v>28597100</v>
          </cell>
          <cell r="L901">
            <v>21359005</v>
          </cell>
          <cell r="T901">
            <v>56557567</v>
          </cell>
        </row>
        <row r="902">
          <cell r="H902">
            <v>750</v>
          </cell>
          <cell r="J902">
            <v>95</v>
          </cell>
          <cell r="K902">
            <v>13046700</v>
          </cell>
          <cell r="L902">
            <v>9874007</v>
          </cell>
          <cell r="T902">
            <v>26111250</v>
          </cell>
        </row>
        <row r="903">
          <cell r="H903">
            <v>2687</v>
          </cell>
          <cell r="J903">
            <v>552</v>
          </cell>
          <cell r="K903">
            <v>51849842</v>
          </cell>
          <cell r="L903">
            <v>38764900</v>
          </cell>
          <cell r="T903">
            <v>77369478</v>
          </cell>
        </row>
        <row r="905">
          <cell r="H905">
            <v>2572</v>
          </cell>
          <cell r="J905">
            <v>1788</v>
          </cell>
          <cell r="K905">
            <v>68065550</v>
          </cell>
          <cell r="L905">
            <v>52257797</v>
          </cell>
          <cell r="T905">
            <v>31445272</v>
          </cell>
        </row>
        <row r="906">
          <cell r="H906">
            <v>941</v>
          </cell>
          <cell r="J906">
            <v>601</v>
          </cell>
          <cell r="K906">
            <v>39992250</v>
          </cell>
          <cell r="L906">
            <v>30923316</v>
          </cell>
          <cell r="T906">
            <v>15990413</v>
          </cell>
        </row>
        <row r="907">
          <cell r="H907">
            <v>256</v>
          </cell>
          <cell r="J907">
            <v>49</v>
          </cell>
          <cell r="K907">
            <v>4110900</v>
          </cell>
          <cell r="L907">
            <v>3229721</v>
          </cell>
          <cell r="T907">
            <v>4903168</v>
          </cell>
        </row>
        <row r="908">
          <cell r="H908">
            <v>699</v>
          </cell>
          <cell r="J908">
            <v>439</v>
          </cell>
          <cell r="K908">
            <v>29290600</v>
          </cell>
          <cell r="L908">
            <v>22798497</v>
          </cell>
          <cell r="T908">
            <v>11887194</v>
          </cell>
        </row>
        <row r="909">
          <cell r="H909">
            <v>1212</v>
          </cell>
          <cell r="J909">
            <v>912</v>
          </cell>
          <cell r="K909">
            <v>86957500</v>
          </cell>
          <cell r="L909">
            <v>66394053</v>
          </cell>
          <cell r="T909">
            <v>30330300</v>
          </cell>
        </row>
        <row r="910">
          <cell r="H910">
            <v>794</v>
          </cell>
          <cell r="J910">
            <v>175</v>
          </cell>
          <cell r="K910">
            <v>12672300</v>
          </cell>
          <cell r="L910">
            <v>10148419</v>
          </cell>
          <cell r="T910">
            <v>15956224</v>
          </cell>
        </row>
        <row r="911">
          <cell r="H911">
            <v>1095</v>
          </cell>
          <cell r="J911">
            <v>380</v>
          </cell>
          <cell r="K911">
            <v>28623600</v>
          </cell>
          <cell r="L911">
            <v>21705764</v>
          </cell>
          <cell r="T911">
            <v>18849330</v>
          </cell>
        </row>
        <row r="912">
          <cell r="H912">
            <v>830</v>
          </cell>
          <cell r="J912">
            <v>250</v>
          </cell>
          <cell r="K912">
            <v>17730900</v>
          </cell>
          <cell r="L912">
            <v>14551761</v>
          </cell>
          <cell r="T912">
            <v>15893670</v>
          </cell>
        </row>
        <row r="913">
          <cell r="H913">
            <v>1177</v>
          </cell>
          <cell r="J913">
            <v>461</v>
          </cell>
          <cell r="K913">
            <v>35178700</v>
          </cell>
          <cell r="L913">
            <v>27447365</v>
          </cell>
          <cell r="T913">
            <v>18606016</v>
          </cell>
        </row>
        <row r="914">
          <cell r="H914">
            <v>586</v>
          </cell>
          <cell r="J914">
            <v>176</v>
          </cell>
          <cell r="K914">
            <v>8405800</v>
          </cell>
          <cell r="L914">
            <v>6379751</v>
          </cell>
          <cell r="T914">
            <v>7123416</v>
          </cell>
        </row>
        <row r="915">
          <cell r="H915">
            <v>1124</v>
          </cell>
          <cell r="J915">
            <v>988</v>
          </cell>
          <cell r="K915">
            <v>66618800</v>
          </cell>
          <cell r="L915">
            <v>50567168</v>
          </cell>
          <cell r="T915">
            <v>18774172</v>
          </cell>
        </row>
        <row r="916">
          <cell r="H916">
            <v>922</v>
          </cell>
          <cell r="J916">
            <v>435</v>
          </cell>
          <cell r="K916">
            <v>35109750</v>
          </cell>
          <cell r="L916">
            <v>28638109</v>
          </cell>
          <cell r="T916">
            <v>21396854</v>
          </cell>
        </row>
        <row r="917">
          <cell r="H917">
            <v>948</v>
          </cell>
          <cell r="J917">
            <v>550</v>
          </cell>
          <cell r="K917">
            <v>45949995</v>
          </cell>
          <cell r="L917">
            <v>35770146</v>
          </cell>
          <cell r="T917">
            <v>22430628</v>
          </cell>
        </row>
        <row r="918">
          <cell r="H918">
            <v>801</v>
          </cell>
          <cell r="J918">
            <v>209</v>
          </cell>
          <cell r="K918">
            <v>18225900</v>
          </cell>
          <cell r="L918">
            <v>15111756</v>
          </cell>
          <cell r="T918">
            <v>19238418</v>
          </cell>
        </row>
        <row r="919">
          <cell r="H919">
            <v>1013</v>
          </cell>
          <cell r="J919">
            <v>809</v>
          </cell>
          <cell r="K919">
            <v>53578400</v>
          </cell>
          <cell r="L919">
            <v>41386181</v>
          </cell>
          <cell r="T919">
            <v>13196351</v>
          </cell>
        </row>
        <row r="920">
          <cell r="H920">
            <v>2040</v>
          </cell>
          <cell r="J920">
            <v>1189</v>
          </cell>
          <cell r="K920">
            <v>55157150</v>
          </cell>
          <cell r="L920">
            <v>42409500</v>
          </cell>
          <cell r="T920">
            <v>21165000</v>
          </cell>
        </row>
        <row r="921">
          <cell r="H921">
            <v>846</v>
          </cell>
          <cell r="J921">
            <v>531</v>
          </cell>
          <cell r="K921">
            <v>39723100</v>
          </cell>
          <cell r="L921">
            <v>30738466</v>
          </cell>
          <cell r="T921">
            <v>18390348</v>
          </cell>
        </row>
        <row r="922">
          <cell r="H922">
            <v>3967</v>
          </cell>
          <cell r="J922">
            <v>2196</v>
          </cell>
          <cell r="K922">
            <v>80798570</v>
          </cell>
          <cell r="L922">
            <v>68262718</v>
          </cell>
          <cell r="T922">
            <v>55248409</v>
          </cell>
        </row>
        <row r="923">
          <cell r="H923">
            <v>1761</v>
          </cell>
          <cell r="J923">
            <v>1265</v>
          </cell>
          <cell r="K923">
            <v>54664750</v>
          </cell>
          <cell r="L923">
            <v>45126632</v>
          </cell>
          <cell r="T923">
            <v>23997147</v>
          </cell>
        </row>
        <row r="924">
          <cell r="H924">
            <v>1222</v>
          </cell>
          <cell r="J924">
            <v>673</v>
          </cell>
          <cell r="K924">
            <v>55647900</v>
          </cell>
          <cell r="L924">
            <v>43603993</v>
          </cell>
          <cell r="T924">
            <v>27696630</v>
          </cell>
        </row>
        <row r="925">
          <cell r="H925">
            <v>1561</v>
          </cell>
          <cell r="J925">
            <v>933</v>
          </cell>
          <cell r="K925">
            <v>78178365</v>
          </cell>
          <cell r="L925">
            <v>60952366</v>
          </cell>
          <cell r="T925">
            <v>35828072</v>
          </cell>
        </row>
        <row r="926">
          <cell r="H926">
            <v>896</v>
          </cell>
          <cell r="J926">
            <v>194</v>
          </cell>
          <cell r="K926">
            <v>16501100</v>
          </cell>
          <cell r="L926">
            <v>12570391</v>
          </cell>
          <cell r="T926">
            <v>22366848</v>
          </cell>
        </row>
        <row r="927">
          <cell r="H927">
            <v>864</v>
          </cell>
          <cell r="J927">
            <v>181</v>
          </cell>
          <cell r="K927">
            <v>13781850</v>
          </cell>
          <cell r="L927">
            <v>10725593</v>
          </cell>
          <cell r="T927">
            <v>19287072</v>
          </cell>
        </row>
        <row r="928">
          <cell r="H928">
            <v>855</v>
          </cell>
          <cell r="J928">
            <v>732</v>
          </cell>
          <cell r="K928">
            <v>69080045</v>
          </cell>
          <cell r="L928">
            <v>53409574</v>
          </cell>
          <cell r="T928">
            <v>19969380</v>
          </cell>
        </row>
        <row r="929">
          <cell r="H929">
            <v>991</v>
          </cell>
          <cell r="J929">
            <v>441</v>
          </cell>
          <cell r="K929">
            <v>41811900</v>
          </cell>
          <cell r="L929">
            <v>32670058</v>
          </cell>
          <cell r="T929">
            <v>20566223</v>
          </cell>
        </row>
        <row r="930">
          <cell r="H930">
            <v>1012</v>
          </cell>
          <cell r="J930">
            <v>611</v>
          </cell>
          <cell r="K930">
            <v>79513100</v>
          </cell>
          <cell r="L930">
            <v>61517856</v>
          </cell>
          <cell r="T930">
            <v>38951880</v>
          </cell>
        </row>
        <row r="931">
          <cell r="H931">
            <v>796</v>
          </cell>
          <cell r="J931">
            <v>220</v>
          </cell>
          <cell r="K931">
            <v>20350250</v>
          </cell>
          <cell r="L931">
            <v>15853959</v>
          </cell>
          <cell r="T931">
            <v>18821420</v>
          </cell>
        </row>
        <row r="932">
          <cell r="H932">
            <v>2324</v>
          </cell>
          <cell r="J932">
            <v>1063</v>
          </cell>
          <cell r="K932">
            <v>68738390</v>
          </cell>
          <cell r="L932">
            <v>53214672</v>
          </cell>
          <cell r="T932">
            <v>47772144</v>
          </cell>
        </row>
        <row r="933">
          <cell r="H933">
            <v>1594</v>
          </cell>
          <cell r="J933">
            <v>842</v>
          </cell>
          <cell r="K933">
            <v>69446770</v>
          </cell>
          <cell r="L933">
            <v>54281857</v>
          </cell>
          <cell r="T933">
            <v>39998242</v>
          </cell>
        </row>
        <row r="934">
          <cell r="H934">
            <v>1087</v>
          </cell>
          <cell r="J934">
            <v>320</v>
          </cell>
          <cell r="K934">
            <v>29174650</v>
          </cell>
          <cell r="L934">
            <v>22782029</v>
          </cell>
          <cell r="T934">
            <v>30337083</v>
          </cell>
        </row>
        <row r="935">
          <cell r="H935">
            <v>808</v>
          </cell>
          <cell r="J935">
            <v>169</v>
          </cell>
          <cell r="K935">
            <v>12447100</v>
          </cell>
          <cell r="L935">
            <v>9667072</v>
          </cell>
          <cell r="T935">
            <v>16269888</v>
          </cell>
        </row>
        <row r="936">
          <cell r="H936">
            <v>489</v>
          </cell>
          <cell r="J936">
            <v>100</v>
          </cell>
          <cell r="K936">
            <v>7484600</v>
          </cell>
          <cell r="L936">
            <v>5681127</v>
          </cell>
          <cell r="T936">
            <v>8881218</v>
          </cell>
        </row>
        <row r="937">
          <cell r="H937">
            <v>556</v>
          </cell>
          <cell r="J937">
            <v>215</v>
          </cell>
          <cell r="K937">
            <v>17845500</v>
          </cell>
          <cell r="L937">
            <v>13905654</v>
          </cell>
          <cell r="T937">
            <v>13067668</v>
          </cell>
        </row>
        <row r="938">
          <cell r="H938">
            <v>718</v>
          </cell>
          <cell r="J938">
            <v>626</v>
          </cell>
          <cell r="K938">
            <v>46501350</v>
          </cell>
          <cell r="L938">
            <v>36362801</v>
          </cell>
          <cell r="T938">
            <v>14511498</v>
          </cell>
        </row>
        <row r="939">
          <cell r="H939">
            <v>696</v>
          </cell>
          <cell r="J939">
            <v>157</v>
          </cell>
          <cell r="K939">
            <v>12792050</v>
          </cell>
          <cell r="L939">
            <v>9833299</v>
          </cell>
          <cell r="T939">
            <v>11882112</v>
          </cell>
        </row>
        <row r="940">
          <cell r="H940">
            <v>150</v>
          </cell>
          <cell r="J940">
            <v>150</v>
          </cell>
          <cell r="K940">
            <v>12789900</v>
          </cell>
          <cell r="L940">
            <v>9934714</v>
          </cell>
          <cell r="T940">
            <v>2949450</v>
          </cell>
        </row>
        <row r="941">
          <cell r="H941">
            <v>397</v>
          </cell>
          <cell r="J941">
            <v>87</v>
          </cell>
          <cell r="K941">
            <v>7305295</v>
          </cell>
          <cell r="L941">
            <v>5607401</v>
          </cell>
          <cell r="T941">
            <v>8745116</v>
          </cell>
        </row>
        <row r="942">
          <cell r="H942">
            <v>348</v>
          </cell>
          <cell r="J942">
            <v>80</v>
          </cell>
          <cell r="K942">
            <v>10258100</v>
          </cell>
          <cell r="L942">
            <v>7983187</v>
          </cell>
          <cell r="T942">
            <v>10347432</v>
          </cell>
        </row>
        <row r="943">
          <cell r="H943">
            <v>345</v>
          </cell>
          <cell r="J943">
            <v>45</v>
          </cell>
          <cell r="K943">
            <v>5095000</v>
          </cell>
          <cell r="L943">
            <v>4272996</v>
          </cell>
          <cell r="T943">
            <v>9918750</v>
          </cell>
        </row>
        <row r="944">
          <cell r="H944">
            <v>1199</v>
          </cell>
          <cell r="J944">
            <v>221</v>
          </cell>
          <cell r="K944">
            <v>30090150</v>
          </cell>
          <cell r="L944">
            <v>23742480</v>
          </cell>
          <cell r="T944">
            <v>48949175</v>
          </cell>
        </row>
        <row r="945">
          <cell r="H945">
            <v>673</v>
          </cell>
          <cell r="J945">
            <v>116</v>
          </cell>
          <cell r="K945">
            <v>15977395</v>
          </cell>
          <cell r="L945">
            <v>12262529</v>
          </cell>
          <cell r="T945">
            <v>26116438</v>
          </cell>
        </row>
        <row r="946">
          <cell r="H946">
            <v>760</v>
          </cell>
          <cell r="J946">
            <v>157</v>
          </cell>
          <cell r="K946">
            <v>26083200</v>
          </cell>
          <cell r="L946">
            <v>19812257</v>
          </cell>
          <cell r="T946">
            <v>30332360</v>
          </cell>
        </row>
        <row r="947">
          <cell r="H947">
            <v>305</v>
          </cell>
          <cell r="J947">
            <v>71</v>
          </cell>
          <cell r="K947">
            <v>12185200</v>
          </cell>
          <cell r="L947">
            <v>9343782</v>
          </cell>
          <cell r="T947">
            <v>15276230</v>
          </cell>
        </row>
        <row r="948">
          <cell r="H948">
            <v>797</v>
          </cell>
          <cell r="J948">
            <v>223</v>
          </cell>
          <cell r="K948">
            <v>41286345</v>
          </cell>
          <cell r="L948">
            <v>31260820</v>
          </cell>
          <cell r="T948">
            <v>39005180</v>
          </cell>
        </row>
        <row r="949">
          <cell r="H949">
            <v>495</v>
          </cell>
          <cell r="J949">
            <v>160</v>
          </cell>
          <cell r="K949">
            <v>26595850</v>
          </cell>
          <cell r="L949">
            <v>19994748</v>
          </cell>
          <cell r="T949">
            <v>19893555</v>
          </cell>
        </row>
        <row r="950">
          <cell r="H950">
            <v>715</v>
          </cell>
          <cell r="J950">
            <v>202</v>
          </cell>
          <cell r="K950">
            <v>24124300</v>
          </cell>
          <cell r="L950">
            <v>18992283</v>
          </cell>
          <cell r="T950">
            <v>20318155</v>
          </cell>
        </row>
        <row r="951">
          <cell r="H951">
            <v>447</v>
          </cell>
          <cell r="J951">
            <v>250</v>
          </cell>
          <cell r="K951">
            <v>31695600</v>
          </cell>
          <cell r="L951">
            <v>24744016</v>
          </cell>
          <cell r="T951">
            <v>15921693</v>
          </cell>
        </row>
        <row r="952">
          <cell r="H952">
            <v>357</v>
          </cell>
          <cell r="J952">
            <v>216</v>
          </cell>
          <cell r="K952">
            <v>26974700</v>
          </cell>
          <cell r="L952">
            <v>20999136</v>
          </cell>
          <cell r="T952">
            <v>12663861</v>
          </cell>
        </row>
        <row r="953">
          <cell r="H953">
            <v>444</v>
          </cell>
          <cell r="J953">
            <v>128</v>
          </cell>
          <cell r="K953">
            <v>16311300</v>
          </cell>
          <cell r="L953">
            <v>13011095</v>
          </cell>
          <cell r="T953">
            <v>15048048</v>
          </cell>
        </row>
        <row r="954">
          <cell r="H954">
            <v>848</v>
          </cell>
          <cell r="J954">
            <v>523</v>
          </cell>
          <cell r="K954">
            <v>58646070</v>
          </cell>
          <cell r="L954">
            <v>45568432</v>
          </cell>
          <cell r="T954">
            <v>27893264</v>
          </cell>
        </row>
        <row r="955">
          <cell r="H955">
            <v>719</v>
          </cell>
          <cell r="J955">
            <v>157</v>
          </cell>
          <cell r="K955">
            <v>28438100</v>
          </cell>
          <cell r="L955">
            <v>21562443</v>
          </cell>
          <cell r="T955">
            <v>40640037</v>
          </cell>
        </row>
        <row r="956">
          <cell r="H956">
            <v>1072</v>
          </cell>
          <cell r="J956">
            <v>313</v>
          </cell>
          <cell r="K956">
            <v>13347900</v>
          </cell>
          <cell r="L956">
            <v>11000951</v>
          </cell>
          <cell r="T956">
            <v>7908144</v>
          </cell>
        </row>
        <row r="957">
          <cell r="H957">
            <v>384</v>
          </cell>
          <cell r="J957">
            <v>280</v>
          </cell>
          <cell r="K957">
            <v>54313150</v>
          </cell>
          <cell r="L957">
            <v>41458267</v>
          </cell>
          <cell r="T957">
            <v>17275776</v>
          </cell>
        </row>
        <row r="958">
          <cell r="H958">
            <v>283</v>
          </cell>
          <cell r="J958">
            <v>209</v>
          </cell>
          <cell r="K958">
            <v>29803000</v>
          </cell>
          <cell r="L958">
            <v>22714752</v>
          </cell>
          <cell r="T958">
            <v>8840637</v>
          </cell>
        </row>
        <row r="959">
          <cell r="H959">
            <v>956</v>
          </cell>
          <cell r="J959">
            <v>706</v>
          </cell>
          <cell r="K959">
            <v>121563545</v>
          </cell>
          <cell r="L959">
            <v>93210607</v>
          </cell>
          <cell r="T959">
            <v>45336388</v>
          </cell>
        </row>
        <row r="960">
          <cell r="H960">
            <v>397</v>
          </cell>
          <cell r="J960">
            <v>146</v>
          </cell>
          <cell r="K960">
            <v>26928900</v>
          </cell>
          <cell r="L960">
            <v>20881369</v>
          </cell>
          <cell r="T960">
            <v>22016032</v>
          </cell>
        </row>
        <row r="961">
          <cell r="H961">
            <v>509</v>
          </cell>
          <cell r="J961">
            <v>124</v>
          </cell>
          <cell r="K961">
            <v>32574200</v>
          </cell>
          <cell r="L961">
            <v>25095492</v>
          </cell>
          <cell r="T961">
            <v>35465593</v>
          </cell>
        </row>
        <row r="962">
          <cell r="H962">
            <v>418</v>
          </cell>
          <cell r="J962">
            <v>169</v>
          </cell>
          <cell r="K962">
            <v>31915250</v>
          </cell>
          <cell r="L962">
            <v>23821594</v>
          </cell>
          <cell r="T962">
            <v>20335282</v>
          </cell>
        </row>
        <row r="963">
          <cell r="H963">
            <v>1654</v>
          </cell>
          <cell r="J963">
            <v>696</v>
          </cell>
          <cell r="K963">
            <v>55759150</v>
          </cell>
          <cell r="L963">
            <v>43057682</v>
          </cell>
          <cell r="T963">
            <v>38895464</v>
          </cell>
        </row>
        <row r="964">
          <cell r="H964">
            <v>928</v>
          </cell>
          <cell r="J964">
            <v>489</v>
          </cell>
          <cell r="K964">
            <v>62019095</v>
          </cell>
          <cell r="L964">
            <v>47752936</v>
          </cell>
          <cell r="T964">
            <v>28561056</v>
          </cell>
        </row>
        <row r="965">
          <cell r="H965">
            <v>248</v>
          </cell>
          <cell r="J965">
            <v>161</v>
          </cell>
          <cell r="K965">
            <v>24915900</v>
          </cell>
          <cell r="L965">
            <v>18616038</v>
          </cell>
          <cell r="T965">
            <v>8451592</v>
          </cell>
        </row>
        <row r="966">
          <cell r="H966">
            <v>841</v>
          </cell>
          <cell r="J966">
            <v>271</v>
          </cell>
          <cell r="K966">
            <v>39554500</v>
          </cell>
          <cell r="L966">
            <v>30510581</v>
          </cell>
          <cell r="T966">
            <v>29202884</v>
          </cell>
        </row>
        <row r="967">
          <cell r="H967">
            <v>756</v>
          </cell>
          <cell r="J967">
            <v>301</v>
          </cell>
          <cell r="K967">
            <v>58191200</v>
          </cell>
          <cell r="L967">
            <v>44698783</v>
          </cell>
          <cell r="T967">
            <v>35285544</v>
          </cell>
        </row>
        <row r="968">
          <cell r="H968">
            <v>945</v>
          </cell>
          <cell r="J968">
            <v>479</v>
          </cell>
          <cell r="K968">
            <v>81336900</v>
          </cell>
          <cell r="L968">
            <v>62977660</v>
          </cell>
          <cell r="T968">
            <v>41930595</v>
          </cell>
        </row>
        <row r="969">
          <cell r="H969">
            <v>941</v>
          </cell>
          <cell r="J969">
            <v>316</v>
          </cell>
          <cell r="K969">
            <v>55941500</v>
          </cell>
          <cell r="L969">
            <v>41524335</v>
          </cell>
          <cell r="T969">
            <v>47560963</v>
          </cell>
        </row>
        <row r="970">
          <cell r="H970">
            <v>2131</v>
          </cell>
          <cell r="J970">
            <v>238</v>
          </cell>
          <cell r="K970">
            <v>46047060</v>
          </cell>
          <cell r="L970">
            <v>35323233</v>
          </cell>
          <cell r="T970">
            <v>112830057</v>
          </cell>
        </row>
        <row r="971">
          <cell r="H971">
            <v>1018</v>
          </cell>
          <cell r="J971">
            <v>166</v>
          </cell>
          <cell r="K971">
            <v>38890380</v>
          </cell>
          <cell r="L971">
            <v>29120302</v>
          </cell>
          <cell r="T971">
            <v>57417236</v>
          </cell>
        </row>
        <row r="972">
          <cell r="H972">
            <v>835</v>
          </cell>
          <cell r="J972">
            <v>81</v>
          </cell>
          <cell r="K972">
            <v>19821550</v>
          </cell>
          <cell r="L972">
            <v>15231722</v>
          </cell>
          <cell r="T972">
            <v>45862375</v>
          </cell>
        </row>
        <row r="973">
          <cell r="H973">
            <v>3459</v>
          </cell>
          <cell r="J973">
            <v>1717</v>
          </cell>
          <cell r="K973">
            <v>242648735</v>
          </cell>
          <cell r="L973">
            <v>186329366</v>
          </cell>
          <cell r="T973">
            <v>121653030</v>
          </cell>
        </row>
        <row r="974">
          <cell r="H974">
            <v>1026</v>
          </cell>
          <cell r="J974">
            <v>150</v>
          </cell>
          <cell r="K974">
            <v>44801600</v>
          </cell>
          <cell r="L974">
            <v>34063737</v>
          </cell>
          <cell r="T974">
            <v>71283402</v>
          </cell>
        </row>
        <row r="975">
          <cell r="H975">
            <v>960</v>
          </cell>
          <cell r="J975">
            <v>238</v>
          </cell>
          <cell r="K975">
            <v>49625795</v>
          </cell>
          <cell r="L975">
            <v>38181610</v>
          </cell>
          <cell r="T975">
            <v>43123200</v>
          </cell>
        </row>
        <row r="976">
          <cell r="H976">
            <v>424</v>
          </cell>
          <cell r="J976">
            <v>135</v>
          </cell>
          <cell r="K976">
            <v>74329000</v>
          </cell>
          <cell r="L976">
            <v>55572690</v>
          </cell>
          <cell r="T976">
            <v>60538720</v>
          </cell>
        </row>
        <row r="977">
          <cell r="H977">
            <v>485</v>
          </cell>
          <cell r="J977">
            <v>210</v>
          </cell>
          <cell r="K977">
            <v>78171400</v>
          </cell>
          <cell r="L977">
            <v>58634447</v>
          </cell>
          <cell r="T977">
            <v>51017150</v>
          </cell>
        </row>
        <row r="978">
          <cell r="H978">
            <v>1953</v>
          </cell>
          <cell r="J978">
            <v>1154</v>
          </cell>
          <cell r="K978">
            <v>98518950</v>
          </cell>
          <cell r="L978">
            <v>76049833</v>
          </cell>
          <cell r="T978">
            <v>44389737</v>
          </cell>
        </row>
        <row r="979">
          <cell r="H979">
            <v>742</v>
          </cell>
          <cell r="J979">
            <v>384</v>
          </cell>
          <cell r="K979">
            <v>40190000</v>
          </cell>
          <cell r="L979">
            <v>30874359</v>
          </cell>
          <cell r="T979">
            <v>21570682</v>
          </cell>
        </row>
        <row r="980">
          <cell r="H980">
            <v>708</v>
          </cell>
          <cell r="J980">
            <v>481</v>
          </cell>
          <cell r="K980">
            <v>36875100</v>
          </cell>
          <cell r="L980">
            <v>28512522</v>
          </cell>
          <cell r="T980">
            <v>10404768</v>
          </cell>
        </row>
        <row r="981">
          <cell r="H981">
            <v>1019</v>
          </cell>
          <cell r="J981">
            <v>676</v>
          </cell>
          <cell r="K981">
            <v>58226550</v>
          </cell>
          <cell r="L981">
            <v>44686544</v>
          </cell>
          <cell r="T981">
            <v>23402354</v>
          </cell>
        </row>
        <row r="982">
          <cell r="H982">
            <v>954</v>
          </cell>
          <cell r="J982">
            <v>250</v>
          </cell>
          <cell r="K982">
            <v>21261950</v>
          </cell>
          <cell r="L982">
            <v>16263415</v>
          </cell>
          <cell r="T982">
            <v>18565794</v>
          </cell>
        </row>
        <row r="983">
          <cell r="H983">
            <v>580</v>
          </cell>
          <cell r="J983">
            <v>272</v>
          </cell>
          <cell r="K983">
            <v>25970900</v>
          </cell>
          <cell r="L983">
            <v>19964538</v>
          </cell>
          <cell r="T983">
            <v>13993660</v>
          </cell>
        </row>
        <row r="984">
          <cell r="H984">
            <v>1177</v>
          </cell>
          <cell r="J984">
            <v>713</v>
          </cell>
          <cell r="K984">
            <v>81503100</v>
          </cell>
          <cell r="L984">
            <v>62651120</v>
          </cell>
          <cell r="T984">
            <v>30489008</v>
          </cell>
        </row>
        <row r="985">
          <cell r="H985">
            <v>1339</v>
          </cell>
          <cell r="J985">
            <v>805</v>
          </cell>
          <cell r="K985">
            <v>76630800</v>
          </cell>
          <cell r="L985">
            <v>58592111</v>
          </cell>
          <cell r="T985">
            <v>32085118</v>
          </cell>
        </row>
        <row r="986">
          <cell r="H986">
            <v>4071</v>
          </cell>
          <cell r="J986">
            <v>2440</v>
          </cell>
          <cell r="K986">
            <v>179525740</v>
          </cell>
          <cell r="L986">
            <v>141040462</v>
          </cell>
          <cell r="T986">
            <v>91198542</v>
          </cell>
        </row>
        <row r="987">
          <cell r="H987">
            <v>1818</v>
          </cell>
          <cell r="J987">
            <v>966</v>
          </cell>
          <cell r="K987">
            <v>87332345</v>
          </cell>
          <cell r="L987">
            <v>68962326</v>
          </cell>
          <cell r="T987">
            <v>41659470</v>
          </cell>
        </row>
        <row r="988">
          <cell r="H988">
            <v>1411</v>
          </cell>
          <cell r="J988">
            <v>981</v>
          </cell>
          <cell r="K988">
            <v>89901200</v>
          </cell>
          <cell r="L988">
            <v>69967139</v>
          </cell>
          <cell r="T988">
            <v>34515882</v>
          </cell>
        </row>
        <row r="989">
          <cell r="H989">
            <v>1099</v>
          </cell>
          <cell r="J989">
            <v>543</v>
          </cell>
          <cell r="K989">
            <v>58598635</v>
          </cell>
          <cell r="L989">
            <v>45840079</v>
          </cell>
          <cell r="T989">
            <v>26925500</v>
          </cell>
        </row>
        <row r="990">
          <cell r="H990">
            <v>837</v>
          </cell>
          <cell r="J990">
            <v>348</v>
          </cell>
          <cell r="K990">
            <v>25416100</v>
          </cell>
          <cell r="L990">
            <v>19939793</v>
          </cell>
          <cell r="T990">
            <v>13651470</v>
          </cell>
        </row>
        <row r="991">
          <cell r="H991">
            <v>1554</v>
          </cell>
          <cell r="J991">
            <v>235</v>
          </cell>
          <cell r="K991">
            <v>19515300</v>
          </cell>
          <cell r="L991">
            <v>15093065</v>
          </cell>
          <cell r="T991">
            <v>31807272</v>
          </cell>
        </row>
        <row r="992">
          <cell r="H992">
            <v>649</v>
          </cell>
          <cell r="J992">
            <v>149</v>
          </cell>
          <cell r="K992">
            <v>25847000</v>
          </cell>
          <cell r="L992">
            <v>19733963</v>
          </cell>
          <cell r="T992">
            <v>31184450</v>
          </cell>
        </row>
        <row r="993">
          <cell r="H993">
            <v>1237</v>
          </cell>
          <cell r="J993">
            <v>423</v>
          </cell>
          <cell r="K993">
            <v>38737950</v>
          </cell>
          <cell r="L993">
            <v>30369240</v>
          </cell>
          <cell r="T993">
            <v>26852796</v>
          </cell>
        </row>
        <row r="994">
          <cell r="H994">
            <v>644</v>
          </cell>
          <cell r="J994">
            <v>662</v>
          </cell>
          <cell r="K994">
            <v>68140000</v>
          </cell>
          <cell r="L994">
            <v>53219250</v>
          </cell>
          <cell r="T994">
            <v>15059296</v>
          </cell>
        </row>
        <row r="995">
          <cell r="H995">
            <v>680</v>
          </cell>
          <cell r="J995">
            <v>501</v>
          </cell>
          <cell r="K995">
            <v>50562750</v>
          </cell>
          <cell r="L995">
            <v>39568581</v>
          </cell>
          <cell r="T995">
            <v>19720000</v>
          </cell>
        </row>
        <row r="996">
          <cell r="H996">
            <v>669</v>
          </cell>
          <cell r="J996">
            <v>281</v>
          </cell>
          <cell r="K996">
            <v>28598000</v>
          </cell>
          <cell r="L996">
            <v>22461794</v>
          </cell>
          <cell r="T996">
            <v>16680177</v>
          </cell>
        </row>
        <row r="997">
          <cell r="H997">
            <v>967</v>
          </cell>
          <cell r="J997">
            <v>466</v>
          </cell>
          <cell r="K997">
            <v>43042000</v>
          </cell>
          <cell r="L997">
            <v>33294344</v>
          </cell>
          <cell r="T997">
            <v>22261307</v>
          </cell>
        </row>
        <row r="998">
          <cell r="H998">
            <v>1529</v>
          </cell>
          <cell r="J998">
            <v>646</v>
          </cell>
          <cell r="K998">
            <v>70248845</v>
          </cell>
          <cell r="L998">
            <v>54637331</v>
          </cell>
          <cell r="T998">
            <v>42269205</v>
          </cell>
        </row>
        <row r="999">
          <cell r="H999">
            <v>801</v>
          </cell>
          <cell r="J999">
            <v>352</v>
          </cell>
          <cell r="K999">
            <v>38125945</v>
          </cell>
          <cell r="L999">
            <v>30066838</v>
          </cell>
          <cell r="T999">
            <v>21456387</v>
          </cell>
        </row>
        <row r="1000">
          <cell r="H1000">
            <v>422</v>
          </cell>
          <cell r="J1000">
            <v>164</v>
          </cell>
          <cell r="K1000">
            <v>10637350</v>
          </cell>
          <cell r="L1000">
            <v>8261819</v>
          </cell>
          <cell r="T1000">
            <v>6939790</v>
          </cell>
        </row>
        <row r="1001">
          <cell r="H1001">
            <v>400</v>
          </cell>
          <cell r="J1001">
            <v>200</v>
          </cell>
          <cell r="K1001">
            <v>13347250</v>
          </cell>
          <cell r="L1001">
            <v>9988475</v>
          </cell>
          <cell r="T1001">
            <v>6077200</v>
          </cell>
        </row>
        <row r="1002">
          <cell r="H1002">
            <v>388</v>
          </cell>
          <cell r="J1002">
            <v>298</v>
          </cell>
          <cell r="K1002">
            <v>20916600</v>
          </cell>
          <cell r="L1002">
            <v>15986516</v>
          </cell>
          <cell r="T1002">
            <v>7479864</v>
          </cell>
        </row>
        <row r="1003">
          <cell r="H1003">
            <v>416</v>
          </cell>
          <cell r="J1003">
            <v>198</v>
          </cell>
          <cell r="K1003">
            <v>14955995</v>
          </cell>
          <cell r="L1003">
            <v>11369384</v>
          </cell>
          <cell r="T1003">
            <v>8144864</v>
          </cell>
        </row>
        <row r="1004">
          <cell r="H1004">
            <v>361</v>
          </cell>
          <cell r="J1004">
            <v>205</v>
          </cell>
          <cell r="K1004">
            <v>15058250</v>
          </cell>
          <cell r="L1004">
            <v>11657438</v>
          </cell>
          <cell r="T1004">
            <v>7717819</v>
          </cell>
        </row>
        <row r="1005">
          <cell r="H1005">
            <v>432</v>
          </cell>
          <cell r="J1005">
            <v>316</v>
          </cell>
          <cell r="K1005">
            <v>21633440</v>
          </cell>
          <cell r="L1005">
            <v>16763243</v>
          </cell>
          <cell r="T1005">
            <v>5949072</v>
          </cell>
        </row>
        <row r="1006">
          <cell r="H1006">
            <v>278</v>
          </cell>
          <cell r="J1006">
            <v>169</v>
          </cell>
          <cell r="K1006">
            <v>11363200</v>
          </cell>
          <cell r="L1006">
            <v>8708835</v>
          </cell>
          <cell r="T1006">
            <v>4231716</v>
          </cell>
        </row>
        <row r="1007">
          <cell r="H1007">
            <v>314</v>
          </cell>
          <cell r="J1007">
            <v>97</v>
          </cell>
          <cell r="K1007">
            <v>7142400</v>
          </cell>
          <cell r="L1007">
            <v>5569026</v>
          </cell>
          <cell r="T1007">
            <v>5937112</v>
          </cell>
        </row>
        <row r="1008">
          <cell r="H1008">
            <v>394</v>
          </cell>
          <cell r="J1008">
            <v>156</v>
          </cell>
          <cell r="K1008">
            <v>12236000</v>
          </cell>
          <cell r="L1008">
            <v>9474276</v>
          </cell>
          <cell r="T1008">
            <v>8882730</v>
          </cell>
        </row>
        <row r="1009">
          <cell r="H1009">
            <v>518</v>
          </cell>
          <cell r="J1009">
            <v>206</v>
          </cell>
          <cell r="K1009">
            <v>16252000</v>
          </cell>
          <cell r="L1009">
            <v>12478956</v>
          </cell>
          <cell r="T1009">
            <v>13441582</v>
          </cell>
        </row>
        <row r="1010">
          <cell r="H1010">
            <v>485</v>
          </cell>
          <cell r="J1010">
            <v>311</v>
          </cell>
          <cell r="K1010">
            <v>51206900</v>
          </cell>
          <cell r="L1010">
            <v>39141330</v>
          </cell>
          <cell r="T1010">
            <v>18089045</v>
          </cell>
        </row>
        <row r="1011">
          <cell r="H1011">
            <v>495</v>
          </cell>
          <cell r="J1011">
            <v>310</v>
          </cell>
          <cell r="K1011">
            <v>55576700</v>
          </cell>
          <cell r="L1011">
            <v>42165900</v>
          </cell>
          <cell r="T1011">
            <v>24103530</v>
          </cell>
        </row>
        <row r="1012">
          <cell r="H1012">
            <v>318</v>
          </cell>
          <cell r="J1012">
            <v>138</v>
          </cell>
          <cell r="K1012">
            <v>26223900</v>
          </cell>
          <cell r="L1012">
            <v>20208450</v>
          </cell>
          <cell r="T1012">
            <v>16468266</v>
          </cell>
        </row>
        <row r="1013">
          <cell r="H1013">
            <v>412</v>
          </cell>
          <cell r="J1013">
            <v>361</v>
          </cell>
          <cell r="K1013">
            <v>80370845</v>
          </cell>
          <cell r="L1013">
            <v>61223322</v>
          </cell>
          <cell r="T1013">
            <v>21907276</v>
          </cell>
        </row>
        <row r="1014">
          <cell r="H1014">
            <v>373</v>
          </cell>
          <cell r="J1014">
            <v>164</v>
          </cell>
          <cell r="K1014">
            <v>37286600</v>
          </cell>
          <cell r="L1014">
            <v>28291147</v>
          </cell>
          <cell r="T1014">
            <v>18059914</v>
          </cell>
        </row>
        <row r="1015">
          <cell r="H1015">
            <v>313</v>
          </cell>
          <cell r="J1015">
            <v>134</v>
          </cell>
          <cell r="K1015">
            <v>31603050</v>
          </cell>
          <cell r="L1015">
            <v>23726837</v>
          </cell>
          <cell r="T1015">
            <v>18873900</v>
          </cell>
        </row>
        <row r="1016">
          <cell r="H1016">
            <v>345</v>
          </cell>
          <cell r="J1016">
            <v>47</v>
          </cell>
          <cell r="K1016">
            <v>12548700</v>
          </cell>
          <cell r="L1016">
            <v>9420435</v>
          </cell>
          <cell r="T1016">
            <v>26139270</v>
          </cell>
        </row>
        <row r="1017">
          <cell r="H1017">
            <v>405</v>
          </cell>
          <cell r="J1017">
            <v>282</v>
          </cell>
          <cell r="K1017">
            <v>68683960</v>
          </cell>
          <cell r="L1017">
            <v>52780833</v>
          </cell>
          <cell r="T1017">
            <v>21307050</v>
          </cell>
        </row>
        <row r="1018">
          <cell r="H1018">
            <v>418</v>
          </cell>
          <cell r="J1018">
            <v>223</v>
          </cell>
          <cell r="K1018">
            <v>31321000</v>
          </cell>
          <cell r="L1018">
            <v>24226804</v>
          </cell>
          <cell r="T1018">
            <v>13606736</v>
          </cell>
        </row>
        <row r="1019">
          <cell r="H1019">
            <v>367</v>
          </cell>
          <cell r="J1019">
            <v>91</v>
          </cell>
          <cell r="K1019">
            <v>12682350</v>
          </cell>
          <cell r="L1019">
            <v>9893302</v>
          </cell>
          <cell r="T1019">
            <v>11048535</v>
          </cell>
        </row>
        <row r="1020">
          <cell r="H1020">
            <v>286</v>
          </cell>
          <cell r="J1020">
            <v>35</v>
          </cell>
          <cell r="K1020">
            <v>11022600</v>
          </cell>
          <cell r="L1020">
            <v>8328213</v>
          </cell>
          <cell r="T1020">
            <v>26938340</v>
          </cell>
        </row>
        <row r="1021">
          <cell r="H1021">
            <v>352</v>
          </cell>
          <cell r="J1021">
            <v>140</v>
          </cell>
          <cell r="K1021">
            <v>36895000</v>
          </cell>
          <cell r="L1021">
            <v>28312011</v>
          </cell>
          <cell r="T1021">
            <v>24410848</v>
          </cell>
        </row>
        <row r="1022">
          <cell r="H1022">
            <v>924</v>
          </cell>
          <cell r="J1022">
            <v>114</v>
          </cell>
          <cell r="K1022">
            <v>30486200</v>
          </cell>
          <cell r="L1022">
            <v>23318263</v>
          </cell>
          <cell r="T1022">
            <v>60309480</v>
          </cell>
        </row>
        <row r="1023">
          <cell r="H1023">
            <v>855</v>
          </cell>
          <cell r="J1023">
            <v>53</v>
          </cell>
          <cell r="K1023">
            <v>13772100</v>
          </cell>
          <cell r="L1023">
            <v>10532027</v>
          </cell>
          <cell r="T1023">
            <v>50893020</v>
          </cell>
        </row>
        <row r="1024">
          <cell r="H1024">
            <v>838</v>
          </cell>
          <cell r="J1024">
            <v>198</v>
          </cell>
          <cell r="K1024">
            <v>76756190</v>
          </cell>
          <cell r="L1024">
            <v>57664977</v>
          </cell>
          <cell r="T1024">
            <v>98127286</v>
          </cell>
        </row>
        <row r="1025">
          <cell r="H1025">
            <v>373</v>
          </cell>
          <cell r="J1025">
            <v>88</v>
          </cell>
          <cell r="K1025">
            <v>57489000</v>
          </cell>
          <cell r="L1025">
            <v>43182615</v>
          </cell>
          <cell r="T1025">
            <v>55932842</v>
          </cell>
        </row>
        <row r="1026">
          <cell r="H1026">
            <v>838</v>
          </cell>
          <cell r="J1026">
            <v>289</v>
          </cell>
          <cell r="K1026">
            <v>89242340</v>
          </cell>
          <cell r="L1026">
            <v>66979049</v>
          </cell>
          <cell r="T1026">
            <v>62868436</v>
          </cell>
        </row>
        <row r="1027">
          <cell r="H1027">
            <v>253</v>
          </cell>
          <cell r="J1027">
            <v>66</v>
          </cell>
          <cell r="K1027">
            <v>8796350</v>
          </cell>
          <cell r="L1027">
            <v>6764922</v>
          </cell>
          <cell r="T1027">
            <v>8137492</v>
          </cell>
        </row>
        <row r="1028">
          <cell r="H1028">
            <v>1772</v>
          </cell>
          <cell r="J1028">
            <v>1153</v>
          </cell>
          <cell r="K1028">
            <v>85323090</v>
          </cell>
          <cell r="L1028">
            <v>66418313</v>
          </cell>
          <cell r="T1028">
            <v>40637276</v>
          </cell>
        </row>
        <row r="1029">
          <cell r="H1029">
            <v>367</v>
          </cell>
          <cell r="J1029">
            <v>81</v>
          </cell>
          <cell r="K1029">
            <v>12624540</v>
          </cell>
          <cell r="L1029">
            <v>9968803</v>
          </cell>
          <cell r="T1029">
            <v>16490411</v>
          </cell>
        </row>
        <row r="1030">
          <cell r="H1030">
            <v>149</v>
          </cell>
          <cell r="J1030">
            <v>43</v>
          </cell>
          <cell r="K1030">
            <v>2553200</v>
          </cell>
          <cell r="L1030">
            <v>1927536</v>
          </cell>
          <cell r="T1030">
            <v>2060223</v>
          </cell>
        </row>
        <row r="1031">
          <cell r="H1031">
            <v>150</v>
          </cell>
          <cell r="J1031">
            <v>63</v>
          </cell>
          <cell r="K1031">
            <v>3681200</v>
          </cell>
          <cell r="L1031">
            <v>2847936</v>
          </cell>
          <cell r="T1031">
            <v>2074050</v>
          </cell>
        </row>
        <row r="1032">
          <cell r="H1032">
            <v>303</v>
          </cell>
          <cell r="J1032">
            <v>102</v>
          </cell>
          <cell r="K1032">
            <v>3056400</v>
          </cell>
          <cell r="L1032">
            <v>2343992</v>
          </cell>
          <cell r="T1032">
            <v>2897286</v>
          </cell>
        </row>
        <row r="1033">
          <cell r="H1033">
            <v>300</v>
          </cell>
          <cell r="J1033">
            <v>179</v>
          </cell>
          <cell r="K1033">
            <v>7528400</v>
          </cell>
          <cell r="L1033">
            <v>5733180</v>
          </cell>
          <cell r="T1033">
            <v>3338100</v>
          </cell>
        </row>
        <row r="1034">
          <cell r="H1034">
            <v>150</v>
          </cell>
          <cell r="J1034">
            <v>112</v>
          </cell>
          <cell r="K1034">
            <v>4696800</v>
          </cell>
          <cell r="L1034">
            <v>3651804</v>
          </cell>
          <cell r="T1034">
            <v>1669050</v>
          </cell>
        </row>
        <row r="1035">
          <cell r="H1035">
            <v>291</v>
          </cell>
          <cell r="J1035">
            <v>32</v>
          </cell>
          <cell r="K1035">
            <v>1484800</v>
          </cell>
          <cell r="L1035">
            <v>1088080</v>
          </cell>
          <cell r="T1035">
            <v>3528957</v>
          </cell>
        </row>
        <row r="1036">
          <cell r="H1036">
            <v>297</v>
          </cell>
          <cell r="J1036">
            <v>130</v>
          </cell>
          <cell r="K1036">
            <v>5863000</v>
          </cell>
          <cell r="L1036">
            <v>4476208</v>
          </cell>
          <cell r="T1036">
            <v>3453219</v>
          </cell>
        </row>
        <row r="1037">
          <cell r="H1037">
            <v>396</v>
          </cell>
          <cell r="J1037">
            <v>212</v>
          </cell>
          <cell r="K1037">
            <v>9637000</v>
          </cell>
          <cell r="L1037">
            <v>7325400</v>
          </cell>
          <cell r="T1037">
            <v>4406292</v>
          </cell>
        </row>
        <row r="1038">
          <cell r="H1038">
            <v>348</v>
          </cell>
          <cell r="J1038">
            <v>103</v>
          </cell>
          <cell r="K1038">
            <v>4619200</v>
          </cell>
          <cell r="L1038">
            <v>3502968</v>
          </cell>
          <cell r="T1038">
            <v>3524196</v>
          </cell>
        </row>
        <row r="1039">
          <cell r="H1039">
            <v>349</v>
          </cell>
          <cell r="J1039">
            <v>70</v>
          </cell>
          <cell r="K1039">
            <v>2954800</v>
          </cell>
          <cell r="L1039">
            <v>2260116</v>
          </cell>
          <cell r="T1039">
            <v>4232323</v>
          </cell>
        </row>
        <row r="1040">
          <cell r="H1040">
            <v>395</v>
          </cell>
          <cell r="J1040">
            <v>175</v>
          </cell>
          <cell r="K1040">
            <v>9187200</v>
          </cell>
          <cell r="L1040">
            <v>7082744</v>
          </cell>
          <cell r="T1040">
            <v>5461665</v>
          </cell>
        </row>
        <row r="1041">
          <cell r="H1041">
            <v>197</v>
          </cell>
          <cell r="J1041">
            <v>98</v>
          </cell>
          <cell r="K1041">
            <v>4467200</v>
          </cell>
          <cell r="L1041">
            <v>3471416</v>
          </cell>
          <cell r="T1041">
            <v>2783019</v>
          </cell>
        </row>
        <row r="1042">
          <cell r="H1042">
            <v>398</v>
          </cell>
          <cell r="J1042">
            <v>351</v>
          </cell>
          <cell r="K1042">
            <v>16159600</v>
          </cell>
          <cell r="L1042">
            <v>12203722</v>
          </cell>
          <cell r="T1042">
            <v>5224546</v>
          </cell>
        </row>
        <row r="1043">
          <cell r="H1043">
            <v>250</v>
          </cell>
          <cell r="J1043">
            <v>102</v>
          </cell>
          <cell r="K1043">
            <v>5745200</v>
          </cell>
          <cell r="L1043">
            <v>4421232</v>
          </cell>
          <cell r="T1043">
            <v>3781750</v>
          </cell>
        </row>
        <row r="1044">
          <cell r="H1044">
            <v>149</v>
          </cell>
          <cell r="J1044">
            <v>119</v>
          </cell>
          <cell r="K1044">
            <v>5521600</v>
          </cell>
          <cell r="L1044">
            <v>4142128</v>
          </cell>
          <cell r="T1044">
            <v>1806923</v>
          </cell>
        </row>
        <row r="1045">
          <cell r="H1045">
            <v>448</v>
          </cell>
          <cell r="J1045">
            <v>356</v>
          </cell>
          <cell r="K1045">
            <v>19919600</v>
          </cell>
          <cell r="L1045">
            <v>15347952</v>
          </cell>
          <cell r="T1045">
            <v>7000896</v>
          </cell>
        </row>
        <row r="1046">
          <cell r="H1046">
            <v>447</v>
          </cell>
          <cell r="J1046">
            <v>215</v>
          </cell>
          <cell r="K1046">
            <v>13144000</v>
          </cell>
          <cell r="L1046">
            <v>10205208</v>
          </cell>
          <cell r="T1046">
            <v>8549769</v>
          </cell>
        </row>
        <row r="1047">
          <cell r="H1047">
            <v>298</v>
          </cell>
          <cell r="J1047">
            <v>168</v>
          </cell>
          <cell r="K1047">
            <v>9963200</v>
          </cell>
          <cell r="L1047">
            <v>7920120</v>
          </cell>
          <cell r="T1047">
            <v>5252846</v>
          </cell>
        </row>
        <row r="1048">
          <cell r="H1048">
            <v>198</v>
          </cell>
          <cell r="J1048">
            <v>73</v>
          </cell>
          <cell r="K1048">
            <v>3823600</v>
          </cell>
          <cell r="L1048">
            <v>3010836</v>
          </cell>
          <cell r="T1048">
            <v>3193146</v>
          </cell>
        </row>
        <row r="1049">
          <cell r="H1049">
            <v>346</v>
          </cell>
          <cell r="J1049">
            <v>163</v>
          </cell>
          <cell r="K1049">
            <v>7353200</v>
          </cell>
          <cell r="L1049">
            <v>5666484</v>
          </cell>
          <cell r="T1049">
            <v>3330942</v>
          </cell>
        </row>
        <row r="1050">
          <cell r="H1050">
            <v>529</v>
          </cell>
          <cell r="J1050">
            <v>149</v>
          </cell>
          <cell r="K1050">
            <v>1072800</v>
          </cell>
          <cell r="L1050">
            <v>788688</v>
          </cell>
          <cell r="T1050">
            <v>846400</v>
          </cell>
        </row>
        <row r="1051">
          <cell r="H1051">
            <v>604</v>
          </cell>
          <cell r="J1051">
            <v>343</v>
          </cell>
          <cell r="K1051">
            <v>2744000</v>
          </cell>
          <cell r="L1051">
            <v>1990880</v>
          </cell>
          <cell r="T1051">
            <v>1208000</v>
          </cell>
        </row>
        <row r="1052">
          <cell r="H1052">
            <v>796</v>
          </cell>
          <cell r="J1052">
            <v>231</v>
          </cell>
          <cell r="K1052">
            <v>1855000</v>
          </cell>
          <cell r="L1052">
            <v>1323920</v>
          </cell>
          <cell r="T1052">
            <v>1353200</v>
          </cell>
        </row>
        <row r="1053">
          <cell r="H1053">
            <v>1810</v>
          </cell>
          <cell r="J1053">
            <v>975</v>
          </cell>
          <cell r="K1053">
            <v>84150770</v>
          </cell>
          <cell r="L1053">
            <v>65684827</v>
          </cell>
          <cell r="T1053">
            <v>49586760</v>
          </cell>
        </row>
        <row r="1054">
          <cell r="H1054">
            <v>2117</v>
          </cell>
          <cell r="J1054">
            <v>1088</v>
          </cell>
          <cell r="K1054">
            <v>94244900</v>
          </cell>
          <cell r="L1054">
            <v>73019350</v>
          </cell>
          <cell r="T1054">
            <v>56835099</v>
          </cell>
        </row>
        <row r="1055">
          <cell r="H1055">
            <v>1709</v>
          </cell>
          <cell r="J1055">
            <v>846</v>
          </cell>
          <cell r="K1055">
            <v>62640500</v>
          </cell>
          <cell r="L1055">
            <v>48517534</v>
          </cell>
          <cell r="T1055">
            <v>34376535</v>
          </cell>
        </row>
        <row r="1056">
          <cell r="H1056">
            <v>806</v>
          </cell>
          <cell r="J1056">
            <v>347</v>
          </cell>
          <cell r="K1056">
            <v>34892300</v>
          </cell>
          <cell r="L1056">
            <v>27555418</v>
          </cell>
          <cell r="T1056">
            <v>25167350</v>
          </cell>
        </row>
        <row r="1057">
          <cell r="H1057">
            <v>762</v>
          </cell>
          <cell r="J1057">
            <v>298</v>
          </cell>
          <cell r="K1057">
            <v>22201250</v>
          </cell>
          <cell r="L1057">
            <v>17005422</v>
          </cell>
          <cell r="T1057">
            <v>14980158</v>
          </cell>
        </row>
        <row r="1058">
          <cell r="H1058">
            <v>556</v>
          </cell>
          <cell r="J1058">
            <v>179</v>
          </cell>
          <cell r="K1058">
            <v>12946000</v>
          </cell>
          <cell r="L1058">
            <v>10215332</v>
          </cell>
          <cell r="T1058">
            <v>10579012</v>
          </cell>
        </row>
        <row r="1059">
          <cell r="H1059">
            <v>884</v>
          </cell>
          <cell r="J1059">
            <v>173</v>
          </cell>
          <cell r="K1059">
            <v>12536100</v>
          </cell>
          <cell r="L1059">
            <v>9818792</v>
          </cell>
          <cell r="T1059">
            <v>17164628</v>
          </cell>
        </row>
        <row r="1060">
          <cell r="H1060">
            <v>1063</v>
          </cell>
          <cell r="J1060">
            <v>336</v>
          </cell>
          <cell r="K1060">
            <v>24796870</v>
          </cell>
          <cell r="L1060">
            <v>19223228</v>
          </cell>
          <cell r="T1060">
            <v>17143001</v>
          </cell>
        </row>
        <row r="1061">
          <cell r="H1061">
            <v>819</v>
          </cell>
          <cell r="J1061">
            <v>141</v>
          </cell>
          <cell r="K1061">
            <v>22232145</v>
          </cell>
          <cell r="L1061">
            <v>17460041</v>
          </cell>
          <cell r="T1061">
            <v>34000785</v>
          </cell>
        </row>
        <row r="1062">
          <cell r="H1062">
            <v>1366</v>
          </cell>
          <cell r="J1062">
            <v>827</v>
          </cell>
          <cell r="K1062">
            <v>68933350</v>
          </cell>
          <cell r="L1062">
            <v>53941966</v>
          </cell>
          <cell r="T1062">
            <v>36472200</v>
          </cell>
        </row>
        <row r="1063">
          <cell r="H1063">
            <v>950</v>
          </cell>
          <cell r="J1063">
            <v>50</v>
          </cell>
          <cell r="K1063">
            <v>10737800</v>
          </cell>
          <cell r="L1063">
            <v>8229344</v>
          </cell>
          <cell r="T1063">
            <v>53886850</v>
          </cell>
        </row>
        <row r="1064">
          <cell r="H1064">
            <v>790</v>
          </cell>
          <cell r="J1064">
            <v>498</v>
          </cell>
          <cell r="K1064">
            <v>41716850</v>
          </cell>
          <cell r="L1064">
            <v>31599183</v>
          </cell>
          <cell r="T1064">
            <v>17602780</v>
          </cell>
        </row>
        <row r="1065">
          <cell r="H1065">
            <v>1214</v>
          </cell>
          <cell r="J1065">
            <v>377</v>
          </cell>
          <cell r="K1065">
            <v>41225500</v>
          </cell>
          <cell r="L1065">
            <v>32197711</v>
          </cell>
          <cell r="T1065">
            <v>34391406</v>
          </cell>
        </row>
        <row r="1066">
          <cell r="H1066">
            <v>292</v>
          </cell>
          <cell r="J1066">
            <v>292</v>
          </cell>
          <cell r="K1066">
            <v>14600000</v>
          </cell>
          <cell r="L1066">
            <v>9636000</v>
          </cell>
          <cell r="T1066">
            <v>4653312</v>
          </cell>
        </row>
        <row r="1067">
          <cell r="H1067">
            <v>55</v>
          </cell>
          <cell r="J1067">
            <v>55</v>
          </cell>
          <cell r="K1067">
            <v>4400000</v>
          </cell>
          <cell r="L1067">
            <v>4400000</v>
          </cell>
          <cell r="T1067">
            <v>2400530</v>
          </cell>
        </row>
        <row r="1068">
          <cell r="H1068">
            <v>2583</v>
          </cell>
          <cell r="J1068">
            <v>1582</v>
          </cell>
          <cell r="K1068">
            <v>60204500</v>
          </cell>
          <cell r="L1068">
            <v>45692884</v>
          </cell>
          <cell r="T1068">
            <v>26951022</v>
          </cell>
        </row>
        <row r="1069">
          <cell r="H1069">
            <v>1326</v>
          </cell>
          <cell r="J1069">
            <v>592</v>
          </cell>
          <cell r="K1069">
            <v>38402100</v>
          </cell>
          <cell r="L1069">
            <v>29867448</v>
          </cell>
          <cell r="T1069">
            <v>21580650</v>
          </cell>
        </row>
        <row r="1070">
          <cell r="H1070">
            <v>833</v>
          </cell>
          <cell r="J1070">
            <v>595</v>
          </cell>
          <cell r="K1070">
            <v>39120100</v>
          </cell>
          <cell r="L1070">
            <v>30323982</v>
          </cell>
          <cell r="T1070">
            <v>13258028</v>
          </cell>
        </row>
        <row r="1071">
          <cell r="H1071">
            <v>948</v>
          </cell>
          <cell r="J1071">
            <v>704</v>
          </cell>
          <cell r="K1071">
            <v>52781800</v>
          </cell>
          <cell r="L1071">
            <v>39817146</v>
          </cell>
          <cell r="T1071">
            <v>16583364</v>
          </cell>
        </row>
        <row r="1072">
          <cell r="H1072">
            <v>902</v>
          </cell>
          <cell r="J1072">
            <v>652</v>
          </cell>
          <cell r="K1072">
            <v>45883800</v>
          </cell>
          <cell r="L1072">
            <v>35369632</v>
          </cell>
          <cell r="T1072">
            <v>14949748</v>
          </cell>
        </row>
        <row r="1073">
          <cell r="H1073">
            <v>744</v>
          </cell>
          <cell r="J1073">
            <v>330</v>
          </cell>
          <cell r="K1073">
            <v>18355950</v>
          </cell>
          <cell r="L1073">
            <v>14193011</v>
          </cell>
          <cell r="T1073">
            <v>11626488</v>
          </cell>
        </row>
        <row r="1074">
          <cell r="H1074">
            <v>921</v>
          </cell>
          <cell r="J1074">
            <v>472</v>
          </cell>
          <cell r="K1074">
            <v>37474420</v>
          </cell>
          <cell r="L1074">
            <v>28906248</v>
          </cell>
          <cell r="T1074">
            <v>19970964</v>
          </cell>
        </row>
        <row r="1075">
          <cell r="H1075">
            <v>917</v>
          </cell>
          <cell r="J1075">
            <v>225</v>
          </cell>
          <cell r="K1075">
            <v>15839950</v>
          </cell>
          <cell r="L1075">
            <v>12715754</v>
          </cell>
          <cell r="T1075">
            <v>16989259</v>
          </cell>
        </row>
        <row r="1076">
          <cell r="H1076">
            <v>891</v>
          </cell>
          <cell r="J1076">
            <v>545</v>
          </cell>
          <cell r="K1076">
            <v>40932250</v>
          </cell>
          <cell r="L1076">
            <v>31442514</v>
          </cell>
          <cell r="T1076">
            <v>16698231</v>
          </cell>
        </row>
        <row r="1077">
          <cell r="H1077">
            <v>758</v>
          </cell>
          <cell r="J1077">
            <v>540</v>
          </cell>
          <cell r="K1077">
            <v>29737550</v>
          </cell>
          <cell r="L1077">
            <v>23234450</v>
          </cell>
          <cell r="T1077">
            <v>11865732</v>
          </cell>
        </row>
        <row r="1078">
          <cell r="H1078">
            <v>1001</v>
          </cell>
          <cell r="J1078">
            <v>674</v>
          </cell>
          <cell r="K1078">
            <v>31314345</v>
          </cell>
          <cell r="L1078">
            <v>24206221</v>
          </cell>
          <cell r="T1078">
            <v>9244235</v>
          </cell>
        </row>
        <row r="1079">
          <cell r="H1079">
            <v>1337</v>
          </cell>
          <cell r="J1079">
            <v>658</v>
          </cell>
          <cell r="K1079">
            <v>31866200</v>
          </cell>
          <cell r="L1079">
            <v>25862355</v>
          </cell>
          <cell r="T1079">
            <v>19736794</v>
          </cell>
        </row>
        <row r="1080">
          <cell r="H1080">
            <v>2935</v>
          </cell>
          <cell r="J1080">
            <v>1522</v>
          </cell>
          <cell r="K1080">
            <v>109009660</v>
          </cell>
          <cell r="L1080">
            <v>85653724</v>
          </cell>
          <cell r="T1080">
            <v>60713410</v>
          </cell>
        </row>
        <row r="1081">
          <cell r="H1081">
            <v>2920</v>
          </cell>
          <cell r="J1081">
            <v>1108</v>
          </cell>
          <cell r="K1081">
            <v>40386150</v>
          </cell>
          <cell r="L1081">
            <v>34159139</v>
          </cell>
          <cell r="T1081">
            <v>39352840</v>
          </cell>
        </row>
        <row r="1082">
          <cell r="H1082">
            <v>1178</v>
          </cell>
          <cell r="J1082">
            <v>858</v>
          </cell>
          <cell r="K1082">
            <v>37053750</v>
          </cell>
          <cell r="L1082">
            <v>30858621</v>
          </cell>
          <cell r="T1082">
            <v>15463606</v>
          </cell>
        </row>
        <row r="1083">
          <cell r="H1083">
            <v>1202</v>
          </cell>
          <cell r="J1083">
            <v>439</v>
          </cell>
          <cell r="K1083">
            <v>32004600</v>
          </cell>
          <cell r="L1083">
            <v>25069465</v>
          </cell>
          <cell r="T1083">
            <v>24619364</v>
          </cell>
        </row>
        <row r="1084">
          <cell r="H1084">
            <v>1224</v>
          </cell>
          <cell r="J1084">
            <v>269</v>
          </cell>
          <cell r="K1084">
            <v>21079200</v>
          </cell>
          <cell r="L1084">
            <v>16329894</v>
          </cell>
          <cell r="T1084">
            <v>28078560</v>
          </cell>
        </row>
        <row r="1085">
          <cell r="H1085">
            <v>1125</v>
          </cell>
          <cell r="J1085">
            <v>209</v>
          </cell>
          <cell r="K1085">
            <v>18977220</v>
          </cell>
          <cell r="L1085">
            <v>14967167</v>
          </cell>
          <cell r="T1085">
            <v>28400625</v>
          </cell>
        </row>
        <row r="1086">
          <cell r="H1086">
            <v>1083</v>
          </cell>
          <cell r="J1086">
            <v>203</v>
          </cell>
          <cell r="K1086">
            <v>16481800</v>
          </cell>
          <cell r="L1086">
            <v>13014693</v>
          </cell>
          <cell r="T1086">
            <v>23571495</v>
          </cell>
        </row>
        <row r="1087">
          <cell r="H1087">
            <v>966</v>
          </cell>
          <cell r="J1087">
            <v>296</v>
          </cell>
          <cell r="K1087">
            <v>26912200</v>
          </cell>
          <cell r="L1087">
            <v>21153825</v>
          </cell>
          <cell r="T1087">
            <v>26473230</v>
          </cell>
        </row>
        <row r="1088">
          <cell r="H1088">
            <v>849</v>
          </cell>
          <cell r="J1088">
            <v>306</v>
          </cell>
          <cell r="K1088">
            <v>23055600</v>
          </cell>
          <cell r="L1088">
            <v>18343500</v>
          </cell>
          <cell r="T1088">
            <v>20561931</v>
          </cell>
        </row>
        <row r="1089">
          <cell r="H1089">
            <v>1515</v>
          </cell>
          <cell r="J1089">
            <v>1274</v>
          </cell>
          <cell r="K1089">
            <v>104313045</v>
          </cell>
          <cell r="L1089">
            <v>81982030</v>
          </cell>
          <cell r="T1089">
            <v>35110125</v>
          </cell>
        </row>
        <row r="1090">
          <cell r="H1090">
            <v>1627</v>
          </cell>
          <cell r="J1090">
            <v>681</v>
          </cell>
          <cell r="K1090">
            <v>54462300</v>
          </cell>
          <cell r="L1090">
            <v>43106794</v>
          </cell>
          <cell r="T1090">
            <v>39508441</v>
          </cell>
        </row>
        <row r="1091">
          <cell r="H1091">
            <v>303</v>
          </cell>
          <cell r="J1091">
            <v>72</v>
          </cell>
          <cell r="K1091">
            <v>6754950</v>
          </cell>
          <cell r="L1091">
            <v>5226705</v>
          </cell>
          <cell r="T1091">
            <v>9807504</v>
          </cell>
        </row>
        <row r="1092">
          <cell r="H1092">
            <v>1381</v>
          </cell>
          <cell r="J1092">
            <v>721</v>
          </cell>
          <cell r="K1092">
            <v>58966590</v>
          </cell>
          <cell r="L1092">
            <v>45903219</v>
          </cell>
          <cell r="T1092">
            <v>33559681</v>
          </cell>
        </row>
        <row r="1093">
          <cell r="H1093">
            <v>1774</v>
          </cell>
          <cell r="J1093">
            <v>1078</v>
          </cell>
          <cell r="K1093">
            <v>89774050</v>
          </cell>
          <cell r="L1093">
            <v>70023643</v>
          </cell>
          <cell r="T1093">
            <v>39709216</v>
          </cell>
        </row>
        <row r="1094">
          <cell r="H1094">
            <v>1186</v>
          </cell>
          <cell r="J1094">
            <v>528</v>
          </cell>
          <cell r="K1094">
            <v>43182280</v>
          </cell>
          <cell r="L1094">
            <v>33813556</v>
          </cell>
          <cell r="T1094">
            <v>29776902</v>
          </cell>
        </row>
        <row r="1095">
          <cell r="H1095">
            <v>1401</v>
          </cell>
          <cell r="J1095">
            <v>447</v>
          </cell>
          <cell r="K1095">
            <v>23604615</v>
          </cell>
          <cell r="L1095">
            <v>19073482</v>
          </cell>
          <cell r="T1095">
            <v>21663663</v>
          </cell>
        </row>
        <row r="1096">
          <cell r="H1096">
            <v>1085</v>
          </cell>
          <cell r="J1096">
            <v>319</v>
          </cell>
          <cell r="K1096">
            <v>15542720</v>
          </cell>
          <cell r="L1096">
            <v>12346128</v>
          </cell>
          <cell r="T1096">
            <v>14272090</v>
          </cell>
        </row>
        <row r="1097">
          <cell r="H1097">
            <v>1018</v>
          </cell>
          <cell r="J1097">
            <v>496</v>
          </cell>
          <cell r="K1097">
            <v>23430720</v>
          </cell>
          <cell r="L1097">
            <v>19211796</v>
          </cell>
          <cell r="T1097">
            <v>13390772</v>
          </cell>
        </row>
        <row r="1098">
          <cell r="H1098">
            <v>623</v>
          </cell>
          <cell r="J1098">
            <v>134</v>
          </cell>
          <cell r="K1098">
            <v>9625300</v>
          </cell>
          <cell r="L1098">
            <v>7694047</v>
          </cell>
          <cell r="T1098">
            <v>12008948</v>
          </cell>
        </row>
        <row r="1099">
          <cell r="H1099">
            <v>690</v>
          </cell>
          <cell r="J1099">
            <v>206</v>
          </cell>
          <cell r="K1099">
            <v>21513250</v>
          </cell>
          <cell r="L1099">
            <v>16196201</v>
          </cell>
          <cell r="T1099">
            <v>17701260</v>
          </cell>
        </row>
        <row r="1100">
          <cell r="H1100">
            <v>813</v>
          </cell>
          <cell r="J1100">
            <v>308</v>
          </cell>
          <cell r="K1100">
            <v>19758350</v>
          </cell>
          <cell r="L1100">
            <v>15525897</v>
          </cell>
          <cell r="T1100">
            <v>13133202</v>
          </cell>
        </row>
        <row r="1101">
          <cell r="H1101">
            <v>986</v>
          </cell>
          <cell r="J1101">
            <v>204</v>
          </cell>
          <cell r="K1101">
            <v>14641400</v>
          </cell>
          <cell r="L1101">
            <v>11594672</v>
          </cell>
          <cell r="T1101">
            <v>16837922</v>
          </cell>
        </row>
        <row r="1102">
          <cell r="H1102">
            <v>795</v>
          </cell>
          <cell r="J1102">
            <v>291</v>
          </cell>
          <cell r="K1102">
            <v>34459900</v>
          </cell>
          <cell r="L1102">
            <v>26976609</v>
          </cell>
          <cell r="T1102">
            <v>27251010</v>
          </cell>
        </row>
        <row r="1103">
          <cell r="H1103">
            <v>794</v>
          </cell>
          <cell r="J1103">
            <v>185</v>
          </cell>
          <cell r="K1103">
            <v>22195600</v>
          </cell>
          <cell r="L1103">
            <v>17196668</v>
          </cell>
          <cell r="T1103">
            <v>27030142</v>
          </cell>
        </row>
        <row r="1104">
          <cell r="H1104">
            <v>373</v>
          </cell>
          <cell r="J1104">
            <v>137</v>
          </cell>
          <cell r="K1104">
            <v>20922695</v>
          </cell>
          <cell r="L1104">
            <v>16129504</v>
          </cell>
          <cell r="T1104">
            <v>15412360</v>
          </cell>
        </row>
        <row r="1105">
          <cell r="H1105">
            <v>992</v>
          </cell>
          <cell r="J1105">
            <v>79</v>
          </cell>
          <cell r="K1105">
            <v>12056700</v>
          </cell>
          <cell r="L1105">
            <v>9335222</v>
          </cell>
          <cell r="T1105">
            <v>45373088</v>
          </cell>
        </row>
        <row r="1106">
          <cell r="H1106">
            <v>775</v>
          </cell>
          <cell r="J1106">
            <v>125</v>
          </cell>
          <cell r="K1106">
            <v>17032150</v>
          </cell>
          <cell r="L1106">
            <v>12850729</v>
          </cell>
          <cell r="T1106">
            <v>29304300</v>
          </cell>
        </row>
        <row r="1107">
          <cell r="H1107">
            <v>624</v>
          </cell>
          <cell r="J1107">
            <v>184</v>
          </cell>
          <cell r="K1107">
            <v>14945300</v>
          </cell>
          <cell r="L1107">
            <v>11707060</v>
          </cell>
          <cell r="T1107">
            <v>10664160</v>
          </cell>
        </row>
        <row r="1108">
          <cell r="H1108">
            <v>595</v>
          </cell>
          <cell r="J1108">
            <v>100</v>
          </cell>
          <cell r="K1108">
            <v>7054250</v>
          </cell>
          <cell r="L1108">
            <v>5610541</v>
          </cell>
          <cell r="T1108">
            <v>9710400</v>
          </cell>
        </row>
        <row r="1109">
          <cell r="H1109">
            <v>972</v>
          </cell>
          <cell r="J1109">
            <v>485</v>
          </cell>
          <cell r="K1109">
            <v>38907195</v>
          </cell>
          <cell r="L1109">
            <v>30927478</v>
          </cell>
          <cell r="T1109">
            <v>19563444</v>
          </cell>
        </row>
        <row r="1110">
          <cell r="H1110">
            <v>498</v>
          </cell>
          <cell r="J1110">
            <v>167</v>
          </cell>
          <cell r="K1110">
            <v>16429700</v>
          </cell>
          <cell r="L1110">
            <v>13207803</v>
          </cell>
          <cell r="T1110">
            <v>14939502</v>
          </cell>
        </row>
        <row r="1111">
          <cell r="H1111">
            <v>925</v>
          </cell>
          <cell r="J1111">
            <v>345</v>
          </cell>
          <cell r="K1111">
            <v>31532100</v>
          </cell>
          <cell r="L1111">
            <v>24811677</v>
          </cell>
          <cell r="T1111">
            <v>23057475</v>
          </cell>
        </row>
        <row r="1112">
          <cell r="H1112">
            <v>841</v>
          </cell>
          <cell r="J1112">
            <v>186</v>
          </cell>
          <cell r="K1112">
            <v>32931300</v>
          </cell>
          <cell r="L1112">
            <v>25228854</v>
          </cell>
          <cell r="T1112">
            <v>48947882</v>
          </cell>
        </row>
        <row r="1113">
          <cell r="H1113">
            <v>1616</v>
          </cell>
          <cell r="J1113">
            <v>416</v>
          </cell>
          <cell r="K1113">
            <v>17807250</v>
          </cell>
          <cell r="L1113">
            <v>14726706</v>
          </cell>
          <cell r="T1113">
            <v>9578032</v>
          </cell>
        </row>
        <row r="1114">
          <cell r="H1114">
            <v>832</v>
          </cell>
          <cell r="J1114">
            <v>374</v>
          </cell>
          <cell r="K1114">
            <v>52956650</v>
          </cell>
          <cell r="L1114">
            <v>40775117</v>
          </cell>
          <cell r="T1114">
            <v>23790208</v>
          </cell>
        </row>
        <row r="1115">
          <cell r="H1115">
            <v>821</v>
          </cell>
          <cell r="J1115">
            <v>405</v>
          </cell>
          <cell r="K1115">
            <v>61218895</v>
          </cell>
          <cell r="L1115">
            <v>47054993</v>
          </cell>
          <cell r="T1115">
            <v>28815458</v>
          </cell>
        </row>
        <row r="1116">
          <cell r="H1116">
            <v>701</v>
          </cell>
          <cell r="J1116">
            <v>111</v>
          </cell>
          <cell r="K1116">
            <v>25503395</v>
          </cell>
          <cell r="L1116">
            <v>19515138</v>
          </cell>
          <cell r="T1116">
            <v>50245577</v>
          </cell>
        </row>
        <row r="1117">
          <cell r="H1117">
            <v>902</v>
          </cell>
          <cell r="J1117">
            <v>418</v>
          </cell>
          <cell r="K1117">
            <v>79171645</v>
          </cell>
          <cell r="L1117">
            <v>60120985</v>
          </cell>
          <cell r="T1117">
            <v>44159214</v>
          </cell>
        </row>
        <row r="1118">
          <cell r="H1118">
            <v>2041</v>
          </cell>
          <cell r="J1118">
            <v>500</v>
          </cell>
          <cell r="K1118">
            <v>40871350</v>
          </cell>
          <cell r="L1118">
            <v>32457602</v>
          </cell>
          <cell r="T1118">
            <v>45751056</v>
          </cell>
        </row>
        <row r="1119">
          <cell r="H1119">
            <v>1096</v>
          </cell>
          <cell r="J1119">
            <v>710</v>
          </cell>
          <cell r="K1119">
            <v>127432040</v>
          </cell>
          <cell r="L1119">
            <v>95557910</v>
          </cell>
          <cell r="T1119">
            <v>50118984</v>
          </cell>
        </row>
        <row r="1120">
          <cell r="H1120">
            <v>867</v>
          </cell>
          <cell r="J1120">
            <v>562</v>
          </cell>
          <cell r="K1120">
            <v>49915120</v>
          </cell>
          <cell r="L1120">
            <v>38677370</v>
          </cell>
          <cell r="T1120">
            <v>25351947</v>
          </cell>
        </row>
        <row r="1121">
          <cell r="H1121">
            <v>1134</v>
          </cell>
          <cell r="J1121">
            <v>636</v>
          </cell>
          <cell r="K1121">
            <v>46488045</v>
          </cell>
          <cell r="L1121">
            <v>37330503</v>
          </cell>
          <cell r="T1121">
            <v>23425038</v>
          </cell>
        </row>
        <row r="1122">
          <cell r="H1122">
            <v>2504</v>
          </cell>
          <cell r="J1122">
            <v>439</v>
          </cell>
          <cell r="K1122">
            <v>69838200</v>
          </cell>
          <cell r="L1122">
            <v>53331218</v>
          </cell>
          <cell r="T1122">
            <v>116854168</v>
          </cell>
        </row>
        <row r="1123">
          <cell r="H1123">
            <v>938</v>
          </cell>
          <cell r="J1123">
            <v>301</v>
          </cell>
          <cell r="K1123">
            <v>70770245</v>
          </cell>
          <cell r="L1123">
            <v>53940210</v>
          </cell>
          <cell r="T1123">
            <v>63684572</v>
          </cell>
        </row>
        <row r="1124">
          <cell r="H1124">
            <v>2004</v>
          </cell>
          <cell r="J1124">
            <v>460</v>
          </cell>
          <cell r="K1124">
            <v>92227230</v>
          </cell>
          <cell r="L1124">
            <v>70204502</v>
          </cell>
          <cell r="T1124">
            <v>98432472</v>
          </cell>
        </row>
        <row r="1125">
          <cell r="H1125">
            <v>2250</v>
          </cell>
          <cell r="J1125">
            <v>861</v>
          </cell>
          <cell r="K1125">
            <v>71906150</v>
          </cell>
          <cell r="L1125">
            <v>55234913</v>
          </cell>
          <cell r="T1125">
            <v>44241750</v>
          </cell>
        </row>
        <row r="1126">
          <cell r="H1126">
            <v>989</v>
          </cell>
          <cell r="J1126">
            <v>455</v>
          </cell>
          <cell r="K1126">
            <v>43367200</v>
          </cell>
          <cell r="L1126">
            <v>33181286</v>
          </cell>
          <cell r="T1126">
            <v>20371422</v>
          </cell>
        </row>
        <row r="1127">
          <cell r="H1127">
            <v>825</v>
          </cell>
          <cell r="J1127">
            <v>531</v>
          </cell>
          <cell r="K1127">
            <v>50564000</v>
          </cell>
          <cell r="L1127">
            <v>38300823</v>
          </cell>
          <cell r="T1127">
            <v>18060900</v>
          </cell>
        </row>
        <row r="1128">
          <cell r="H1128">
            <v>1043</v>
          </cell>
          <cell r="J1128">
            <v>332</v>
          </cell>
          <cell r="K1128">
            <v>32824500</v>
          </cell>
          <cell r="L1128">
            <v>26366010</v>
          </cell>
          <cell r="T1128">
            <v>22016687</v>
          </cell>
        </row>
        <row r="1129">
          <cell r="H1129">
            <v>399</v>
          </cell>
          <cell r="J1129">
            <v>106</v>
          </cell>
          <cell r="K1129">
            <v>9269500</v>
          </cell>
          <cell r="L1129">
            <v>7046842</v>
          </cell>
          <cell r="T1129">
            <v>8042244</v>
          </cell>
        </row>
        <row r="1130">
          <cell r="H1130">
            <v>685</v>
          </cell>
          <cell r="J1130">
            <v>110</v>
          </cell>
          <cell r="K1130">
            <v>8194700</v>
          </cell>
          <cell r="L1130">
            <v>6344526</v>
          </cell>
          <cell r="T1130">
            <v>9932500</v>
          </cell>
        </row>
        <row r="1131">
          <cell r="H1131">
            <v>1046</v>
          </cell>
          <cell r="J1131">
            <v>627</v>
          </cell>
          <cell r="K1131">
            <v>58426650</v>
          </cell>
          <cell r="L1131">
            <v>45099203</v>
          </cell>
          <cell r="T1131">
            <v>25813188</v>
          </cell>
        </row>
        <row r="1132">
          <cell r="H1132">
            <v>502</v>
          </cell>
          <cell r="J1132">
            <v>178</v>
          </cell>
          <cell r="K1132">
            <v>14937300</v>
          </cell>
          <cell r="L1132">
            <v>11633546</v>
          </cell>
          <cell r="T1132">
            <v>10793000</v>
          </cell>
        </row>
        <row r="1133">
          <cell r="H1133">
            <v>1040</v>
          </cell>
          <cell r="J1133">
            <v>789</v>
          </cell>
          <cell r="K1133">
            <v>44124750</v>
          </cell>
          <cell r="L1133">
            <v>34399360</v>
          </cell>
          <cell r="T1133">
            <v>16640000</v>
          </cell>
        </row>
        <row r="1134">
          <cell r="H1134">
            <v>2668</v>
          </cell>
          <cell r="J1134">
            <v>863</v>
          </cell>
          <cell r="K1134">
            <v>77732000</v>
          </cell>
          <cell r="L1134">
            <v>61311492</v>
          </cell>
          <cell r="T1134">
            <v>52890432</v>
          </cell>
        </row>
        <row r="1135">
          <cell r="H1135">
            <v>1004</v>
          </cell>
          <cell r="J1135">
            <v>241</v>
          </cell>
          <cell r="K1135">
            <v>21872545</v>
          </cell>
          <cell r="L1135">
            <v>17145983</v>
          </cell>
          <cell r="T1135">
            <v>24781732</v>
          </cell>
        </row>
        <row r="1136">
          <cell r="H1136">
            <v>702</v>
          </cell>
          <cell r="J1136">
            <v>167</v>
          </cell>
          <cell r="K1136">
            <v>7733300</v>
          </cell>
          <cell r="L1136">
            <v>5835802</v>
          </cell>
          <cell r="T1136">
            <v>6498414</v>
          </cell>
        </row>
        <row r="1137">
          <cell r="H1137">
            <v>404</v>
          </cell>
          <cell r="J1137">
            <v>61</v>
          </cell>
          <cell r="K1137">
            <v>3202800</v>
          </cell>
          <cell r="L1137">
            <v>2465315</v>
          </cell>
          <cell r="T1137">
            <v>5252000</v>
          </cell>
        </row>
        <row r="1138">
          <cell r="H1138">
            <v>1173</v>
          </cell>
          <cell r="J1138">
            <v>536</v>
          </cell>
          <cell r="K1138">
            <v>48997895</v>
          </cell>
          <cell r="L1138">
            <v>38341888</v>
          </cell>
          <cell r="T1138">
            <v>28277511</v>
          </cell>
        </row>
        <row r="1139">
          <cell r="H1139">
            <v>1419</v>
          </cell>
          <cell r="J1139">
            <v>800</v>
          </cell>
          <cell r="K1139">
            <v>77724945</v>
          </cell>
          <cell r="L1139">
            <v>61617618</v>
          </cell>
          <cell r="T1139">
            <v>34197900</v>
          </cell>
        </row>
        <row r="1140">
          <cell r="H1140">
            <v>758</v>
          </cell>
          <cell r="J1140">
            <v>296</v>
          </cell>
          <cell r="K1140">
            <v>48400300</v>
          </cell>
          <cell r="L1140">
            <v>37775086</v>
          </cell>
          <cell r="T1140">
            <v>29851556</v>
          </cell>
        </row>
        <row r="1141">
          <cell r="H1141">
            <v>1279</v>
          </cell>
          <cell r="J1141">
            <v>460</v>
          </cell>
          <cell r="K1141">
            <v>41694200</v>
          </cell>
          <cell r="L1141">
            <v>32923440</v>
          </cell>
          <cell r="T1141">
            <v>26796329</v>
          </cell>
        </row>
        <row r="1142">
          <cell r="H1142">
            <v>499</v>
          </cell>
          <cell r="J1142">
            <v>195</v>
          </cell>
          <cell r="K1142">
            <v>16608300</v>
          </cell>
          <cell r="L1142">
            <v>12913722</v>
          </cell>
          <cell r="T1142">
            <v>11576800</v>
          </cell>
        </row>
        <row r="1143">
          <cell r="H1143">
            <v>1585</v>
          </cell>
          <cell r="J1143">
            <v>1276</v>
          </cell>
          <cell r="K1143">
            <v>67532250</v>
          </cell>
          <cell r="L1143">
            <v>54583496</v>
          </cell>
          <cell r="T1143">
            <v>26152500</v>
          </cell>
        </row>
        <row r="1144">
          <cell r="H1144">
            <v>1127</v>
          </cell>
          <cell r="J1144">
            <v>1071</v>
          </cell>
          <cell r="K1144">
            <v>139845450</v>
          </cell>
          <cell r="L1144">
            <v>107445680</v>
          </cell>
          <cell r="T1144">
            <v>46635260</v>
          </cell>
        </row>
        <row r="1145">
          <cell r="H1145">
            <v>1552</v>
          </cell>
          <cell r="J1145">
            <v>712</v>
          </cell>
          <cell r="K1145">
            <v>57637100</v>
          </cell>
          <cell r="L1145">
            <v>45964170</v>
          </cell>
          <cell r="T1145">
            <v>29112416</v>
          </cell>
        </row>
        <row r="1146">
          <cell r="H1146">
            <v>1274</v>
          </cell>
          <cell r="J1146">
            <v>480</v>
          </cell>
          <cell r="K1146">
            <v>40856000</v>
          </cell>
          <cell r="L1146">
            <v>32438836</v>
          </cell>
          <cell r="T1146">
            <v>26394732</v>
          </cell>
        </row>
        <row r="1147">
          <cell r="H1147">
            <v>831</v>
          </cell>
          <cell r="J1147">
            <v>464</v>
          </cell>
          <cell r="K1147">
            <v>84940350</v>
          </cell>
          <cell r="L1147">
            <v>65305832</v>
          </cell>
          <cell r="T1147">
            <v>39021267</v>
          </cell>
        </row>
        <row r="1148">
          <cell r="H1148">
            <v>2683</v>
          </cell>
          <cell r="J1148">
            <v>160</v>
          </cell>
          <cell r="K1148">
            <v>31289250</v>
          </cell>
          <cell r="L1148">
            <v>23955315</v>
          </cell>
          <cell r="T1148">
            <v>108234903</v>
          </cell>
        </row>
        <row r="1149">
          <cell r="H1149">
            <v>1124</v>
          </cell>
          <cell r="J1149">
            <v>280</v>
          </cell>
          <cell r="K1149">
            <v>91222840</v>
          </cell>
          <cell r="L1149">
            <v>68087142</v>
          </cell>
          <cell r="T1149">
            <v>102914564</v>
          </cell>
        </row>
        <row r="1150">
          <cell r="H1150">
            <v>816</v>
          </cell>
          <cell r="J1150">
            <v>398</v>
          </cell>
          <cell r="K1150">
            <v>147705350</v>
          </cell>
          <cell r="L1150">
            <v>111416835</v>
          </cell>
          <cell r="T1150">
            <v>79558368</v>
          </cell>
        </row>
        <row r="1151">
          <cell r="H1151">
            <v>1056</v>
          </cell>
          <cell r="J1151">
            <v>390</v>
          </cell>
          <cell r="K1151">
            <v>135405940</v>
          </cell>
          <cell r="L1151">
            <v>102405339</v>
          </cell>
          <cell r="T1151">
            <v>108237888</v>
          </cell>
        </row>
        <row r="1152">
          <cell r="H1152">
            <v>6</v>
          </cell>
          <cell r="J1152">
            <v>3</v>
          </cell>
          <cell r="K1152">
            <v>13500000</v>
          </cell>
          <cell r="L1152">
            <v>9450000</v>
          </cell>
          <cell r="T1152">
            <v>13650972</v>
          </cell>
        </row>
        <row r="1153">
          <cell r="H1153">
            <v>4</v>
          </cell>
          <cell r="J1153">
            <v>1</v>
          </cell>
          <cell r="K1153">
            <v>4500000</v>
          </cell>
          <cell r="L1153">
            <v>3150000</v>
          </cell>
          <cell r="T1153">
            <v>9100648</v>
          </cell>
        </row>
        <row r="1154">
          <cell r="H1154">
            <v>4</v>
          </cell>
          <cell r="J1154">
            <v>1</v>
          </cell>
          <cell r="K1154">
            <v>4500000</v>
          </cell>
          <cell r="L1154">
            <v>3150000</v>
          </cell>
          <cell r="T1154">
            <v>9100648</v>
          </cell>
        </row>
        <row r="1155">
          <cell r="H1155">
            <v>5</v>
          </cell>
          <cell r="J1155">
            <v>1</v>
          </cell>
          <cell r="K1155">
            <v>4500000</v>
          </cell>
          <cell r="L1155">
            <v>3150000</v>
          </cell>
          <cell r="T1155">
            <v>11375810</v>
          </cell>
        </row>
        <row r="1156">
          <cell r="H1156">
            <v>4</v>
          </cell>
          <cell r="J1156">
            <v>1</v>
          </cell>
          <cell r="K1156">
            <v>4500000</v>
          </cell>
          <cell r="L1156">
            <v>3150000</v>
          </cell>
          <cell r="T1156">
            <v>9100648</v>
          </cell>
        </row>
        <row r="1157">
          <cell r="H1157">
            <v>535</v>
          </cell>
          <cell r="J1157">
            <v>218</v>
          </cell>
          <cell r="K1157">
            <v>18465100</v>
          </cell>
          <cell r="L1157">
            <v>14157853</v>
          </cell>
          <cell r="T1157">
            <v>10229200</v>
          </cell>
        </row>
        <row r="1158">
          <cell r="H1158">
            <v>884</v>
          </cell>
          <cell r="J1158">
            <v>486</v>
          </cell>
          <cell r="K1158">
            <v>62225000</v>
          </cell>
          <cell r="L1158">
            <v>47368929</v>
          </cell>
          <cell r="T1158">
            <v>27993628</v>
          </cell>
        </row>
        <row r="1159">
          <cell r="H1159">
            <v>933</v>
          </cell>
          <cell r="J1159">
            <v>375</v>
          </cell>
          <cell r="K1159">
            <v>61984400</v>
          </cell>
          <cell r="L1159">
            <v>49532254</v>
          </cell>
          <cell r="T1159">
            <v>32522514</v>
          </cell>
        </row>
        <row r="1160">
          <cell r="H1160">
            <v>224</v>
          </cell>
          <cell r="J1160">
            <v>185</v>
          </cell>
          <cell r="K1160">
            <v>32143400</v>
          </cell>
          <cell r="L1160">
            <v>24422044</v>
          </cell>
          <cell r="T1160">
            <v>9934176</v>
          </cell>
        </row>
        <row r="1161">
          <cell r="H1161">
            <v>826</v>
          </cell>
          <cell r="J1161">
            <v>531</v>
          </cell>
          <cell r="K1161">
            <v>150507900</v>
          </cell>
          <cell r="L1161">
            <v>113257612</v>
          </cell>
          <cell r="T1161">
            <v>73319890</v>
          </cell>
        </row>
        <row r="1162">
          <cell r="H1162">
            <v>890</v>
          </cell>
          <cell r="J1162">
            <v>143</v>
          </cell>
          <cell r="K1162">
            <v>33913700</v>
          </cell>
          <cell r="L1162">
            <v>25577545</v>
          </cell>
          <cell r="T1162">
            <v>48747080</v>
          </cell>
        </row>
        <row r="1163">
          <cell r="H1163">
            <v>787</v>
          </cell>
          <cell r="J1163">
            <v>279</v>
          </cell>
          <cell r="K1163">
            <v>88208970</v>
          </cell>
          <cell r="L1163">
            <v>65248517</v>
          </cell>
          <cell r="T1163">
            <v>71674451</v>
          </cell>
        </row>
        <row r="1164">
          <cell r="H1164">
            <v>1267</v>
          </cell>
          <cell r="J1164">
            <v>559</v>
          </cell>
          <cell r="K1164">
            <v>104576150</v>
          </cell>
          <cell r="L1164">
            <v>79820592</v>
          </cell>
          <cell r="T1164">
            <v>70584570</v>
          </cell>
        </row>
        <row r="1165">
          <cell r="H1165">
            <v>300</v>
          </cell>
          <cell r="J1165">
            <v>24</v>
          </cell>
          <cell r="K1165">
            <v>8867500</v>
          </cell>
          <cell r="L1165">
            <v>6698013</v>
          </cell>
          <cell r="T1165">
            <v>36147000</v>
          </cell>
        </row>
        <row r="1166">
          <cell r="H1166">
            <v>303</v>
          </cell>
          <cell r="J1166">
            <v>236</v>
          </cell>
          <cell r="K1166">
            <v>74931450</v>
          </cell>
          <cell r="L1166">
            <v>56919117</v>
          </cell>
          <cell r="T1166">
            <v>21426645</v>
          </cell>
        </row>
        <row r="1167">
          <cell r="H1167">
            <v>1219</v>
          </cell>
          <cell r="J1167">
            <v>118</v>
          </cell>
          <cell r="K1167">
            <v>35890900</v>
          </cell>
          <cell r="L1167">
            <v>26807388</v>
          </cell>
          <cell r="T1167">
            <v>96266868</v>
          </cell>
        </row>
        <row r="1168">
          <cell r="H1168">
            <v>552</v>
          </cell>
          <cell r="J1168">
            <v>221</v>
          </cell>
          <cell r="K1168">
            <v>21169900</v>
          </cell>
          <cell r="L1168">
            <v>16417665</v>
          </cell>
          <cell r="T1168">
            <v>12061200</v>
          </cell>
        </row>
        <row r="1169">
          <cell r="H1169">
            <v>835</v>
          </cell>
          <cell r="J1169">
            <v>209</v>
          </cell>
          <cell r="K1169">
            <v>29484400</v>
          </cell>
          <cell r="L1169">
            <v>22773533</v>
          </cell>
          <cell r="T1169">
            <v>28921060</v>
          </cell>
        </row>
        <row r="1170">
          <cell r="H1170">
            <v>918</v>
          </cell>
          <cell r="J1170">
            <v>441</v>
          </cell>
          <cell r="K1170">
            <v>59442400</v>
          </cell>
          <cell r="L1170">
            <v>46241568</v>
          </cell>
          <cell r="T1170">
            <v>29622024</v>
          </cell>
        </row>
        <row r="1171">
          <cell r="H1171">
            <v>1299</v>
          </cell>
          <cell r="J1171">
            <v>1091</v>
          </cell>
          <cell r="K1171">
            <v>81309050</v>
          </cell>
          <cell r="L1171">
            <v>62758825</v>
          </cell>
          <cell r="T1171">
            <v>26183943</v>
          </cell>
        </row>
        <row r="1172">
          <cell r="H1172">
            <v>1074</v>
          </cell>
          <cell r="J1172">
            <v>577</v>
          </cell>
          <cell r="K1172">
            <v>52474060</v>
          </cell>
          <cell r="L1172">
            <v>40900634</v>
          </cell>
          <cell r="T1172">
            <v>26379588</v>
          </cell>
        </row>
        <row r="1173">
          <cell r="H1173">
            <v>1151</v>
          </cell>
          <cell r="J1173">
            <v>816</v>
          </cell>
          <cell r="K1173">
            <v>114256550</v>
          </cell>
          <cell r="L1173">
            <v>87974294</v>
          </cell>
          <cell r="T1173">
            <v>51184970</v>
          </cell>
        </row>
        <row r="1174">
          <cell r="H1174">
            <v>300</v>
          </cell>
          <cell r="J1174">
            <v>64</v>
          </cell>
          <cell r="K1174">
            <v>19085200</v>
          </cell>
          <cell r="L1174">
            <v>14517690</v>
          </cell>
          <cell r="T1174">
            <v>30447000</v>
          </cell>
        </row>
        <row r="1175">
          <cell r="H1175">
            <v>273</v>
          </cell>
          <cell r="J1175">
            <v>219</v>
          </cell>
          <cell r="K1175">
            <v>3143200</v>
          </cell>
          <cell r="L1175">
            <v>2322432</v>
          </cell>
          <cell r="T1175">
            <v>990171</v>
          </cell>
        </row>
        <row r="1176">
          <cell r="H1176">
            <v>290</v>
          </cell>
          <cell r="J1176">
            <v>99</v>
          </cell>
          <cell r="K1176">
            <v>2884800</v>
          </cell>
          <cell r="L1176">
            <v>2214792</v>
          </cell>
          <cell r="T1176">
            <v>2772980</v>
          </cell>
        </row>
        <row r="1177">
          <cell r="H1177">
            <v>400</v>
          </cell>
          <cell r="J1177">
            <v>191</v>
          </cell>
          <cell r="K1177">
            <v>8746600</v>
          </cell>
          <cell r="L1177">
            <v>6613160</v>
          </cell>
          <cell r="T1177">
            <v>5170800</v>
          </cell>
        </row>
        <row r="1178">
          <cell r="H1178">
            <v>497</v>
          </cell>
          <cell r="J1178">
            <v>203</v>
          </cell>
          <cell r="K1178">
            <v>10691200</v>
          </cell>
          <cell r="L1178">
            <v>8243232</v>
          </cell>
          <cell r="T1178">
            <v>7021119</v>
          </cell>
        </row>
        <row r="1179">
          <cell r="H1179">
            <v>298</v>
          </cell>
          <cell r="J1179">
            <v>112</v>
          </cell>
          <cell r="K1179">
            <v>4206000</v>
          </cell>
          <cell r="L1179">
            <v>3223104</v>
          </cell>
          <cell r="T1179">
            <v>2868846</v>
          </cell>
        </row>
        <row r="1180">
          <cell r="H1180">
            <v>501</v>
          </cell>
          <cell r="J1180">
            <v>151</v>
          </cell>
          <cell r="K1180">
            <v>8105200</v>
          </cell>
          <cell r="L1180">
            <v>6062404</v>
          </cell>
          <cell r="T1180">
            <v>7829127</v>
          </cell>
        </row>
        <row r="1181">
          <cell r="H1181">
            <v>299</v>
          </cell>
          <cell r="J1181">
            <v>129</v>
          </cell>
          <cell r="K1181">
            <v>5847200</v>
          </cell>
          <cell r="L1181">
            <v>4441524</v>
          </cell>
          <cell r="T1181">
            <v>3476473</v>
          </cell>
        </row>
        <row r="1182">
          <cell r="H1182">
            <v>698</v>
          </cell>
          <cell r="J1182">
            <v>373</v>
          </cell>
          <cell r="K1182">
            <v>17013200</v>
          </cell>
          <cell r="L1182">
            <v>13000642</v>
          </cell>
          <cell r="T1182">
            <v>8464646</v>
          </cell>
        </row>
        <row r="1183">
          <cell r="H1183">
            <v>396</v>
          </cell>
          <cell r="J1183">
            <v>149</v>
          </cell>
          <cell r="K1183">
            <v>6740400</v>
          </cell>
          <cell r="L1183">
            <v>5143556</v>
          </cell>
          <cell r="T1183">
            <v>5198292</v>
          </cell>
        </row>
        <row r="1184">
          <cell r="H1184">
            <v>398</v>
          </cell>
          <cell r="J1184">
            <v>132</v>
          </cell>
          <cell r="K1184">
            <v>7070400</v>
          </cell>
          <cell r="L1184">
            <v>5469648</v>
          </cell>
          <cell r="T1184">
            <v>6219546</v>
          </cell>
        </row>
        <row r="1185">
          <cell r="H1185">
            <v>298</v>
          </cell>
          <cell r="J1185">
            <v>87</v>
          </cell>
          <cell r="K1185">
            <v>4442800</v>
          </cell>
          <cell r="L1185">
            <v>3629024</v>
          </cell>
          <cell r="T1185">
            <v>5364596</v>
          </cell>
        </row>
        <row r="1186">
          <cell r="H1186">
            <v>246</v>
          </cell>
          <cell r="J1186">
            <v>197</v>
          </cell>
          <cell r="K1186">
            <v>10136800</v>
          </cell>
          <cell r="L1186">
            <v>7928800</v>
          </cell>
          <cell r="T1186">
            <v>3721242</v>
          </cell>
        </row>
        <row r="1187">
          <cell r="H1187">
            <v>596</v>
          </cell>
          <cell r="J1187">
            <v>292</v>
          </cell>
          <cell r="K1187">
            <v>13521200</v>
          </cell>
          <cell r="L1187">
            <v>10347548</v>
          </cell>
          <cell r="T1187">
            <v>5737692</v>
          </cell>
        </row>
        <row r="1188">
          <cell r="H1188">
            <v>395</v>
          </cell>
          <cell r="J1188">
            <v>68</v>
          </cell>
          <cell r="K1188">
            <v>3596400</v>
          </cell>
          <cell r="L1188">
            <v>2820104</v>
          </cell>
          <cell r="T1188">
            <v>5382665</v>
          </cell>
        </row>
        <row r="1189">
          <cell r="H1189">
            <v>398</v>
          </cell>
          <cell r="J1189">
            <v>97</v>
          </cell>
          <cell r="K1189">
            <v>5157600</v>
          </cell>
          <cell r="L1189">
            <v>3949576</v>
          </cell>
          <cell r="T1189">
            <v>5821546</v>
          </cell>
        </row>
        <row r="1190">
          <cell r="H1190">
            <v>398</v>
          </cell>
          <cell r="J1190">
            <v>267</v>
          </cell>
          <cell r="K1190">
            <v>15805200</v>
          </cell>
          <cell r="L1190">
            <v>12368148</v>
          </cell>
          <cell r="T1190">
            <v>6219546</v>
          </cell>
        </row>
        <row r="1191">
          <cell r="H1191">
            <v>397</v>
          </cell>
          <cell r="J1191">
            <v>188</v>
          </cell>
          <cell r="K1191">
            <v>9993200</v>
          </cell>
          <cell r="L1191">
            <v>7663192</v>
          </cell>
          <cell r="T1191">
            <v>5608419</v>
          </cell>
        </row>
        <row r="1192">
          <cell r="H1192">
            <v>299</v>
          </cell>
          <cell r="J1192">
            <v>301</v>
          </cell>
          <cell r="K1192">
            <v>13885200</v>
          </cell>
          <cell r="L1192">
            <v>10415176</v>
          </cell>
          <cell r="T1192">
            <v>3625973</v>
          </cell>
        </row>
        <row r="1193">
          <cell r="H1193">
            <v>400</v>
          </cell>
          <cell r="J1193">
            <v>277</v>
          </cell>
          <cell r="K1193">
            <v>14279200</v>
          </cell>
          <cell r="L1193">
            <v>11166144</v>
          </cell>
          <cell r="T1193">
            <v>5650800</v>
          </cell>
        </row>
        <row r="1194">
          <cell r="H1194">
            <v>198</v>
          </cell>
          <cell r="J1194">
            <v>93</v>
          </cell>
          <cell r="K1194">
            <v>5156000</v>
          </cell>
          <cell r="L1194">
            <v>3936928</v>
          </cell>
          <cell r="T1194">
            <v>2500146</v>
          </cell>
        </row>
        <row r="1195">
          <cell r="H1195">
            <v>146</v>
          </cell>
          <cell r="J1195">
            <v>32</v>
          </cell>
          <cell r="K1195">
            <v>3193600</v>
          </cell>
          <cell r="L1195">
            <v>2445312</v>
          </cell>
          <cell r="T1195">
            <v>4544542</v>
          </cell>
        </row>
        <row r="1196">
          <cell r="H1196">
            <v>200</v>
          </cell>
          <cell r="J1196">
            <v>57</v>
          </cell>
          <cell r="K1196">
            <v>6478400</v>
          </cell>
          <cell r="L1196">
            <v>4951488</v>
          </cell>
          <cell r="T1196">
            <v>7225400</v>
          </cell>
        </row>
        <row r="1197">
          <cell r="H1197">
            <v>299</v>
          </cell>
          <cell r="J1197">
            <v>64</v>
          </cell>
          <cell r="K1197">
            <v>5650200</v>
          </cell>
          <cell r="L1197">
            <v>4404468</v>
          </cell>
          <cell r="T1197">
            <v>7512973</v>
          </cell>
        </row>
        <row r="1198">
          <cell r="H1198">
            <v>200</v>
          </cell>
          <cell r="J1198">
            <v>131</v>
          </cell>
          <cell r="K1198">
            <v>16078400</v>
          </cell>
          <cell r="L1198">
            <v>12256376</v>
          </cell>
          <cell r="T1198">
            <v>7825400</v>
          </cell>
        </row>
        <row r="1199">
          <cell r="H1199">
            <v>100</v>
          </cell>
          <cell r="J1199">
            <v>8</v>
          </cell>
          <cell r="K1199">
            <v>927200</v>
          </cell>
          <cell r="L1199">
            <v>692640</v>
          </cell>
          <cell r="T1199">
            <v>3299000</v>
          </cell>
        </row>
        <row r="1200">
          <cell r="H1200">
            <v>421</v>
          </cell>
          <cell r="J1200">
            <v>114</v>
          </cell>
          <cell r="K1200">
            <v>820800</v>
          </cell>
          <cell r="L1200">
            <v>581040</v>
          </cell>
          <cell r="T1200">
            <v>673600</v>
          </cell>
        </row>
        <row r="1201">
          <cell r="H1201">
            <v>422</v>
          </cell>
          <cell r="J1201">
            <v>135</v>
          </cell>
          <cell r="K1201">
            <v>968800</v>
          </cell>
          <cell r="L1201">
            <v>709848</v>
          </cell>
          <cell r="T1201">
            <v>696300</v>
          </cell>
        </row>
        <row r="1202">
          <cell r="H1202">
            <v>529</v>
          </cell>
          <cell r="J1202">
            <v>164</v>
          </cell>
          <cell r="K1202">
            <v>1314000</v>
          </cell>
          <cell r="L1202">
            <v>935340</v>
          </cell>
          <cell r="T1202">
            <v>952200</v>
          </cell>
        </row>
        <row r="1203">
          <cell r="H1203">
            <v>200</v>
          </cell>
          <cell r="J1203">
            <v>64</v>
          </cell>
          <cell r="K1203">
            <v>928800</v>
          </cell>
          <cell r="L1203">
            <v>689760</v>
          </cell>
          <cell r="T1203">
            <v>500000</v>
          </cell>
        </row>
        <row r="1204">
          <cell r="H1204">
            <v>1022</v>
          </cell>
          <cell r="J1204">
            <v>412</v>
          </cell>
          <cell r="K1204">
            <v>29614700</v>
          </cell>
          <cell r="L1204">
            <v>23600579</v>
          </cell>
          <cell r="T1204">
            <v>26823412</v>
          </cell>
        </row>
        <row r="1205">
          <cell r="H1205">
            <v>1339</v>
          </cell>
          <cell r="J1205">
            <v>325</v>
          </cell>
          <cell r="K1205">
            <v>29110750</v>
          </cell>
          <cell r="L1205">
            <v>23076009</v>
          </cell>
          <cell r="T1205">
            <v>38148110</v>
          </cell>
        </row>
        <row r="1206">
          <cell r="H1206">
            <v>1215</v>
          </cell>
          <cell r="J1206">
            <v>1205</v>
          </cell>
          <cell r="K1206">
            <v>31158000</v>
          </cell>
          <cell r="L1206">
            <v>28372869</v>
          </cell>
          <cell r="T1206">
            <v>20637990</v>
          </cell>
        </row>
        <row r="1207">
          <cell r="H1207">
            <v>488</v>
          </cell>
          <cell r="J1207">
            <v>483</v>
          </cell>
          <cell r="K1207">
            <v>12687000</v>
          </cell>
          <cell r="L1207">
            <v>11472630</v>
          </cell>
          <cell r="T1207">
            <v>8615640</v>
          </cell>
        </row>
        <row r="1208">
          <cell r="H1208">
            <v>615</v>
          </cell>
          <cell r="J1208">
            <v>466</v>
          </cell>
          <cell r="K1208">
            <v>30683600</v>
          </cell>
          <cell r="L1208">
            <v>23992439</v>
          </cell>
          <cell r="T1208">
            <v>11547240</v>
          </cell>
        </row>
        <row r="1209">
          <cell r="H1209">
            <v>761</v>
          </cell>
          <cell r="J1209">
            <v>294</v>
          </cell>
          <cell r="K1209">
            <v>23057600</v>
          </cell>
          <cell r="L1209">
            <v>17748948</v>
          </cell>
          <cell r="T1209">
            <v>17006828</v>
          </cell>
        </row>
        <row r="1210">
          <cell r="H1210">
            <v>1123</v>
          </cell>
          <cell r="J1210">
            <v>173</v>
          </cell>
          <cell r="K1210">
            <v>12242500</v>
          </cell>
          <cell r="L1210">
            <v>9733322</v>
          </cell>
          <cell r="T1210">
            <v>23600968</v>
          </cell>
        </row>
        <row r="1211">
          <cell r="H1211">
            <v>374</v>
          </cell>
          <cell r="J1211">
            <v>96</v>
          </cell>
          <cell r="K1211">
            <v>7873700</v>
          </cell>
          <cell r="L1211">
            <v>6171616</v>
          </cell>
          <cell r="T1211">
            <v>8800968</v>
          </cell>
        </row>
        <row r="1212">
          <cell r="H1212">
            <v>996</v>
          </cell>
          <cell r="J1212">
            <v>661</v>
          </cell>
          <cell r="K1212">
            <v>48410850</v>
          </cell>
          <cell r="L1212">
            <v>37725265</v>
          </cell>
          <cell r="T1212">
            <v>19747692</v>
          </cell>
        </row>
        <row r="1213">
          <cell r="H1213">
            <v>643</v>
          </cell>
          <cell r="J1213">
            <v>480</v>
          </cell>
          <cell r="K1213">
            <v>76294295</v>
          </cell>
          <cell r="L1213">
            <v>57136154</v>
          </cell>
          <cell r="T1213">
            <v>20827413</v>
          </cell>
        </row>
        <row r="1214">
          <cell r="H1214">
            <v>825</v>
          </cell>
          <cell r="J1214">
            <v>349</v>
          </cell>
          <cell r="K1214">
            <v>29374550</v>
          </cell>
          <cell r="L1214">
            <v>22473346</v>
          </cell>
          <cell r="T1214">
            <v>18843000</v>
          </cell>
        </row>
        <row r="1215">
          <cell r="H1215">
            <v>1332</v>
          </cell>
          <cell r="J1215">
            <v>320</v>
          </cell>
          <cell r="K1215">
            <v>32320995</v>
          </cell>
          <cell r="L1215">
            <v>25200729</v>
          </cell>
          <cell r="T1215">
            <v>32711256</v>
          </cell>
        </row>
        <row r="1216">
          <cell r="H1216">
            <v>862</v>
          </cell>
          <cell r="J1216">
            <v>102</v>
          </cell>
          <cell r="K1216">
            <v>25634900</v>
          </cell>
          <cell r="L1216">
            <v>18980928</v>
          </cell>
          <cell r="T1216">
            <v>51105394</v>
          </cell>
        </row>
        <row r="1217">
          <cell r="H1217">
            <v>557</v>
          </cell>
          <cell r="J1217">
            <v>242</v>
          </cell>
          <cell r="K1217">
            <v>31240750</v>
          </cell>
          <cell r="L1217">
            <v>24163413</v>
          </cell>
          <cell r="T1217">
            <v>16849807</v>
          </cell>
        </row>
        <row r="1218">
          <cell r="H1218">
            <v>64</v>
          </cell>
          <cell r="J1218">
            <v>64</v>
          </cell>
          <cell r="K1218">
            <v>3200000</v>
          </cell>
          <cell r="L1218">
            <v>2112000</v>
          </cell>
          <cell r="T1218">
            <v>938752</v>
          </cell>
        </row>
      </sheetData>
      <sheetData sheetId="3">
        <row r="3">
          <cell r="A3" t="str">
            <v>I0W1301</v>
          </cell>
          <cell r="H3">
            <v>3983879000</v>
          </cell>
        </row>
        <row r="4">
          <cell r="H4">
            <v>3218690000</v>
          </cell>
        </row>
        <row r="5">
          <cell r="H5">
            <v>3615698000</v>
          </cell>
        </row>
        <row r="6">
          <cell r="H6">
            <v>3607251000</v>
          </cell>
        </row>
      </sheetData>
      <sheetData sheetId="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공구원가계산"/>
      <sheetName val="2공구산출내역"/>
      <sheetName val="2______"/>
      <sheetName val="데이타"/>
      <sheetName val="자료"/>
      <sheetName val="식재일위대가"/>
      <sheetName val="기초일위대가"/>
      <sheetName val="단가대비표"/>
      <sheetName val="104동"/>
      <sheetName val="대목"/>
      <sheetName val="단가표"/>
      <sheetName val="내역"/>
      <sheetName val="일위대가"/>
      <sheetName val="2차1차"/>
      <sheetName val="일위대가표"/>
      <sheetName val="골조시행"/>
      <sheetName val="예산내역"/>
      <sheetName val="총괄수지표"/>
      <sheetName val="을"/>
      <sheetName val="기자재비"/>
      <sheetName val="식재인부"/>
      <sheetName val="내역서2안"/>
      <sheetName val="1차설계변경내역"/>
      <sheetName val="견적서"/>
      <sheetName val="10월"/>
      <sheetName val="b_balju"/>
      <sheetName val="공통가설"/>
      <sheetName val="단가조사"/>
      <sheetName val="70%"/>
      <sheetName val="덤프트럭계수"/>
      <sheetName val="내역서"/>
      <sheetName val="Mc1"/>
      <sheetName val="b_balju-단가단가단가"/>
      <sheetName val="담장산출"/>
      <sheetName val="토공사"/>
      <sheetName val="건축내역"/>
      <sheetName val="표지"/>
      <sheetName val="공문"/>
      <sheetName val="대비"/>
      <sheetName val="1"/>
      <sheetName val="2"/>
      <sheetName val="기성"/>
      <sheetName val="변경"/>
      <sheetName val="사진설명"/>
      <sheetName val="범례 (2)"/>
      <sheetName val="목차"/>
      <sheetName val="Sheet2"/>
      <sheetName val="사진대지"/>
      <sheetName val="Macro1"/>
      <sheetName val="견적시담(송포2공구)"/>
      <sheetName val="적격점수&lt;300억미만&gt;"/>
      <sheetName val="FB25JN"/>
      <sheetName val="Data&amp;Result"/>
      <sheetName val="환율"/>
      <sheetName val="노임단가"/>
      <sheetName val="일위대가목차"/>
      <sheetName val="설비2차"/>
      <sheetName val="수목표준대가"/>
      <sheetName val="단가"/>
      <sheetName val="일위대가목록"/>
      <sheetName val="직노"/>
      <sheetName val="일위대가(건축)"/>
      <sheetName val="sheet1"/>
      <sheetName val="내역5"/>
      <sheetName val="노원열병합  건축공사기성내역서"/>
      <sheetName val="백암비스타내역"/>
      <sheetName val="기성내역"/>
      <sheetName val="Y-WORK"/>
      <sheetName val="data2"/>
      <sheetName val="건축공사실행"/>
      <sheetName val="실행철강하도"/>
      <sheetName val="Sheet5"/>
      <sheetName val="b_balju_cho"/>
      <sheetName val="공통가설공사"/>
      <sheetName val="투찰추정"/>
      <sheetName val="EACT10"/>
      <sheetName val="일위목록"/>
      <sheetName val="개요"/>
      <sheetName val="Sheet10"/>
      <sheetName val="QandAJunior"/>
      <sheetName val="자재단가"/>
      <sheetName val="관리자"/>
      <sheetName val="원가계산서"/>
      <sheetName val="unit 4"/>
      <sheetName val=" 갑지"/>
      <sheetName val="공종목록표"/>
      <sheetName val="일 위 대 가 표"/>
      <sheetName val="COVER"/>
      <sheetName val="건축"/>
      <sheetName val="중기사용료산출근거"/>
      <sheetName val="단가 및 재료비"/>
      <sheetName val="제직재"/>
      <sheetName val="설직재-1"/>
      <sheetName val="일용노임단가"/>
      <sheetName val="입력"/>
      <sheetName val="경비"/>
      <sheetName val="#REF"/>
      <sheetName val="DT"/>
      <sheetName val="롤러"/>
      <sheetName val="BH"/>
      <sheetName val="조경유지관리"/>
      <sheetName val="조경식재굴취"/>
      <sheetName val="식재단가"/>
      <sheetName val="인력터파기품"/>
      <sheetName val="2005년임금"/>
      <sheetName val="컨테이너"/>
      <sheetName val="펌프차타설"/>
      <sheetName val="노임"/>
      <sheetName val="집계표"/>
      <sheetName val="단가비교표"/>
      <sheetName val="단가일람"/>
      <sheetName val="단위량당중기"/>
      <sheetName val="국별인원"/>
      <sheetName val="수량산출"/>
      <sheetName val="단가(1)"/>
      <sheetName val="BID"/>
      <sheetName val="회사정보"/>
      <sheetName val="★도급내역"/>
      <sheetName val="제출내역"/>
      <sheetName val="공사비대비표B(토공)"/>
      <sheetName val="월간관리비"/>
      <sheetName val="산출근거"/>
      <sheetName val="재료단가"/>
      <sheetName val="임금단가"/>
      <sheetName val="장비목록표"/>
      <sheetName val="장비운전경비"/>
      <sheetName val="장비손료"/>
      <sheetName val="에너지요금"/>
      <sheetName val="장비"/>
      <sheetName val="산근1"/>
      <sheetName val="노무"/>
      <sheetName val="자재"/>
      <sheetName val="설계"/>
      <sheetName val="물가대비표"/>
      <sheetName val="요율"/>
      <sheetName val="회사기초자료"/>
      <sheetName val="단가조사서"/>
      <sheetName val="DATA1"/>
      <sheetName val="대가10%"/>
      <sheetName val="기초내역"/>
      <sheetName val="기본단가"/>
      <sheetName val="인건비단가"/>
      <sheetName val="1,2공구원가계산서"/>
      <sheetName val="1공구산출내역서"/>
      <sheetName val="보할공정"/>
      <sheetName val="기계경비(시간당)"/>
      <sheetName val="Total"/>
      <sheetName val="결재판"/>
      <sheetName val="선금급신청서"/>
      <sheetName val="터파기및재료"/>
      <sheetName val="기초단가"/>
      <sheetName val="출력은 금물"/>
      <sheetName val="중기사용료"/>
      <sheetName val="증감대비"/>
      <sheetName val="소비자가"/>
      <sheetName val="시설물기초"/>
      <sheetName val="단청공사"/>
      <sheetName val="단산목록"/>
      <sheetName val="연결임시"/>
      <sheetName val="일위_파일"/>
      <sheetName val="대가"/>
      <sheetName val="CON'C"/>
      <sheetName val="단가표 (2)"/>
      <sheetName val="요약&amp;결과"/>
      <sheetName val="광양 3기 유입수"/>
      <sheetName val="단가산출"/>
      <sheetName val="할증 "/>
      <sheetName val="안양동교 1안"/>
      <sheetName val="물가시세"/>
      <sheetName val="공통단가"/>
      <sheetName val="운반비"/>
      <sheetName val="2000양배"/>
      <sheetName val="기초입력 DATA"/>
      <sheetName val="전기품산출"/>
      <sheetName val="일위대가(출입)"/>
      <sheetName val="몰탈재료산출"/>
      <sheetName val="수목데이타 "/>
      <sheetName val="ABUT수량-A1"/>
      <sheetName val="여과지동"/>
      <sheetName val="노임단가표"/>
      <sheetName val="작업금지"/>
      <sheetName val="FAX"/>
      <sheetName val="코드표"/>
      <sheetName val="식재가격"/>
      <sheetName val="식재총괄"/>
      <sheetName val="실행(1)"/>
      <sheetName val="도급"/>
      <sheetName val="변수값"/>
      <sheetName val="중기상차"/>
      <sheetName val="AS복구"/>
      <sheetName val="중기터파기"/>
      <sheetName val="9811"/>
      <sheetName val="금액"/>
      <sheetName val="을지"/>
      <sheetName val="장비사양"/>
      <sheetName val="전체"/>
      <sheetName val="sheet1 (2)"/>
      <sheetName val="관로내역원"/>
      <sheetName val="중기조종사 단위단가"/>
      <sheetName val="물가시세표"/>
      <sheetName val="수지예산"/>
      <sheetName val="등록업체(031124)"/>
      <sheetName val="강병규"/>
      <sheetName val="BS"/>
      <sheetName val="실행내역"/>
      <sheetName val="저수조"/>
      <sheetName val="단가비교"/>
      <sheetName val="A-4"/>
      <sheetName val="Macro2"/>
      <sheetName val="하부철근수량"/>
      <sheetName val="전력"/>
      <sheetName val="대한주택보증(수보)"/>
      <sheetName val="대한주택보증(입보)"/>
      <sheetName val="DANGA"/>
      <sheetName val="급여대장"/>
      <sheetName val="직원 인적급여 카드"/>
      <sheetName val="BSD _2_"/>
      <sheetName val="4.일위대가목차"/>
      <sheetName val="일위대가(가설)"/>
      <sheetName val="위치조서"/>
      <sheetName val="EJ"/>
      <sheetName val="교사기준면적(초등)"/>
      <sheetName val="DATA"/>
      <sheetName val="조명율표"/>
      <sheetName val="실행"/>
      <sheetName val="코드목록(시스템담당용)"/>
      <sheetName val="(전남)시범지구 운영실적 및 결과분석(8월까지)"/>
      <sheetName val="집계표_식재"/>
      <sheetName val="장비종합부표"/>
      <sheetName val="부표"/>
      <sheetName val="DATE"/>
      <sheetName val="별제권_정리담보권"/>
      <sheetName val="기본입력"/>
      <sheetName val="공사개요"/>
      <sheetName val="000000"/>
      <sheetName val="01"/>
      <sheetName val="광주전남"/>
      <sheetName val="우석문틀"/>
      <sheetName val="공정집계_국별"/>
      <sheetName val="AV시스템"/>
      <sheetName val="인건비"/>
      <sheetName val="일위대가 "/>
      <sheetName val="기계경비일람"/>
      <sheetName val="2.냉난방설비공사"/>
      <sheetName val="7.자동제어공사"/>
      <sheetName val="내부마감"/>
      <sheetName val="2000년1차"/>
      <sheetName val="냉천부속동"/>
      <sheetName val="웅진교-S2"/>
      <sheetName val="현장경비"/>
      <sheetName val="화재 탐지 설비"/>
      <sheetName val="기초일위"/>
      <sheetName val="시설일위"/>
      <sheetName val="조명일위"/>
      <sheetName val="6-1. 관개량조서"/>
      <sheetName val="보도공제면적"/>
      <sheetName val="철콘공사"/>
      <sheetName val="기본일위"/>
      <sheetName val="내 역 서(총괄)"/>
      <sheetName val="재료"/>
      <sheetName val="범례_(2)"/>
      <sheetName val="노원열병합__건축공사기성내역서"/>
      <sheetName val="단가_및_재료비"/>
      <sheetName val="일_위_대_가_표"/>
      <sheetName val="unit_4"/>
      <sheetName val="_갑지"/>
      <sheetName val="출력은_금물"/>
      <sheetName val="안양동교_1안"/>
      <sheetName val="단가표_(2)"/>
      <sheetName val="할증_"/>
      <sheetName val="광양_3기_유입수"/>
      <sheetName val="수목데이타_"/>
      <sheetName val="중기조종사_단위단가"/>
      <sheetName val="비전경영계획"/>
      <sheetName val="투찰내역"/>
      <sheetName val="0.1keyAssumption"/>
      <sheetName val="0.0ControlSheet"/>
      <sheetName val="DB"/>
      <sheetName val="DB2"/>
      <sheetName val="참조"/>
      <sheetName val="제2호단위수량"/>
      <sheetName val="4.공사별"/>
      <sheetName val="갑지"/>
      <sheetName val="원하대비"/>
      <sheetName val="원도급"/>
      <sheetName val="하도급"/>
      <sheetName val="대비2"/>
      <sheetName val="건축공사"/>
      <sheetName val="96노임기준"/>
      <sheetName val="설계예산서"/>
      <sheetName val="예산내역서"/>
      <sheetName val="경산"/>
      <sheetName val="견적"/>
      <sheetName val="계약내역(2)"/>
      <sheetName val="수목데이타"/>
      <sheetName val="신규일위"/>
      <sheetName val="기계경비"/>
      <sheetName val="자단"/>
      <sheetName val="준검 내역서"/>
      <sheetName val="공장동 지하1층"/>
      <sheetName val="용역동 및 154KV"/>
      <sheetName val="공장동 3층"/>
      <sheetName val="공장동 1층"/>
      <sheetName val="계정code"/>
      <sheetName val="I一般比"/>
      <sheetName val="N賃率-職"/>
      <sheetName val="J直材4"/>
      <sheetName val="대,유,램"/>
      <sheetName val="당사실시1"/>
      <sheetName val="계산서(곡선부)"/>
      <sheetName val="포장재료집계표"/>
      <sheetName val="1안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교육훈련안내"/>
      <sheetName val="1-1"/>
      <sheetName val="1-2"/>
      <sheetName val="1-3"/>
      <sheetName val="1-4"/>
      <sheetName val="2-1"/>
      <sheetName val="회사정보"/>
      <sheetName val="매출원가(쇼핑)"/>
      <sheetName val="Sheet1"/>
      <sheetName val="970721"/>
    </sheetNames>
    <definedNames>
      <definedName name="독서"/>
    </defined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합"/>
      <sheetName val="월매출원가 "/>
      <sheetName val="월상"/>
      <sheetName val="월출"/>
      <sheetName val="월출익"/>
      <sheetName val="매상"/>
      <sheetName val="매출"/>
      <sheetName val="이익"/>
      <sheetName val="출원"/>
      <sheetName val="말매"/>
      <sheetName val="말원"/>
      <sheetName val="당매"/>
      <sheetName val="당원"/>
      <sheetName val="초매"/>
      <sheetName val="초원"/>
      <sheetName val="상평"/>
      <sheetName val="매출원가"/>
      <sheetName val="택"/>
      <sheetName val="지점 (2)"/>
      <sheetName val="평택"/>
      <sheetName val="미금점"/>
      <sheetName val="신"/>
      <sheetName val="비"/>
      <sheetName val="인천"/>
      <sheetName val="동"/>
      <sheetName val="서"/>
      <sheetName val="화"/>
      <sheetName val="인계"/>
      <sheetName val="순"/>
      <sheetName val="과"/>
      <sheetName val="평"/>
      <sheetName val="명"/>
      <sheetName val="야"/>
      <sheetName val="분당"/>
      <sheetName val="미금킴"/>
      <sheetName val="미금식"/>
      <sheetName val="미금직"/>
      <sheetName val="미금특"/>
      <sheetName val="미금수"/>
      <sheetName val="구매본부"/>
      <sheetName val="농산물"/>
      <sheetName val="생활"/>
      <sheetName val="식품"/>
      <sheetName val="의류"/>
      <sheetName val="서적"/>
      <sheetName val="감사"/>
      <sheetName val="개발경리"/>
      <sheetName val="건설경리"/>
      <sheetName val="건설관리"/>
      <sheetName val="건설본부"/>
      <sheetName val="경영개선"/>
      <sheetName val="자금"/>
      <sheetName val="회계"/>
      <sheetName val="시설관리"/>
      <sheetName val="재산관리"/>
      <sheetName val="총무"/>
      <sheetName val="서무"/>
      <sheetName val="개포"/>
      <sheetName val="과천"/>
      <sheetName val="구월"/>
      <sheetName val="동수원"/>
      <sheetName val="본관"/>
      <sheetName val="서현"/>
      <sheetName val="성남"/>
      <sheetName val="성남킴스"/>
      <sheetName val="수원"/>
      <sheetName val="수원킴스"/>
      <sheetName val="순천"/>
      <sheetName val="신관"/>
      <sheetName val="신사"/>
      <sheetName val="연수"/>
      <sheetName val="오대산"/>
      <sheetName val="일산"/>
      <sheetName val="평촌2"/>
      <sheetName val="평촌"/>
      <sheetName val="평촌킴스"/>
      <sheetName val="화정킴스"/>
      <sheetName val="리스트"/>
      <sheetName val="보고서"/>
      <sheetName val="laroux"/>
      <sheetName val="03.12월"/>
      <sheetName val="1월"/>
      <sheetName val="2월"/>
      <sheetName val="3월"/>
      <sheetName val="1기예정"/>
      <sheetName val="4월"/>
      <sheetName val="4월수정분"/>
      <sheetName val="5월"/>
      <sheetName val="6월"/>
      <sheetName val="1기확정"/>
      <sheetName val="반기명세서"/>
      <sheetName val="7월"/>
      <sheetName val="8월"/>
      <sheetName val="8월수정분"/>
      <sheetName val="9월"/>
      <sheetName val="2기예정"/>
      <sheetName val="중간감사"/>
      <sheetName val="10월"/>
      <sheetName val="11월"/>
      <sheetName val="12월"/>
      <sheetName val="2기확정"/>
      <sheetName val="시산표"/>
      <sheetName val="손익합산"/>
      <sheetName val="Sheet2"/>
      <sheetName val="2공구산출내역"/>
      <sheetName val="회사정보"/>
      <sheetName val="홈엔"/>
      <sheetName val="건축공사실행"/>
      <sheetName val="기본사항"/>
      <sheetName val="손익"/>
      <sheetName val="일위대가"/>
      <sheetName val="참고"/>
      <sheetName val="RV미수수익보정"/>
      <sheetName val="불균등-거치외(미수)"/>
      <sheetName val="불균등-TOP(선수)"/>
      <sheetName val="월매출원가_"/>
      <sheetName val="지점_(2)"/>
      <sheetName val="03_12월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●2005년평촌점"/>
      <sheetName val="과"/>
      <sheetName val="2공구산출내역"/>
      <sheetName val="내역"/>
      <sheetName val="Menu_Link"/>
      <sheetName val="인원계획-미화"/>
      <sheetName val="6-3(2)호_"/>
      <sheetName val="rs94"/>
    </sheetNames>
    <sheetDataSet>
      <sheetData sheetId="0" refreshError="1">
        <row r="8">
          <cell r="C8" t="str">
            <v>114-81-33298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매입세안분"/>
      <sheetName val="laroux"/>
      <sheetName val="03.12월"/>
      <sheetName val="1월"/>
      <sheetName val="2월"/>
      <sheetName val="3월"/>
      <sheetName val="1기예정"/>
      <sheetName val="4월"/>
      <sheetName val="4월수정분"/>
      <sheetName val="5월"/>
      <sheetName val="6월"/>
      <sheetName val="1기확정"/>
      <sheetName val="반기명세서"/>
      <sheetName val="7월"/>
      <sheetName val="8월"/>
      <sheetName val="8월수정분"/>
      <sheetName val="9월"/>
      <sheetName val="2기예정"/>
      <sheetName val="중간감사"/>
      <sheetName val="10월"/>
      <sheetName val="11월"/>
      <sheetName val="12월"/>
      <sheetName val="2기확정"/>
      <sheetName val="과"/>
      <sheetName val="계수원본(99.2.28)"/>
      <sheetName val="가정"/>
      <sheetName val="인원계획-미화"/>
      <sheetName val="월별"/>
      <sheetName val="1)기본서식"/>
      <sheetName val="대차"/>
    </sheetNames>
    <sheetDataSet>
      <sheetData sheetId="0" refreshError="1">
        <row r="7">
          <cell r="C7" t="str">
            <v>장하림.이종선</v>
          </cell>
        </row>
        <row r="9">
          <cell r="C9" t="str">
            <v>110111-0369870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0.0ControlSheet"/>
    </sheetNames>
    <sheetDataSet>
      <sheetData sheetId="0">
        <row r="6">
          <cell r="C6" t="str">
            <v>시대종합건설㈜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</sheetNames>
    <sheetDataSet>
      <sheetData sheetId="0">
        <row r="6">
          <cell r="C6" t="str">
            <v>시대종합건설㈜</v>
          </cell>
        </row>
        <row r="7">
          <cell r="C7" t="str">
            <v>장하림.이종선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재양식"/>
      <sheetName val="회사정보"/>
      <sheetName val="연봉제 근로계약서"/>
      <sheetName val="위스키3"/>
      <sheetName val="주류전체2"/>
      <sheetName val="참조"/>
      <sheetName val="수정시산표"/>
      <sheetName val="울산건재선행"/>
      <sheetName val="95감가상각"/>
    </sheetNames>
    <sheetDataSet>
      <sheetData sheetId="0" refreshError="1">
        <row r="1">
          <cell r="A1" t="str">
            <v>3개월 선행계획</v>
          </cell>
        </row>
        <row r="2">
          <cell r="E2" t="str">
            <v xml:space="preserve">        (건  재)</v>
          </cell>
        </row>
        <row r="4">
          <cell r="A4" t="str">
            <v>99년04월23일</v>
          </cell>
          <cell r="I4" t="str">
            <v xml:space="preserve">   울산영업소</v>
          </cell>
        </row>
        <row r="5">
          <cell r="B5" t="str">
            <v xml:space="preserve">  구    분</v>
          </cell>
          <cell r="E5" t="str">
            <v xml:space="preserve">             3 개월 계획</v>
          </cell>
          <cell r="I5" t="str">
            <v>비 고</v>
          </cell>
        </row>
        <row r="6">
          <cell r="E6" t="str">
            <v xml:space="preserve">  2 월</v>
          </cell>
          <cell r="F6" t="str">
            <v xml:space="preserve"> 3 월</v>
          </cell>
          <cell r="G6" t="str">
            <v xml:space="preserve"> 4 월</v>
          </cell>
          <cell r="H6" t="str">
            <v>계</v>
          </cell>
        </row>
        <row r="7">
          <cell r="B7" t="str">
            <v xml:space="preserve">   S / L</v>
          </cell>
          <cell r="D7" t="str">
            <v>천매</v>
          </cell>
          <cell r="E7">
            <v>1</v>
          </cell>
          <cell r="F7">
            <v>1</v>
          </cell>
          <cell r="G7">
            <v>0.1</v>
          </cell>
          <cell r="H7">
            <v>2.1</v>
          </cell>
        </row>
        <row r="8">
          <cell r="B8" t="str">
            <v xml:space="preserve">   B / L</v>
          </cell>
          <cell r="D8" t="str">
            <v>천매</v>
          </cell>
          <cell r="E8">
            <v>0</v>
          </cell>
          <cell r="F8">
            <v>0.2</v>
          </cell>
          <cell r="G8">
            <v>0.5</v>
          </cell>
          <cell r="H8">
            <v>0.7</v>
          </cell>
          <cell r="I8" t="str">
            <v xml:space="preserve"> </v>
          </cell>
        </row>
        <row r="9">
          <cell r="A9" t="str">
            <v>내</v>
          </cell>
          <cell r="B9" t="str">
            <v xml:space="preserve">   N / L</v>
          </cell>
          <cell r="D9" t="str">
            <v>천매</v>
          </cell>
          <cell r="E9">
            <v>0.4</v>
          </cell>
          <cell r="F9">
            <v>0</v>
          </cell>
          <cell r="G9">
            <v>0.5</v>
          </cell>
          <cell r="H9">
            <v>0.9</v>
          </cell>
        </row>
        <row r="10">
          <cell r="B10" t="str">
            <v xml:space="preserve">   A / T</v>
          </cell>
          <cell r="D10" t="str">
            <v>천평</v>
          </cell>
          <cell r="E10">
            <v>2</v>
          </cell>
          <cell r="F10">
            <v>3</v>
          </cell>
          <cell r="G10">
            <v>3</v>
          </cell>
          <cell r="H10">
            <v>8</v>
          </cell>
          <cell r="I10" t="str">
            <v xml:space="preserve"> </v>
          </cell>
        </row>
        <row r="11">
          <cell r="A11" t="str">
            <v>외</v>
          </cell>
          <cell r="B11" t="str">
            <v xml:space="preserve">   레벨콘</v>
          </cell>
          <cell r="D11" t="str">
            <v>TON</v>
          </cell>
          <cell r="E11" t="str">
            <v xml:space="preserve"> </v>
          </cell>
          <cell r="H11" t="str">
            <v xml:space="preserve"> </v>
          </cell>
        </row>
        <row r="12">
          <cell r="B12" t="str">
            <v xml:space="preserve">   G / S</v>
          </cell>
          <cell r="D12" t="str">
            <v>천평</v>
          </cell>
          <cell r="E12">
            <v>6</v>
          </cell>
          <cell r="F12">
            <v>7</v>
          </cell>
          <cell r="G12">
            <v>7</v>
          </cell>
          <cell r="H12">
            <v>20</v>
          </cell>
          <cell r="I12" t="str">
            <v xml:space="preserve"> </v>
          </cell>
        </row>
        <row r="13">
          <cell r="A13" t="str">
            <v>장</v>
          </cell>
          <cell r="B13" t="str">
            <v xml:space="preserve">   G / B</v>
          </cell>
          <cell r="D13" t="str">
            <v>TON</v>
          </cell>
          <cell r="E13">
            <v>1</v>
          </cell>
          <cell r="F13">
            <v>3</v>
          </cell>
          <cell r="G13">
            <v>3</v>
          </cell>
          <cell r="H13">
            <v>7</v>
          </cell>
          <cell r="I13" t="str">
            <v xml:space="preserve"> </v>
          </cell>
        </row>
        <row r="14">
          <cell r="B14" t="str">
            <v xml:space="preserve">   M / T</v>
          </cell>
          <cell r="D14" t="str">
            <v>천평</v>
          </cell>
          <cell r="E14">
            <v>0.5</v>
          </cell>
          <cell r="F14">
            <v>0.5</v>
          </cell>
          <cell r="G14">
            <v>0.5</v>
          </cell>
          <cell r="H14">
            <v>1.5</v>
          </cell>
        </row>
        <row r="15">
          <cell r="A15" t="str">
            <v>재</v>
          </cell>
          <cell r="B15" t="str">
            <v xml:space="preserve">   F / B</v>
          </cell>
          <cell r="D15" t="str">
            <v>천평</v>
          </cell>
          <cell r="H15">
            <v>0</v>
          </cell>
          <cell r="I15" t="str">
            <v xml:space="preserve"> </v>
          </cell>
        </row>
        <row r="16">
          <cell r="B16" t="str">
            <v xml:space="preserve">   시  공</v>
          </cell>
          <cell r="D16" t="str">
            <v>백만원</v>
          </cell>
          <cell r="E16">
            <v>60</v>
          </cell>
          <cell r="F16">
            <v>50</v>
          </cell>
          <cell r="G16">
            <v>50</v>
          </cell>
          <cell r="H16">
            <v>160</v>
          </cell>
        </row>
        <row r="17">
          <cell r="B17" t="str">
            <v xml:space="preserve">   기  타</v>
          </cell>
          <cell r="D17" t="str">
            <v>백만원</v>
          </cell>
          <cell r="E17" t="str">
            <v xml:space="preserve"> </v>
          </cell>
          <cell r="H17">
            <v>0</v>
          </cell>
        </row>
        <row r="18">
          <cell r="C18" t="str">
            <v>계</v>
          </cell>
          <cell r="D18" t="str">
            <v>백만원</v>
          </cell>
          <cell r="E18">
            <v>126.012</v>
          </cell>
          <cell r="F18">
            <v>127.776</v>
          </cell>
          <cell r="G18">
            <v>131.56299999999999</v>
          </cell>
          <cell r="H18">
            <v>385.351</v>
          </cell>
        </row>
        <row r="19">
          <cell r="C19" t="str">
            <v>L / W</v>
          </cell>
          <cell r="D19" t="str">
            <v>TON</v>
          </cell>
          <cell r="H19">
            <v>0</v>
          </cell>
          <cell r="I19" t="str">
            <v xml:space="preserve"> </v>
          </cell>
        </row>
        <row r="20">
          <cell r="B20" t="str">
            <v>암</v>
          </cell>
          <cell r="C20" t="str">
            <v>C / W</v>
          </cell>
          <cell r="D20" t="str">
            <v>TON</v>
          </cell>
          <cell r="E20">
            <v>5</v>
          </cell>
          <cell r="F20">
            <v>5</v>
          </cell>
          <cell r="G20">
            <v>5</v>
          </cell>
          <cell r="H20">
            <v>15</v>
          </cell>
          <cell r="I20" t="str">
            <v xml:space="preserve"> </v>
          </cell>
        </row>
        <row r="21">
          <cell r="A21" t="str">
            <v>보</v>
          </cell>
          <cell r="C21" t="str">
            <v>R / MB</v>
          </cell>
          <cell r="D21" t="str">
            <v>TON</v>
          </cell>
          <cell r="E21">
            <v>155</v>
          </cell>
          <cell r="F21">
            <v>150</v>
          </cell>
          <cell r="G21">
            <v>150</v>
          </cell>
          <cell r="H21">
            <v>455</v>
          </cell>
          <cell r="I21" t="str">
            <v xml:space="preserve"> </v>
          </cell>
        </row>
        <row r="22">
          <cell r="C22" t="str">
            <v>R / C</v>
          </cell>
          <cell r="D22" t="str">
            <v>TON</v>
          </cell>
          <cell r="E22">
            <v>20</v>
          </cell>
          <cell r="F22">
            <v>20</v>
          </cell>
          <cell r="G22">
            <v>40</v>
          </cell>
          <cell r="H22">
            <v>80</v>
          </cell>
          <cell r="I22" t="str">
            <v xml:space="preserve"> </v>
          </cell>
        </row>
        <row r="23">
          <cell r="A23" t="str">
            <v>온</v>
          </cell>
          <cell r="B23" t="str">
            <v>면</v>
          </cell>
          <cell r="C23" t="str">
            <v>R / T</v>
          </cell>
          <cell r="D23" t="str">
            <v>TON</v>
          </cell>
          <cell r="E23">
            <v>0</v>
          </cell>
          <cell r="H23">
            <v>0</v>
          </cell>
          <cell r="I23" t="str">
            <v xml:space="preserve"> </v>
          </cell>
        </row>
        <row r="24">
          <cell r="C24" t="str">
            <v>계</v>
          </cell>
          <cell r="D24" t="str">
            <v>TON</v>
          </cell>
          <cell r="E24">
            <v>180</v>
          </cell>
          <cell r="F24">
            <v>175</v>
          </cell>
          <cell r="G24">
            <v>195</v>
          </cell>
          <cell r="H24">
            <v>550</v>
          </cell>
        </row>
        <row r="25">
          <cell r="A25" t="str">
            <v>단</v>
          </cell>
          <cell r="B25" t="str">
            <v>유</v>
          </cell>
          <cell r="C25" t="str">
            <v>G / MB</v>
          </cell>
          <cell r="D25" t="str">
            <v>TON</v>
          </cell>
          <cell r="E25">
            <v>10</v>
          </cell>
          <cell r="F25">
            <v>10</v>
          </cell>
          <cell r="G25">
            <v>10</v>
          </cell>
          <cell r="H25">
            <v>30</v>
          </cell>
          <cell r="I25" t="str">
            <v xml:space="preserve"> </v>
          </cell>
        </row>
        <row r="26">
          <cell r="B26" t="str">
            <v>리</v>
          </cell>
          <cell r="C26" t="str">
            <v>G / C</v>
          </cell>
          <cell r="D26" t="str">
            <v>TON</v>
          </cell>
          <cell r="E26">
            <v>5</v>
          </cell>
          <cell r="F26">
            <v>5</v>
          </cell>
          <cell r="G26">
            <v>5</v>
          </cell>
          <cell r="H26">
            <v>15</v>
          </cell>
          <cell r="I26" t="str">
            <v xml:space="preserve"> </v>
          </cell>
        </row>
        <row r="27">
          <cell r="A27" t="str">
            <v>열</v>
          </cell>
          <cell r="B27" t="str">
            <v>면</v>
          </cell>
          <cell r="C27" t="str">
            <v>계</v>
          </cell>
          <cell r="D27" t="str">
            <v>TON</v>
          </cell>
          <cell r="E27">
            <v>15</v>
          </cell>
          <cell r="F27">
            <v>15</v>
          </cell>
          <cell r="G27">
            <v>15</v>
          </cell>
          <cell r="H27">
            <v>45</v>
          </cell>
        </row>
        <row r="28">
          <cell r="B28" t="str">
            <v xml:space="preserve">   C / S</v>
          </cell>
          <cell r="D28" t="str">
            <v>TON</v>
          </cell>
          <cell r="E28">
            <v>5</v>
          </cell>
          <cell r="F28">
            <v>15</v>
          </cell>
          <cell r="G28">
            <v>15</v>
          </cell>
          <cell r="H28">
            <v>35</v>
          </cell>
          <cell r="I28" t="str">
            <v xml:space="preserve"> </v>
          </cell>
        </row>
        <row r="29">
          <cell r="A29" t="str">
            <v>재</v>
          </cell>
          <cell r="B29" t="str">
            <v xml:space="preserve">   C / F</v>
          </cell>
          <cell r="D29" t="str">
            <v>TON</v>
          </cell>
          <cell r="E29">
            <v>5</v>
          </cell>
          <cell r="F29">
            <v>5</v>
          </cell>
          <cell r="G29">
            <v>5</v>
          </cell>
          <cell r="H29">
            <v>15</v>
          </cell>
          <cell r="I29" t="str">
            <v xml:space="preserve"> </v>
          </cell>
        </row>
        <row r="30">
          <cell r="B30" t="str">
            <v xml:space="preserve">   기  타</v>
          </cell>
          <cell r="D30" t="str">
            <v>백만원</v>
          </cell>
          <cell r="E30" t="str">
            <v xml:space="preserve"> </v>
          </cell>
          <cell r="F30" t="str">
            <v xml:space="preserve"> </v>
          </cell>
          <cell r="G30" t="str">
            <v xml:space="preserve"> </v>
          </cell>
          <cell r="H30">
            <v>0</v>
          </cell>
        </row>
        <row r="31">
          <cell r="C31" t="str">
            <v>계</v>
          </cell>
          <cell r="D31" t="str">
            <v>백만원</v>
          </cell>
          <cell r="E31">
            <v>173.91</v>
          </cell>
          <cell r="F31">
            <v>180.4</v>
          </cell>
          <cell r="G31">
            <v>200.4</v>
          </cell>
          <cell r="H31">
            <v>554.71</v>
          </cell>
        </row>
        <row r="32">
          <cell r="A32" t="str">
            <v>합    계</v>
          </cell>
          <cell r="D32" t="str">
            <v>백만원</v>
          </cell>
          <cell r="E32">
            <v>299.92200000000003</v>
          </cell>
          <cell r="F32">
            <v>308.17599999999999</v>
          </cell>
          <cell r="G32">
            <v>331.96299999999997</v>
          </cell>
          <cell r="H32">
            <v>940.06099999999992</v>
          </cell>
          <cell r="I32" t="str">
            <v xml:space="preserve"> </v>
          </cell>
        </row>
        <row r="33">
          <cell r="I33" t="str">
            <v xml:space="preserve">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건재양식"/>
      <sheetName val="연봉제 근로계약서"/>
      <sheetName val="요약BS"/>
      <sheetName val="교통대책내역"/>
      <sheetName val="1)기본서식"/>
    </sheetNames>
    <sheetDataSet>
      <sheetData sheetId="0" refreshError="1">
        <row r="8">
          <cell r="C8" t="str">
            <v>114-81-33298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건재양식"/>
    </sheetNames>
    <sheetDataSet>
      <sheetData sheetId="0">
        <row r="8">
          <cell r="C8" t="str">
            <v>114-81-33298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0.0ControlSheet"/>
      <sheetName val="初期値"/>
    </sheetNames>
    <sheetDataSet>
      <sheetData sheetId="0">
        <row r="6">
          <cell r="C6" t="str">
            <v>시대종합건설㈜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개요"/>
      <sheetName val="매입세"/>
      <sheetName val="갑지"/>
      <sheetName val="총괄"/>
      <sheetName val="조직"/>
      <sheetName val="투입"/>
      <sheetName val="현장관리"/>
      <sheetName val="공통가설"/>
      <sheetName val="환경관리"/>
      <sheetName val="거여아파트"/>
      <sheetName val="거여부속동"/>
      <sheetName val="조경"/>
      <sheetName val="부대토목"/>
      <sheetName val="안전관리비"/>
      <sheetName val="회사정보"/>
    </sheetNames>
    <sheetDataSet>
      <sheetData sheetId="0" refreshError="1">
        <row r="5">
          <cell r="C5" t="str">
            <v>거여동 정호연립 재건축아파트 신축공사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***********************00"/>
      <sheetName val="***********************01"/>
      <sheetName val="***********************02"/>
      <sheetName val="***********************03"/>
      <sheetName val="***********************04"/>
      <sheetName val="***********************05"/>
      <sheetName val="***********************06"/>
      <sheetName val="***********************07"/>
      <sheetName val="***********************08"/>
      <sheetName val="***********************10"/>
      <sheetName val="MRHTLXW331lHo4aeNy3U4f8Rr"/>
      <sheetName val="④층별취합양식"/>
      <sheetName val="아이디어(3)"/>
      <sheetName val="※B.I REPORT"/>
      <sheetName val="아이디어(1)"/>
      <sheetName val="아이디어(2)"/>
      <sheetName val="양식"/>
      <sheetName val="월별실적 (진짜)"/>
      <sheetName val="목표"/>
      <sheetName val="일별"/>
      <sheetName val="도면 변경전"/>
      <sheetName val="주간업무"/>
      <sheetName val="동업계"/>
      <sheetName val="4月18日週間任員"/>
      <sheetName val="관(PC)"/>
      <sheetName val="기준면적"/>
      <sheetName val="세일관리"/>
      <sheetName val="세일작"/>
      <sheetName val="세일올"/>
      <sheetName val="세일속보"/>
      <sheetName val="세일속보마감"/>
      <sheetName val="PC행사입력"/>
      <sheetName val="PC입력"/>
      <sheetName val="PC출력"/>
      <sheetName val="면적"/>
      <sheetName val="관"/>
      <sheetName val="작"/>
      <sheetName val="올"/>
      <sheetName val="가"/>
      <sheetName val="바겐속보"/>
      <sheetName val="가 (2)"/>
      <sheetName val="1월마감"/>
      <sheetName val="일매출"/>
      <sheetName val="점별"/>
      <sheetName val="행사장"/>
      <sheetName val="PC"/>
      <sheetName val="요약"/>
      <sheetName val="표지"/>
      <sheetName val="1"/>
      <sheetName val="2"/>
      <sheetName val="3"/>
      <sheetName val="4"/>
      <sheetName val="5"/>
      <sheetName val="6 "/>
      <sheetName val="7 "/>
      <sheetName val="8 "/>
      <sheetName val="9"/>
      <sheetName val="10"/>
      <sheetName val="품의"/>
      <sheetName val="xxxxxx"/>
      <sheetName val="2004년관리목표"/>
      <sheetName val="2004년실적(공사면적)"/>
      <sheetName val="2003년실적(공사면적) (2)"/>
      <sheetName val="차월추정(sb)"/>
      <sheetName val="차월(6월) 매출계획"/>
      <sheetName val="6월 아이디어"/>
      <sheetName val="당월(5월)매출"/>
      <sheetName val="1월~5월 매출실적 누계"/>
      <sheetName val="1월~6월 매출계획 누계 "/>
      <sheetName val="손익(당월)"/>
      <sheetName val="손익(누계)"/>
      <sheetName val="전통 (2)"/>
      <sheetName val="참조용"/>
      <sheetName val="월별매출추정"/>
      <sheetName val="대책양식"/>
      <sheetName val="현황,문제점 및 대책"/>
      <sheetName val="카메라"/>
      <sheetName val="EVENT"/>
      <sheetName val="총괄예산"/>
      <sheetName val="수도권"/>
      <sheetName val="부산권"/>
      <sheetName val="광주권"/>
      <sheetName val="대전권"/>
      <sheetName val="대구권"/>
      <sheetName val="대구권 (2)"/>
      <sheetName val="전주권"/>
      <sheetName val="시상내역"/>
      <sheetName val="품종별월계"/>
      <sheetName val="실적"/>
      <sheetName val="점별(추정)"/>
      <sheetName val="매출속보"/>
      <sheetName val="공사개요"/>
      <sheetName val="※B_I_REPORT"/>
      <sheetName val="월별실적_(진짜)"/>
      <sheetName val="도면_변경전"/>
      <sheetName val="가_(2)"/>
      <sheetName val="6_"/>
      <sheetName val="7_"/>
      <sheetName val="8_"/>
      <sheetName val="2003년실적(공사면적)_(2)"/>
      <sheetName val="차월(6월)_매출계획"/>
      <sheetName val="6월_아이디어"/>
      <sheetName val="1월~5월_매출실적_누계"/>
      <sheetName val="1월~6월_매출계획_누계_"/>
      <sheetName val="전통_(2)"/>
      <sheetName val="현황,문제점_및_대책"/>
      <sheetName val="대구권_(2)"/>
      <sheetName val="물량투입계획"/>
      <sheetName val="_______________________00"/>
      <sheetName val="_______________________01"/>
      <sheetName val="_______________________02"/>
      <sheetName val="_______________________03"/>
      <sheetName val="_______________________04"/>
      <sheetName val="_______________________05"/>
      <sheetName val="_______________________06"/>
      <sheetName val="_______________________07"/>
      <sheetName val="_______________________08"/>
      <sheetName val="_______________________10"/>
      <sheetName val="#REF"/>
      <sheetName val="기준자료"/>
      <sheetName val="점공통경비배부"/>
      <sheetName val="96월별PL"/>
      <sheetName val="AR"/>
      <sheetName val="관리원가"/>
      <sheetName val="자재단가"/>
      <sheetName val="세부예산"/>
      <sheetName val="※B_I_REPORT1"/>
      <sheetName val="월별실적_(진짜)1"/>
      <sheetName val="도면_변경전1"/>
      <sheetName val="가_(2)1"/>
      <sheetName val="6_1"/>
      <sheetName val="7_1"/>
      <sheetName val="8_1"/>
      <sheetName val="2003년실적(공사면적)_(2)1"/>
      <sheetName val="차월(6월)_매출계획1"/>
      <sheetName val="6월_아이디어1"/>
      <sheetName val="1월~5월_매출실적_누계1"/>
      <sheetName val="1월~6월_매출계획_누계_1"/>
      <sheetName val="전통_(2)1"/>
      <sheetName val="현황,문제점_및_대책1"/>
      <sheetName val="대구권_(2)1"/>
      <sheetName val="과6"/>
      <sheetName val="내역비교(영등포-최종)"/>
      <sheetName val="99-12경리제출"/>
      <sheetName val="선홈통"/>
      <sheetName val="외화계약"/>
      <sheetName val="대차대조표-공시형"/>
      <sheetName val="YOEMAGUM"/>
      <sheetName val="실행내역서 "/>
      <sheetName val="rs94"/>
      <sheetName val="97사업"/>
      <sheetName val="코드"/>
      <sheetName val="이익영"/>
      <sheetName val="퇴직율"/>
      <sheetName val="기안"/>
      <sheetName val="원본(그룹제외)"/>
      <sheetName val="밧데리"/>
      <sheetName val="설계내역서"/>
      <sheetName val="ITEM"/>
      <sheetName val="요인종합(당월)"/>
      <sheetName val="원가서"/>
      <sheetName val="03마감자료"/>
      <sheetName val="대전전제"/>
      <sheetName val="상품리스트"/>
      <sheetName val="Sheet2"/>
      <sheetName val="Sheet1"/>
      <sheetName val="※B_I_REPORT2"/>
      <sheetName val="월별실적_(진짜)2"/>
      <sheetName val="도면_변경전2"/>
      <sheetName val="6_2"/>
      <sheetName val="7_2"/>
      <sheetName val="8_2"/>
      <sheetName val="가_(2)2"/>
      <sheetName val="2003년실적(공사면적)_(2)2"/>
      <sheetName val="차월(6월)_매출계획2"/>
      <sheetName val="6월_아이디어2"/>
      <sheetName val="1월~5월_매출실적_누계2"/>
      <sheetName val="1월~6월_매출계획_누계_2"/>
      <sheetName val="전통_(2)2"/>
      <sheetName val="현황,문제점_및_대책2"/>
      <sheetName val="대구권_(2)2"/>
      <sheetName val="실행내역서_"/>
      <sheetName val="영업.일"/>
      <sheetName val="금호"/>
      <sheetName val="영업.일1"/>
      <sheetName val="눈마주치면 인사하기"/>
      <sheetName val="항목(삭제하지 말것)"/>
      <sheetName val="심사(1)"/>
      <sheetName val="순위 분석"/>
      <sheetName val="※B_I_REPORT3"/>
      <sheetName val="월별실적_(진짜)3"/>
      <sheetName val="도면_변경전3"/>
      <sheetName val="가_(2)3"/>
      <sheetName val="6_3"/>
      <sheetName val="7_3"/>
      <sheetName val="8_3"/>
      <sheetName val="2003년실적(공사면적)_(2)3"/>
      <sheetName val="차월(6월)_매출계획3"/>
      <sheetName val="6월_아이디어3"/>
      <sheetName val="1월~5월_매출실적_누계3"/>
      <sheetName val="1월~6월_매출계획_누계_3"/>
      <sheetName val="전통_(2)3"/>
      <sheetName val="현황,문제점_및_대책3"/>
      <sheetName val="대구권_(2)3"/>
      <sheetName val="실행내역서_1"/>
      <sheetName val="S1_1총괄"/>
      <sheetName val="ACT"/>
      <sheetName val="청"/>
      <sheetName val="MAIN"/>
      <sheetName val="협조"/>
      <sheetName val="입주현황"/>
      <sheetName val="⑤항목별2"/>
      <sheetName val="년간업무"/>
      <sheetName val="알바(level4)"/>
      <sheetName val="신한은행"/>
      <sheetName val="npv"/>
      <sheetName val="2002매출"/>
      <sheetName val="98선글라스"/>
      <sheetName val="남화"/>
      <sheetName val="①매출"/>
      <sheetName val="캔개발배경"/>
      <sheetName val="시장"/>
      <sheetName val="일정표"/>
      <sheetName val="1~5월"/>
      <sheetName val="1~9월"/>
      <sheetName val="APT"/>
      <sheetName val="금액중량"/>
      <sheetName val="단가"/>
      <sheetName val="본문"/>
      <sheetName val="④중지율"/>
      <sheetName val="payroll-salaried"/>
      <sheetName val="FF시장분석 (3)"/>
      <sheetName val="Assumptions"/>
      <sheetName val="Area&amp;Pricing"/>
      <sheetName val="호칭"/>
      <sheetName val="선급미지급비용"/>
      <sheetName val="평가표(당월)"/>
      <sheetName val="아침햇쌀"/>
      <sheetName val="영화별rawdata"/>
      <sheetName val="※B_I_REPORT4"/>
      <sheetName val="월별실적_(진짜)4"/>
      <sheetName val="도면_변경전4"/>
      <sheetName val="가_(2)4"/>
      <sheetName val="6_4"/>
      <sheetName val="7_4"/>
      <sheetName val="8_4"/>
      <sheetName val="2003년실적(공사면적)_(2)4"/>
      <sheetName val="차월(6월)_매출계획4"/>
      <sheetName val="6월_아이디어4"/>
      <sheetName val="1월~5월_매출실적_누계4"/>
      <sheetName val="1월~6월_매출계획_누계_4"/>
      <sheetName val="전통_(2)4"/>
      <sheetName val="현황,문제점_및_대책4"/>
      <sheetName val="대구권_(2)4"/>
      <sheetName val="실행내역서_2"/>
      <sheetName val="영업_일1"/>
      <sheetName val="영업_일"/>
      <sheetName val="눈마주치면_인사하기"/>
      <sheetName val="항목(삭제하지_말것)"/>
      <sheetName val="순위_분석"/>
      <sheetName val="입력"/>
      <sheetName val="덕전리"/>
      <sheetName val="공통"/>
      <sheetName val="A1"/>
      <sheetName val="참고"/>
      <sheetName val="3년간추이BCAK"/>
      <sheetName val="2차배정"/>
      <sheetName val="9612서울"/>
      <sheetName val="회사정보"/>
      <sheetName val="PL.PAD"/>
      <sheetName val="Sheet3"/>
      <sheetName val="부서실적"/>
      <sheetName val="★바겐세일 일자별 추정(5.8추정)"/>
      <sheetName val="매장물품614"/>
      <sheetName val="회차별합계"/>
      <sheetName val="MIJIBI"/>
      <sheetName val="보고"/>
      <sheetName val="판매"/>
      <sheetName val="원본(갑지)"/>
      <sheetName val="울산자동제어"/>
      <sheetName val="일위대가(가설)"/>
      <sheetName val="대차대조표"/>
      <sheetName val="평가대조표"/>
      <sheetName val="4月18日週間任員.xls"/>
      <sheetName val="세제외매출"/>
      <sheetName val="내역대비표(코크스)"/>
      <sheetName val="6호기"/>
      <sheetName val="Baby일위대가"/>
      <sheetName val="주요공정"/>
      <sheetName val="비용"/>
      <sheetName val="인구(2002년통계자료)"/>
      <sheetName val="비교1"/>
      <sheetName val="※B_I_REPORT5"/>
      <sheetName val="월별실적_(진짜)5"/>
      <sheetName val="도면_변경전5"/>
      <sheetName val="가_(2)5"/>
      <sheetName val="6_5"/>
      <sheetName val="7_5"/>
      <sheetName val="8_5"/>
      <sheetName val="2003년실적(공사면적)_(2)5"/>
      <sheetName val="차월(6월)_매출계획5"/>
      <sheetName val="6월_아이디어5"/>
      <sheetName val="1월~5월_매출실적_누계5"/>
      <sheetName val="1월~6월_매출계획_누계_5"/>
      <sheetName val="전통_(2)5"/>
      <sheetName val="현황,문제점_및_대책5"/>
      <sheetName val="대구권_(2)5"/>
      <sheetName val="실행내역서_3"/>
      <sheetName val="영업_일2"/>
      <sheetName val="영업_일11"/>
      <sheetName val="눈마주치면_인사하기1"/>
      <sheetName val="항목(삭제하지_말것)1"/>
      <sheetName val="순위_분석1"/>
      <sheetName val="FF시장분석_(3)"/>
      <sheetName val="원자재발주서"/>
      <sheetName val="96 FW 기획, 진행 현황"/>
      <sheetName val="PTO 테이블"/>
      <sheetName val="4%E6%9C%8818%E6%97%A5%E9%80%B1%"/>
      <sheetName val=""/>
      <sheetName val="금호 산업"/>
      <sheetName val="우진 I.S"/>
      <sheetName val="제일 합섬"/>
      <sheetName val="진성 실업"/>
      <sheetName val="07fall발주"/>
      <sheetName val="발주판"/>
      <sheetName val="EDI발주"/>
      <sheetName val="매출(월누계)"/>
      <sheetName val="위스키3"/>
      <sheetName val="반기PL"/>
      <sheetName val="순위"/>
      <sheetName val="※_x0002__x0000_瘀%_x0000__x0000__x0001_ࠀRT3"/>
      <sheetName val="도면_ව㧴_x0016_難"/>
      <sheetName val="2003년운영"/>
      <sheetName val="행사매출"/>
      <sheetName val="PL_PAD"/>
      <sheetName val="★바겐세일_일자별_추정(5_8추정)"/>
      <sheetName val="4月18日週間任員_xls"/>
      <sheetName val="부서별"/>
      <sheetName val="양식(직판용)"/>
      <sheetName val="영업사원입력"/>
      <sheetName val="할빙수"/>
      <sheetName val="시화점실행"/>
      <sheetName val="충청4"/>
      <sheetName val="사업부_가격정보보고양식(강남사업부)"/>
      <sheetName val="2001Org"/>
      <sheetName val="목록"/>
      <sheetName val="__Lsh056_c_98年_促_議_4月18日__任員__2"/>
      <sheetName val="매출참고(당해)"/>
      <sheetName val="각점 현황"/>
      <sheetName val="S1.1총괄"/>
      <sheetName val="Hyp_Explo"/>
      <sheetName val="※B_I_REPORT6"/>
      <sheetName val="월별실적_(진짜)6"/>
      <sheetName val="도면_변경전6"/>
      <sheetName val="가_(2)6"/>
      <sheetName val="6_6"/>
      <sheetName val="7_6"/>
      <sheetName val="8_6"/>
      <sheetName val="2003년실적(공사면적)_(2)6"/>
      <sheetName val="차월(6월)_매출계획6"/>
      <sheetName val="6월_아이디어6"/>
      <sheetName val="1월~5월_매출실적_누계6"/>
      <sheetName val="1월~6월_매출계획_누계_6"/>
      <sheetName val="전통_(2)6"/>
      <sheetName val="현황,문제점_및_대책6"/>
      <sheetName val="대구권_(2)6"/>
      <sheetName val="실행내역서_4"/>
      <sheetName val="영업_일12"/>
      <sheetName val="영업_일3"/>
      <sheetName val="눈마주치면_인사하기2"/>
      <sheetName val="항목(삭제하지_말것)2"/>
      <sheetName val="순위_분석2"/>
      <sheetName val="FF시장분석_(3)1"/>
      <sheetName val="PL_PAD1"/>
      <sheetName val="★바겐세일_일자별_추정(5_8추정)1"/>
      <sheetName val="입력1(실적및계획관련)"/>
      <sheetName val="Input Data"/>
      <sheetName val="N賃率-職"/>
      <sheetName val="인건비(ref)"/>
      <sheetName val="B"/>
      <sheetName val="108.수선비"/>
      <sheetName val="전전년실적"/>
      <sheetName val="당년사별실적"/>
      <sheetName val="임원,관리,별도"/>
      <sheetName val="현황"/>
      <sheetName val="97생산제품"/>
      <sheetName val="계획"/>
      <sheetName val="당년실적"/>
      <sheetName val="전년실적"/>
      <sheetName val="기준9801"/>
      <sheetName val="비교9701"/>
      <sheetName val="9,10월신제품 (2)"/>
      <sheetName val="zö_x001e_8"/>
      <sheetName val="팀별 실적"/>
      <sheetName val="팀별 실적 (환산)"/>
      <sheetName val="노무비"/>
      <sheetName val="교통대책내역"/>
      <sheetName val="※B_I_REPORT7"/>
      <sheetName val="월별실적_(진짜)7"/>
      <sheetName val="도면_변경전7"/>
      <sheetName val="6_7"/>
      <sheetName val="7_7"/>
      <sheetName val="8_7"/>
      <sheetName val="가_(2)7"/>
      <sheetName val="2003년실적(공사면적)_(2)7"/>
      <sheetName val="차월(6월)_매출계획7"/>
      <sheetName val="6월_아이디어7"/>
      <sheetName val="1월~5월_매출실적_누계7"/>
      <sheetName val="1월~6월_매출계획_누계_7"/>
      <sheetName val="전통_(2)7"/>
      <sheetName val="현황,문제점_및_대책7"/>
      <sheetName val="대구권_(2)7"/>
      <sheetName val="실행내역서_5"/>
      <sheetName val="영업_일13"/>
      <sheetName val="영업_일4"/>
      <sheetName val="눈마주치면_인사하기3"/>
      <sheetName val="항목(삭제하지_말것)3"/>
      <sheetName val="순위_분석3"/>
      <sheetName val="FF시장분석_(3)2"/>
      <sheetName val="PL_PAD2"/>
      <sheetName val="★바겐세일_일자별_추정(5_8추정)2"/>
      <sheetName val="4月18日週間任員_xls1"/>
      <sheetName val="※瘀%ࠀRT3"/>
      <sheetName val="도면_ව㧴難"/>
      <sheetName val="96_FW_기획,_진행_현황"/>
      <sheetName val="각점_현황"/>
      <sheetName val="S1_1총괄1"/>
      <sheetName val="Input_Data"/>
      <sheetName val="108_수선비"/>
      <sheetName val="9,10월신제품_(2)"/>
      <sheetName val="zö8"/>
      <sheetName val="팀별_실적"/>
      <sheetName val="팀별_실적_(환산)"/>
      <sheetName val="식음료"/>
      <sheetName val="※_x0002_"/>
      <sheetName val="TBUS"/>
      <sheetName val="※_x005f_x0002__x005f_x0000_瘀%_x005f_x0000__x005f_x0000_"/>
      <sheetName val="도면_ව㧴_x005f_x0016_難"/>
      <sheetName val="zö_x005f_x001e_8"/>
      <sheetName val="관리1"/>
      <sheetName val="관리"/>
      <sheetName val="내역"/>
      <sheetName val="01.02월 성과급"/>
      <sheetName val="A03-04"/>
      <sheetName val="__Lsh056_c_98年_促_議_4月18日__任員__3"/>
      <sheetName val="19SS▶"/>
      <sheetName val="MARCIANO(Y)-1"/>
      <sheetName val="MARCIANO(Y)-1 (3)"/>
      <sheetName val="MARCIANO(Y)-1 (2)"/>
      <sheetName val="MARCIANO(M)-1"/>
      <sheetName val="US-HOLIDAY(Y)-1"/>
      <sheetName val="US-HOLIDAY(M)-1"/>
      <sheetName val="EU-PRE SPRING(Y)-1"/>
      <sheetName val="EU-PRE SPRING(Y)-2"/>
      <sheetName val="EU-PRE SPRING(M)-1"/>
      <sheetName val="EU-PRE SPRING(M)-대리점"/>
      <sheetName val="EU-SS"/>
      <sheetName val="EU-SS (2)"/>
      <sheetName val="EU-SS (3)"/>
      <sheetName val="EU-SS (4)"/>
      <sheetName val="EU-SS (5)"/>
      <sheetName val="US-SP"/>
      <sheetName val="US-SP (4)"/>
      <sheetName val="US-SP (2)"/>
      <sheetName val="US-SP (3)"/>
      <sheetName val="US-SP (5)"/>
      <sheetName val="ORIGINALS"/>
      <sheetName val="J BALVIN"/>
      <sheetName val="J BALVIN (2)"/>
      <sheetName val="IMM"/>
      <sheetName val="ORDER REQUEST"/>
      <sheetName val="CANCEL"/>
      <sheetName val="CANCEL-1"/>
      <sheetName val="CANCEL (3)"/>
      <sheetName val="MARCIANO BUDGET"/>
      <sheetName val="LINE SHEET"/>
      <sheetName val="Tag Schedule"/>
      <sheetName val="피벗"/>
      <sheetName val="AX"/>
      <sheetName val="DOH"/>
      <sheetName val="DOH (MARCIANO)"/>
      <sheetName val="20SS▶"/>
      <sheetName val="EU-PRE FALL (Y)"/>
      <sheetName val="EU-PRE FALL (Y)-1"/>
      <sheetName val="EU-PRE FALL (M)-1"/>
      <sheetName val="EU-PRE FALL (M)-2"/>
      <sheetName val="US-SU (M)-1"/>
      <sheetName val="US-SU (Y)"/>
      <sheetName val="US-FA (YC)"/>
      <sheetName val="US-FA (YC)-1"/>
      <sheetName val="US-FA (MN)"/>
      <sheetName val="US-FA (MN)-1"/>
      <sheetName val="US-FA (Youth)"/>
      <sheetName val="EU-FW (YC)-1"/>
      <sheetName val="EU-FW (YC)-2"/>
      <sheetName val="EU-FW (Youth)"/>
      <sheetName val="EU-FW (MN)-1"/>
      <sheetName val="ORIGINALS-2"/>
      <sheetName val="니트(Y)"/>
      <sheetName val="니트(M)"/>
      <sheetName val="ACC"/>
      <sheetName val="기간판매 AX"/>
      <sheetName val="LTD AX"/>
      <sheetName val="등급"/>
      <sheetName val="__Lsh056_c_98______4_18_______2"/>
      <sheetName val="PTO_테이블"/>
      <sheetName val="금호_산업"/>
      <sheetName val="우진_I_S"/>
      <sheetName val="제일_합섬"/>
      <sheetName val="진성_실업"/>
      <sheetName val="SS VINA T.8"/>
      <sheetName val="SISLEY"/>
      <sheetName val="입고예정일"/>
      <sheetName val="STOCKNUMBER"/>
      <sheetName val="資材入出荷表"/>
      <sheetName val="__Lsh056_c_98______4_18_______3"/>
      <sheetName val="__Lsh056_c_98______4_18_______4"/>
      <sheetName val="※B_I_REPORT8"/>
      <sheetName val="월별실적_(진짜)8"/>
      <sheetName val="도면_변경전8"/>
      <sheetName val="가_(2)8"/>
      <sheetName val="6_8"/>
      <sheetName val="7_8"/>
      <sheetName val="8_8"/>
      <sheetName val="2003년실적(공사면적)_(2)8"/>
      <sheetName val="차월(6월)_매출계획8"/>
      <sheetName val="6월_아이디어8"/>
      <sheetName val="1월~5월_매출실적_누계8"/>
      <sheetName val="1월~6월_매출계획_누계_8"/>
      <sheetName val="전통_(2)8"/>
      <sheetName val="현황,문제점_및_대책8"/>
      <sheetName val="대구권_(2)8"/>
      <sheetName val="실행내역서_6"/>
      <sheetName val="영업_일5"/>
      <sheetName val="영업_일14"/>
      <sheetName val="눈마주치면_인사하기4"/>
      <sheetName val="항목(삭제하지_말것)4"/>
      <sheetName val="순위_분석4"/>
      <sheetName val="FF시장분석_(3)3"/>
      <sheetName val="PL_PAD3"/>
      <sheetName val="★바겐세일_일자별_추정(5_8추정)3"/>
      <sheetName val="4月18日週間任員_xls2"/>
      <sheetName val="96_FW_기획,_진행_현황1"/>
      <sheetName val="각점_현황1"/>
      <sheetName val="MARCIANO(Y)-1_(3)"/>
      <sheetName val="MARCIANO(Y)-1_(2)"/>
      <sheetName val="EU-PRE_SPRING(Y)-1"/>
      <sheetName val="EU-PRE_SPRING(Y)-2"/>
      <sheetName val="EU-PRE_SPRING(M)-1"/>
      <sheetName val="EU-PRE_SPRING(M)-대리점"/>
      <sheetName val="EU-SS_(2)"/>
      <sheetName val="EU-SS_(3)"/>
      <sheetName val="EU-SS_(4)"/>
      <sheetName val="EU-SS_(5)"/>
      <sheetName val="US-SP_(4)"/>
      <sheetName val="US-SP_(2)"/>
      <sheetName val="US-SP_(3)"/>
      <sheetName val="US-SP_(5)"/>
      <sheetName val="J_BALVIN"/>
      <sheetName val="J_BALVIN_(2)"/>
      <sheetName val="ORDER_REQUEST"/>
      <sheetName val="CANCEL_(3)"/>
      <sheetName val="MARCIANO_BUDGET"/>
      <sheetName val="LINE_SHEET"/>
      <sheetName val="Tag_Schedule"/>
      <sheetName val="DOH_(MARCIANO)"/>
      <sheetName val="EU-PRE_FALL_(Y)"/>
      <sheetName val="EU-PRE_FALL_(Y)-1"/>
      <sheetName val="EU-PRE_FALL_(M)-1"/>
      <sheetName val="EU-PRE_FALL_(M)-2"/>
      <sheetName val="US-SU_(M)-1"/>
      <sheetName val="US-SU_(Y)"/>
      <sheetName val="US-FA_(YC)"/>
      <sheetName val="US-FA_(YC)-1"/>
      <sheetName val="US-FA_(MN)"/>
      <sheetName val="US-FA_(MN)-1"/>
      <sheetName val="US-FA_(Youth)"/>
      <sheetName val="EU-FW_(YC)-1"/>
      <sheetName val="EU-FW_(YC)-2"/>
      <sheetName val="EU-FW_(Youth)"/>
      <sheetName val="EU-FW_(MN)-1"/>
      <sheetName val="기간판매_AX"/>
      <sheetName val="LTD_AX"/>
      <sheetName val="S1_1총괄2"/>
      <sheetName val="108_수선비1"/>
      <sheetName val="9,10월신제품_(2)1"/>
      <sheetName val="Input_Data1"/>
      <sheetName val="팀별_실적1"/>
      <sheetName val="팀별_실적_(환산)1"/>
      <sheetName val="※"/>
      <sheetName val="01_02월_성과급"/>
      <sheetName val="3.인원계획"/>
      <sheetName val="_150608_HM_YC______Final__MN__2"/>
      <sheetName val="가격경쟁력"/>
      <sheetName val="REORDER 처리기간"/>
      <sheetName val="TEMP"/>
      <sheetName val="소스"/>
      <sheetName val="Access"/>
      <sheetName val="草稿"/>
      <sheetName val="映前广告关联表格"/>
      <sheetName val="原材料单价分析"/>
      <sheetName val="Q3 ORDER FORM"/>
      <sheetName val="2.基础总表"/>
      <sheetName val="TRIAL3"/>
      <sheetName val="G-PROF1"/>
      <sheetName val="普查库示例"/>
      <sheetName val="品销宝切品专"/>
      <sheetName val="사입단가"/>
      <sheetName val="Evolution"/>
      <sheetName val="France"/>
      <sheetName val="Nathasha"/>
      <sheetName val="sz-Mixed"/>
      <sheetName val="태병(T)"/>
      <sheetName val="윤영(Y)"/>
      <sheetName val="影院资料"/>
      <sheetName val="F-1B"/>
      <sheetName val="재고보고"/>
      <sheetName val="FORM-SM1"/>
      <sheetName val="jhcyl"/>
      <sheetName val="目录"/>
      <sheetName val="报价单"/>
      <sheetName val="1-6月客戶數"/>
      <sheetName val="預算目標"/>
      <sheetName val="新品专"/>
      <sheetName val="산출근거"/>
      <sheetName val="映前广告关联表格20161118"/>
      <sheetName val="SnZ"/>
      <sheetName val="Criteria"/>
    </sheetNames>
    <definedNames>
      <definedName name="애인7"/>
      <definedName name="정인6"/>
      <definedName name="짜증1"/>
      <definedName name="헐크"/>
      <definedName name="화이팅" sheetId="0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 refreshError="1"/>
      <sheetData sheetId="138" refreshError="1"/>
      <sheetData sheetId="139" refreshError="1"/>
      <sheetData sheetId="140" refreshError="1"/>
      <sheetData sheetId="141"/>
      <sheetData sheetId="142" refreshError="1"/>
      <sheetData sheetId="143"/>
      <sheetData sheetId="144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 refreshError="1"/>
      <sheetData sheetId="447" refreshError="1"/>
      <sheetData sheetId="448" refreshError="1"/>
      <sheetData sheetId="449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공사개요"/>
      <sheetName val="인원계획-미화"/>
      <sheetName val="내역서"/>
      <sheetName val="총상담"/>
      <sheetName val="1)기본서식"/>
      <sheetName val="***********************00"/>
      <sheetName val="6-3(2)호_"/>
    </sheetNames>
    <sheetDataSet>
      <sheetData sheetId="0" refreshError="1">
        <row r="8">
          <cell r="C8" t="str">
            <v>114-81-33298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"/>
      <sheetName val="차순별입고"/>
      <sheetName val="생산진행 "/>
      <sheetName val="19 봄"/>
      <sheetName val="19 여름"/>
      <sheetName val="참조"/>
      <sheetName val="Sheet2"/>
      <sheetName val="오더분석1"/>
      <sheetName val="캔슬"/>
    </sheetNames>
    <sheetDataSet>
      <sheetData sheetId="0">
        <row r="4">
          <cell r="H4" t="str">
            <v>I0Z1302</v>
          </cell>
        </row>
        <row r="5">
          <cell r="H5" t="str">
            <v>I0Z1303</v>
          </cell>
        </row>
        <row r="6">
          <cell r="H6" t="str">
            <v>I0Z1304</v>
          </cell>
        </row>
        <row r="7">
          <cell r="H7" t="str">
            <v>I0Z1305</v>
          </cell>
        </row>
        <row r="8">
          <cell r="H8" t="str">
            <v>I0Z1306</v>
          </cell>
        </row>
        <row r="9">
          <cell r="H9" t="str">
            <v>I0Z1307</v>
          </cell>
        </row>
        <row r="10">
          <cell r="H10" t="str">
            <v>I0Z1308</v>
          </cell>
        </row>
        <row r="11">
          <cell r="H11" t="str">
            <v>I0Z1309</v>
          </cell>
        </row>
        <row r="12">
          <cell r="H12" t="str">
            <v>I0Z1310</v>
          </cell>
        </row>
        <row r="13">
          <cell r="H13" t="str">
            <v>I0Z1311</v>
          </cell>
        </row>
        <row r="14">
          <cell r="H14" t="str">
            <v>I0Z1312</v>
          </cell>
        </row>
        <row r="15">
          <cell r="H15" t="str">
            <v>I0Z1313</v>
          </cell>
        </row>
        <row r="16">
          <cell r="H16" t="str">
            <v>I0Z1314</v>
          </cell>
        </row>
        <row r="17">
          <cell r="H17" t="str">
            <v>I0Z1315</v>
          </cell>
        </row>
        <row r="18">
          <cell r="H18" t="str">
            <v>I0Z1316</v>
          </cell>
        </row>
        <row r="19">
          <cell r="H19" t="str">
            <v>IMZ1301</v>
          </cell>
        </row>
        <row r="20">
          <cell r="H20" t="str">
            <v>ITZ1301</v>
          </cell>
        </row>
        <row r="21">
          <cell r="H21" t="str">
            <v>ITZ1302</v>
          </cell>
        </row>
        <row r="22">
          <cell r="H22" t="str">
            <v>ITZ1303</v>
          </cell>
        </row>
        <row r="23">
          <cell r="H23" t="str">
            <v>ITZ1304</v>
          </cell>
        </row>
        <row r="24">
          <cell r="H24" t="str">
            <v>ITZ1305</v>
          </cell>
        </row>
        <row r="25">
          <cell r="H25" t="str">
            <v>I0Z4301</v>
          </cell>
        </row>
        <row r="26">
          <cell r="H26" t="str">
            <v>ITZ8301</v>
          </cell>
        </row>
        <row r="27">
          <cell r="H27" t="str">
            <v>ITZ8302</v>
          </cell>
        </row>
        <row r="28">
          <cell r="H28" t="str">
            <v>ITZ8303</v>
          </cell>
        </row>
        <row r="29">
          <cell r="H29" t="str">
            <v>ITZ8304</v>
          </cell>
        </row>
        <row r="30">
          <cell r="H30" t="str">
            <v>ITZ9301</v>
          </cell>
        </row>
        <row r="31">
          <cell r="H31" t="str">
            <v>ITZ9302</v>
          </cell>
        </row>
        <row r="32">
          <cell r="H32" t="str">
            <v>ITZ9303</v>
          </cell>
        </row>
        <row r="33">
          <cell r="H33" t="str">
            <v>ITZ9304</v>
          </cell>
        </row>
        <row r="34">
          <cell r="H34" t="str">
            <v>ITZ9305</v>
          </cell>
        </row>
        <row r="35">
          <cell r="H35" t="str">
            <v>I0Z6301</v>
          </cell>
        </row>
        <row r="36">
          <cell r="H36" t="str">
            <v>I0Z6302</v>
          </cell>
        </row>
        <row r="37">
          <cell r="H37" t="str">
            <v>I0Z6303</v>
          </cell>
        </row>
        <row r="38">
          <cell r="H38" t="str">
            <v>I0Z6304</v>
          </cell>
        </row>
        <row r="39">
          <cell r="H39" t="str">
            <v>I0Z6305</v>
          </cell>
        </row>
        <row r="40">
          <cell r="H40" t="str">
            <v>ITZ6301</v>
          </cell>
        </row>
        <row r="41">
          <cell r="H41" t="str">
            <v>ITZT301</v>
          </cell>
        </row>
        <row r="42">
          <cell r="H42" t="str">
            <v>I0Z7301</v>
          </cell>
        </row>
        <row r="43">
          <cell r="H43" t="str">
            <v>I0Z7302</v>
          </cell>
        </row>
        <row r="44">
          <cell r="H44" t="str">
            <v>I0Z7303</v>
          </cell>
        </row>
        <row r="45">
          <cell r="H45" t="str">
            <v>ITZ7301</v>
          </cell>
        </row>
        <row r="46">
          <cell r="H46" t="str">
            <v>ITZ7302</v>
          </cell>
        </row>
        <row r="47">
          <cell r="H47" t="str">
            <v>ITZ7303</v>
          </cell>
        </row>
        <row r="48">
          <cell r="H48" t="str">
            <v>ITZ7304</v>
          </cell>
        </row>
        <row r="49">
          <cell r="H49" t="str">
            <v>ITZ7305</v>
          </cell>
        </row>
        <row r="50">
          <cell r="H50" t="str">
            <v>ITZ7306</v>
          </cell>
        </row>
        <row r="51">
          <cell r="H51" t="str">
            <v>P0Z1302</v>
          </cell>
        </row>
        <row r="52">
          <cell r="H52" t="str">
            <v>P0Z1303</v>
          </cell>
        </row>
        <row r="53">
          <cell r="H53" t="str">
            <v>P0Z1304</v>
          </cell>
        </row>
        <row r="54">
          <cell r="H54" t="str">
            <v>P0Z1305</v>
          </cell>
        </row>
        <row r="55">
          <cell r="H55" t="str">
            <v>P0Z1306</v>
          </cell>
        </row>
        <row r="56">
          <cell r="H56" t="str">
            <v>P0Z1307</v>
          </cell>
        </row>
        <row r="57">
          <cell r="H57" t="str">
            <v>P0Z1308</v>
          </cell>
        </row>
        <row r="58">
          <cell r="H58" t="str">
            <v>P0Z1309</v>
          </cell>
        </row>
        <row r="59">
          <cell r="H59" t="str">
            <v>P0Z1310</v>
          </cell>
        </row>
        <row r="60">
          <cell r="H60" t="str">
            <v>P0Z1311</v>
          </cell>
        </row>
        <row r="61">
          <cell r="H61" t="str">
            <v>P0Z1312</v>
          </cell>
        </row>
        <row r="62">
          <cell r="H62" t="str">
            <v>P0Z1313</v>
          </cell>
        </row>
        <row r="63">
          <cell r="H63" t="str">
            <v>PMZ1301</v>
          </cell>
        </row>
        <row r="64">
          <cell r="H64" t="str">
            <v>PTZ1301</v>
          </cell>
        </row>
        <row r="65">
          <cell r="H65" t="str">
            <v>PTZ1302</v>
          </cell>
        </row>
        <row r="66">
          <cell r="H66" t="str">
            <v>PTZ1303</v>
          </cell>
        </row>
        <row r="67">
          <cell r="H67" t="str">
            <v>P0Z4301</v>
          </cell>
        </row>
        <row r="68">
          <cell r="H68" t="str">
            <v>P0Z4302</v>
          </cell>
        </row>
        <row r="69">
          <cell r="H69" t="str">
            <v>P0Z4303</v>
          </cell>
        </row>
        <row r="70">
          <cell r="H70" t="str">
            <v>PTZ8301</v>
          </cell>
        </row>
        <row r="71">
          <cell r="H71" t="str">
            <v>PTZ8302</v>
          </cell>
        </row>
        <row r="72">
          <cell r="H72" t="str">
            <v>PTZ8303</v>
          </cell>
        </row>
        <row r="73">
          <cell r="H73" t="str">
            <v>PTZ8304</v>
          </cell>
        </row>
        <row r="74">
          <cell r="H74" t="str">
            <v>PTZ8305</v>
          </cell>
        </row>
        <row r="75">
          <cell r="H75" t="str">
            <v>P0Z6301</v>
          </cell>
        </row>
        <row r="76">
          <cell r="H76" t="str">
            <v>P0Z6302</v>
          </cell>
        </row>
        <row r="77">
          <cell r="H77" t="str">
            <v>P0Z6303</v>
          </cell>
        </row>
        <row r="78">
          <cell r="H78" t="str">
            <v>P0Z6304</v>
          </cell>
        </row>
        <row r="79">
          <cell r="H79" t="str">
            <v>PTZT301</v>
          </cell>
        </row>
        <row r="80">
          <cell r="H80" t="str">
            <v>PTZC301</v>
          </cell>
        </row>
        <row r="81">
          <cell r="H81" t="str">
            <v>PTZC302</v>
          </cell>
        </row>
        <row r="82">
          <cell r="H82" t="str">
            <v>P0Z7301</v>
          </cell>
        </row>
        <row r="83">
          <cell r="H83" t="str">
            <v>P0Z7302</v>
          </cell>
        </row>
        <row r="84">
          <cell r="H84" t="str">
            <v>P0Z7303</v>
          </cell>
        </row>
        <row r="85">
          <cell r="H85" t="str">
            <v>P0Z7304</v>
          </cell>
        </row>
        <row r="86">
          <cell r="H86" t="str">
            <v>P0Z7305</v>
          </cell>
        </row>
        <row r="87">
          <cell r="H87" t="str">
            <v>PTZ7301</v>
          </cell>
        </row>
        <row r="88">
          <cell r="H88" t="str">
            <v>PTZ7302</v>
          </cell>
        </row>
        <row r="89">
          <cell r="H89" t="str">
            <v>PTZ7303</v>
          </cell>
        </row>
        <row r="90">
          <cell r="H90" t="str">
            <v>P0ZQ301</v>
          </cell>
        </row>
        <row r="91">
          <cell r="H91" t="str">
            <v>I0Z1401</v>
          </cell>
        </row>
        <row r="92">
          <cell r="H92" t="str">
            <v>I0Z1402</v>
          </cell>
        </row>
        <row r="93">
          <cell r="H93" t="str">
            <v>I0Z1403</v>
          </cell>
        </row>
        <row r="94">
          <cell r="H94" t="str">
            <v>I0Z1404</v>
          </cell>
        </row>
        <row r="95">
          <cell r="H95" t="str">
            <v>I0Z1405</v>
          </cell>
        </row>
        <row r="96">
          <cell r="H96" t="str">
            <v>I0Z1406</v>
          </cell>
        </row>
        <row r="97">
          <cell r="H97" t="str">
            <v>I0Z1407</v>
          </cell>
        </row>
        <row r="98">
          <cell r="H98" t="str">
            <v>I0Z1408</v>
          </cell>
        </row>
        <row r="99">
          <cell r="H99" t="str">
            <v>I0Z1409</v>
          </cell>
        </row>
        <row r="100">
          <cell r="H100" t="str">
            <v>I0Z1410</v>
          </cell>
        </row>
        <row r="101">
          <cell r="H101" t="str">
            <v>I0Z1411</v>
          </cell>
        </row>
        <row r="102">
          <cell r="H102" t="str">
            <v>I0Z1412</v>
          </cell>
        </row>
        <row r="103">
          <cell r="H103" t="str">
            <v>I0Z1413</v>
          </cell>
        </row>
        <row r="104">
          <cell r="H104" t="str">
            <v>I0Z1414</v>
          </cell>
        </row>
        <row r="105">
          <cell r="H105" t="str">
            <v>ITZ1401</v>
          </cell>
        </row>
        <row r="106">
          <cell r="H106" t="str">
            <v>ITZ1402</v>
          </cell>
        </row>
        <row r="107">
          <cell r="H107" t="str">
            <v>ITZ1403</v>
          </cell>
        </row>
        <row r="108">
          <cell r="H108" t="str">
            <v>ITZ1404</v>
          </cell>
        </row>
        <row r="109">
          <cell r="H109" t="str">
            <v>I0Z2401</v>
          </cell>
        </row>
        <row r="110">
          <cell r="H110" t="str">
            <v>I0Z2402</v>
          </cell>
        </row>
        <row r="111">
          <cell r="H111" t="str">
            <v>I0Z2403</v>
          </cell>
        </row>
        <row r="112">
          <cell r="H112" t="str">
            <v>IMZ2401</v>
          </cell>
        </row>
        <row r="113">
          <cell r="H113" t="str">
            <v>IMZ2402</v>
          </cell>
        </row>
        <row r="114">
          <cell r="H114" t="str">
            <v>IMZ2403</v>
          </cell>
        </row>
        <row r="115">
          <cell r="H115" t="str">
            <v>I0Z4401</v>
          </cell>
        </row>
        <row r="116">
          <cell r="H116" t="str">
            <v>IMZ4401</v>
          </cell>
        </row>
        <row r="117">
          <cell r="H117" t="str">
            <v>IMZ4402</v>
          </cell>
        </row>
        <row r="118">
          <cell r="H118" t="str">
            <v>I0Z5401</v>
          </cell>
        </row>
        <row r="119">
          <cell r="H119" t="str">
            <v>I0Z5402</v>
          </cell>
        </row>
        <row r="120">
          <cell r="H120" t="str">
            <v>ITZ5401</v>
          </cell>
        </row>
        <row r="121">
          <cell r="H121" t="str">
            <v>ITZ8401</v>
          </cell>
        </row>
        <row r="122">
          <cell r="H122" t="str">
            <v>ITZ8402</v>
          </cell>
        </row>
        <row r="123">
          <cell r="H123" t="str">
            <v>ITZ8403</v>
          </cell>
        </row>
        <row r="124">
          <cell r="H124" t="str">
            <v>ITZ8404</v>
          </cell>
        </row>
        <row r="125">
          <cell r="H125" t="str">
            <v>ITZ9401</v>
          </cell>
        </row>
        <row r="126">
          <cell r="H126" t="str">
            <v>ITZ9402</v>
          </cell>
        </row>
        <row r="127">
          <cell r="H127" t="str">
            <v>ITZ9403</v>
          </cell>
        </row>
        <row r="128">
          <cell r="H128" t="str">
            <v>I0Z6401</v>
          </cell>
        </row>
        <row r="129">
          <cell r="H129" t="str">
            <v>I0Z6402</v>
          </cell>
        </row>
        <row r="130">
          <cell r="H130" t="str">
            <v>I0Z6403</v>
          </cell>
        </row>
        <row r="131">
          <cell r="H131" t="str">
            <v>I0Z6404</v>
          </cell>
        </row>
        <row r="132">
          <cell r="H132" t="str">
            <v>ITZ6401</v>
          </cell>
        </row>
        <row r="133">
          <cell r="H133" t="str">
            <v>ITZ6402</v>
          </cell>
        </row>
        <row r="134">
          <cell r="H134" t="str">
            <v>ITZT401</v>
          </cell>
        </row>
        <row r="135">
          <cell r="H135" t="str">
            <v>ITZT402</v>
          </cell>
        </row>
        <row r="136">
          <cell r="H136" t="str">
            <v>ITZT403</v>
          </cell>
        </row>
        <row r="137">
          <cell r="H137" t="str">
            <v>ITZC401</v>
          </cell>
        </row>
        <row r="138">
          <cell r="H138" t="str">
            <v>I0ZV401</v>
          </cell>
        </row>
        <row r="139">
          <cell r="H139" t="str">
            <v>I0ZV402</v>
          </cell>
        </row>
        <row r="140">
          <cell r="H140" t="str">
            <v>IMZV401</v>
          </cell>
        </row>
        <row r="141">
          <cell r="H141" t="str">
            <v>ITZV401</v>
          </cell>
        </row>
        <row r="142">
          <cell r="H142" t="str">
            <v>I0Z7401</v>
          </cell>
        </row>
        <row r="143">
          <cell r="H143" t="str">
            <v>I0Z7402</v>
          </cell>
        </row>
        <row r="144">
          <cell r="H144" t="str">
            <v>I0Z7403</v>
          </cell>
        </row>
        <row r="145">
          <cell r="H145" t="str">
            <v>I0Z7404</v>
          </cell>
        </row>
        <row r="146">
          <cell r="H146" t="str">
            <v>I0Z7405</v>
          </cell>
        </row>
        <row r="147">
          <cell r="H147" t="str">
            <v>I0Z7406</v>
          </cell>
        </row>
        <row r="148">
          <cell r="H148" t="str">
            <v>ITZ7401</v>
          </cell>
        </row>
        <row r="149">
          <cell r="H149" t="str">
            <v>ITZ7402</v>
          </cell>
        </row>
        <row r="150">
          <cell r="H150" t="str">
            <v>ITZ7403</v>
          </cell>
        </row>
        <row r="151">
          <cell r="H151" t="str">
            <v>ITZ7404</v>
          </cell>
        </row>
        <row r="152">
          <cell r="H152" t="str">
            <v>ITZ7405</v>
          </cell>
        </row>
        <row r="153">
          <cell r="H153" t="str">
            <v>P0Z1401</v>
          </cell>
        </row>
        <row r="154">
          <cell r="H154" t="str">
            <v>P0Z1402</v>
          </cell>
        </row>
        <row r="155">
          <cell r="H155" t="str">
            <v>P0Z1403</v>
          </cell>
        </row>
        <row r="156">
          <cell r="H156" t="str">
            <v>P0Z1404</v>
          </cell>
        </row>
        <row r="157">
          <cell r="H157" t="str">
            <v>P0Z1405</v>
          </cell>
        </row>
        <row r="158">
          <cell r="H158" t="str">
            <v>P0Z1406</v>
          </cell>
        </row>
        <row r="159">
          <cell r="H159" t="str">
            <v>P0Z1407</v>
          </cell>
        </row>
        <row r="160">
          <cell r="H160" t="str">
            <v>P0Z1408</v>
          </cell>
        </row>
        <row r="161">
          <cell r="H161" t="str">
            <v>P0Z1409</v>
          </cell>
        </row>
        <row r="162">
          <cell r="H162" t="str">
            <v>P0Z1410</v>
          </cell>
        </row>
        <row r="163">
          <cell r="H163" t="str">
            <v>P0Z1411</v>
          </cell>
        </row>
        <row r="164">
          <cell r="H164" t="str">
            <v>P0Z1412</v>
          </cell>
        </row>
        <row r="165">
          <cell r="H165" t="str">
            <v>P0Z1413</v>
          </cell>
        </row>
        <row r="166">
          <cell r="H166" t="str">
            <v>PTZ1401</v>
          </cell>
        </row>
        <row r="167">
          <cell r="H167" t="str">
            <v>PTZ1402</v>
          </cell>
        </row>
        <row r="168">
          <cell r="H168" t="str">
            <v>PTZ1403</v>
          </cell>
        </row>
        <row r="169">
          <cell r="H169" t="str">
            <v>PTZ1404</v>
          </cell>
        </row>
        <row r="170">
          <cell r="H170" t="str">
            <v>P0Z2401</v>
          </cell>
        </row>
        <row r="171">
          <cell r="H171" t="str">
            <v>P0Z2402</v>
          </cell>
        </row>
        <row r="172">
          <cell r="H172" t="str">
            <v>P0Z2403</v>
          </cell>
        </row>
        <row r="173">
          <cell r="H173" t="str">
            <v>PMZ2401</v>
          </cell>
        </row>
        <row r="174">
          <cell r="H174" t="str">
            <v>PTZ2401</v>
          </cell>
        </row>
        <row r="175">
          <cell r="H175" t="str">
            <v>PTZ2403</v>
          </cell>
        </row>
        <row r="176">
          <cell r="H176" t="str">
            <v>P0Z4401</v>
          </cell>
        </row>
        <row r="177">
          <cell r="H177" t="str">
            <v>P0Z4402</v>
          </cell>
        </row>
        <row r="178">
          <cell r="H178" t="str">
            <v>PTZ5401</v>
          </cell>
        </row>
        <row r="179">
          <cell r="H179" t="str">
            <v>PTZ5402</v>
          </cell>
        </row>
        <row r="180">
          <cell r="H180" t="str">
            <v>PTZ5403</v>
          </cell>
        </row>
        <row r="181">
          <cell r="H181" t="str">
            <v>P0Z6402</v>
          </cell>
        </row>
        <row r="182">
          <cell r="H182" t="str">
            <v>P0Z6403</v>
          </cell>
        </row>
        <row r="183">
          <cell r="H183" t="str">
            <v>P0Z6404</v>
          </cell>
        </row>
        <row r="184">
          <cell r="H184" t="str">
            <v>PMZ6401</v>
          </cell>
        </row>
        <row r="185">
          <cell r="H185" t="str">
            <v>PTZT401</v>
          </cell>
        </row>
        <row r="186">
          <cell r="H186" t="str">
            <v>PTZT402</v>
          </cell>
        </row>
        <row r="187">
          <cell r="H187" t="str">
            <v>PTZC401</v>
          </cell>
        </row>
        <row r="188">
          <cell r="H188" t="str">
            <v>PTZC402</v>
          </cell>
        </row>
        <row r="189">
          <cell r="H189" t="str">
            <v>PTZC403</v>
          </cell>
        </row>
        <row r="190">
          <cell r="H190" t="str">
            <v>PTZC404</v>
          </cell>
        </row>
        <row r="191">
          <cell r="H191" t="str">
            <v>PTZC405</v>
          </cell>
        </row>
        <row r="192">
          <cell r="H192" t="str">
            <v>P0ZV402</v>
          </cell>
        </row>
        <row r="193">
          <cell r="H193" t="str">
            <v>PMZV401</v>
          </cell>
        </row>
        <row r="194">
          <cell r="H194" t="str">
            <v>PTZV401</v>
          </cell>
        </row>
        <row r="195">
          <cell r="H195" t="str">
            <v>P0Z7401</v>
          </cell>
        </row>
        <row r="196">
          <cell r="H196" t="str">
            <v>P0Z7402</v>
          </cell>
        </row>
        <row r="197">
          <cell r="H197" t="str">
            <v>P0Z7403</v>
          </cell>
        </row>
        <row r="198">
          <cell r="H198" t="str">
            <v>P0Z7404</v>
          </cell>
        </row>
        <row r="199">
          <cell r="H199" t="str">
            <v>P0Z7405</v>
          </cell>
        </row>
        <row r="200">
          <cell r="H200" t="str">
            <v>PTZ7401</v>
          </cell>
        </row>
        <row r="201">
          <cell r="H201" t="str">
            <v>PTZ7402</v>
          </cell>
        </row>
        <row r="202">
          <cell r="H202" t="str">
            <v>PTZ7403</v>
          </cell>
        </row>
        <row r="203">
          <cell r="H203" t="str">
            <v>PTZ7404</v>
          </cell>
        </row>
        <row r="204">
          <cell r="H204" t="str">
            <v>PTZ7405</v>
          </cell>
        </row>
        <row r="205">
          <cell r="H205" t="str">
            <v>PTZ7406</v>
          </cell>
        </row>
        <row r="206">
          <cell r="H206" t="str">
            <v>PTZ7407</v>
          </cell>
        </row>
        <row r="207">
          <cell r="H207" t="str">
            <v>P0ZQ401</v>
          </cell>
        </row>
        <row r="208">
          <cell r="H208" t="str">
            <v>ISZ1301</v>
          </cell>
        </row>
        <row r="209">
          <cell r="H209" t="str">
            <v>ISZ1401</v>
          </cell>
        </row>
        <row r="210">
          <cell r="H210" t="str">
            <v>ISZ1402</v>
          </cell>
        </row>
        <row r="211">
          <cell r="H211" t="str">
            <v>ISZ1403</v>
          </cell>
        </row>
        <row r="212">
          <cell r="H212" t="str">
            <v>ISZ1404</v>
          </cell>
        </row>
        <row r="213">
          <cell r="H213" t="str">
            <v>ISZ1405</v>
          </cell>
        </row>
        <row r="214">
          <cell r="H214" t="str">
            <v>ISZ1407</v>
          </cell>
        </row>
        <row r="215">
          <cell r="H215" t="str">
            <v>ISZ1409</v>
          </cell>
        </row>
        <row r="216">
          <cell r="H216" t="str">
            <v>ISZ1411</v>
          </cell>
        </row>
        <row r="217">
          <cell r="H217" t="str">
            <v>ISZ1412</v>
          </cell>
        </row>
        <row r="218">
          <cell r="H218" t="str">
            <v>ISZ1413</v>
          </cell>
        </row>
        <row r="219">
          <cell r="H219" t="str">
            <v>ISZ1414</v>
          </cell>
        </row>
        <row r="220">
          <cell r="H220" t="str">
            <v>ISZ7401</v>
          </cell>
        </row>
        <row r="221">
          <cell r="H221" t="str">
            <v>ISZ7402</v>
          </cell>
        </row>
        <row r="222">
          <cell r="H222" t="str">
            <v>ISZ7403</v>
          </cell>
        </row>
        <row r="223">
          <cell r="H223" t="str">
            <v>ISZ7404</v>
          </cell>
        </row>
        <row r="224">
          <cell r="H224" t="str">
            <v>IAZV301</v>
          </cell>
        </row>
        <row r="225">
          <cell r="H225" t="str">
            <v>IAZV302</v>
          </cell>
        </row>
        <row r="226">
          <cell r="H226" t="str">
            <v>IAZW301</v>
          </cell>
        </row>
        <row r="227">
          <cell r="H227" t="str">
            <v>IAZW302</v>
          </cell>
        </row>
        <row r="228">
          <cell r="H228" t="str">
            <v>IAZW303</v>
          </cell>
        </row>
        <row r="229">
          <cell r="H229" t="str">
            <v>IAZW304</v>
          </cell>
        </row>
        <row r="230">
          <cell r="H230" t="str">
            <v>IAZW305</v>
          </cell>
        </row>
        <row r="231">
          <cell r="H231" t="str">
            <v>IAZW306</v>
          </cell>
        </row>
        <row r="232">
          <cell r="H232" t="str">
            <v>IAZW307</v>
          </cell>
        </row>
        <row r="233">
          <cell r="H233" t="str">
            <v>IAZW308</v>
          </cell>
        </row>
        <row r="234">
          <cell r="H234" t="str">
            <v>IAZW309</v>
          </cell>
        </row>
        <row r="235">
          <cell r="H235" t="str">
            <v>PAZW301</v>
          </cell>
        </row>
        <row r="236">
          <cell r="H236" t="str">
            <v>PAZW302</v>
          </cell>
        </row>
        <row r="237">
          <cell r="H237" t="str">
            <v>PAZW303</v>
          </cell>
        </row>
        <row r="238">
          <cell r="H238" t="str">
            <v>PAZW304</v>
          </cell>
        </row>
        <row r="239">
          <cell r="H239" t="str">
            <v>PAZW305</v>
          </cell>
        </row>
        <row r="240">
          <cell r="H240" t="str">
            <v>PAZW306</v>
          </cell>
        </row>
        <row r="241">
          <cell r="H241" t="str">
            <v>PAZW307</v>
          </cell>
        </row>
        <row r="242">
          <cell r="H242" t="str">
            <v>PAZX301</v>
          </cell>
        </row>
        <row r="243">
          <cell r="H243" t="str">
            <v>IAZW401</v>
          </cell>
        </row>
        <row r="244">
          <cell r="H244" t="str">
            <v>IAZW402</v>
          </cell>
        </row>
        <row r="245">
          <cell r="H245" t="str">
            <v>IAZW403</v>
          </cell>
        </row>
        <row r="246">
          <cell r="H246" t="str">
            <v>IAZW404</v>
          </cell>
        </row>
        <row r="247">
          <cell r="H247" t="str">
            <v>IAZW405</v>
          </cell>
        </row>
        <row r="248">
          <cell r="H248" t="str">
            <v>IAZW406</v>
          </cell>
        </row>
        <row r="249">
          <cell r="H249" t="str">
            <v>IAZW407</v>
          </cell>
        </row>
        <row r="250">
          <cell r="H250" t="str">
            <v>IAZW408</v>
          </cell>
        </row>
        <row r="251">
          <cell r="H251" t="str">
            <v>IAZW409</v>
          </cell>
        </row>
        <row r="252">
          <cell r="H252" t="str">
            <v>IAZW410</v>
          </cell>
        </row>
        <row r="253">
          <cell r="H253" t="str">
            <v>IAZW411</v>
          </cell>
        </row>
        <row r="254">
          <cell r="H254" t="str">
            <v>PAZM401</v>
          </cell>
        </row>
        <row r="255">
          <cell r="H255" t="str">
            <v>PAZW401</v>
          </cell>
        </row>
        <row r="256">
          <cell r="H256" t="str">
            <v>PAZW402</v>
          </cell>
        </row>
        <row r="257">
          <cell r="H257" t="str">
            <v>PAZW403</v>
          </cell>
        </row>
        <row r="258">
          <cell r="H258" t="str">
            <v>PAZW404</v>
          </cell>
        </row>
        <row r="259">
          <cell r="H259" t="str">
            <v>PAZW405</v>
          </cell>
        </row>
        <row r="260">
          <cell r="H260" t="str">
            <v>PAZW406</v>
          </cell>
        </row>
        <row r="261">
          <cell r="H261" t="str">
            <v>PAZW407</v>
          </cell>
        </row>
        <row r="262">
          <cell r="H262" t="str">
            <v>PAZW408</v>
          </cell>
        </row>
        <row r="263">
          <cell r="H263" t="str">
            <v>PAZW409</v>
          </cell>
        </row>
        <row r="264">
          <cell r="H264" t="str">
            <v>PAZW410</v>
          </cell>
        </row>
        <row r="265">
          <cell r="H265" t="str">
            <v>PAZW411</v>
          </cell>
        </row>
        <row r="266">
          <cell r="H266" t="str">
            <v>PAZW412</v>
          </cell>
        </row>
        <row r="267">
          <cell r="H267" t="str">
            <v>PAZX401</v>
          </cell>
        </row>
        <row r="268">
          <cell r="H268" t="str">
            <v>PAZX402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공사개요"/>
      <sheetName val="Purchase"/>
      <sheetName val="인원계획-미화"/>
      <sheetName val="Sheet3"/>
      <sheetName val="1)기본서식"/>
      <sheetName val="***********************00"/>
    </sheetNames>
    <sheetDataSet>
      <sheetData sheetId="0" refreshError="1">
        <row r="6">
          <cell r="C6" t="str">
            <v>시대종합건설㈜</v>
          </cell>
        </row>
        <row r="7">
          <cell r="C7" t="str">
            <v>장하림.이종선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0.1keyAssumption"/>
      <sheetName val="0.0ControlSheet"/>
      <sheetName val="Ctrl"/>
      <sheetName val="공사기성"/>
      <sheetName val="아파트진행률"/>
      <sheetName val="Income Statement(AR)"/>
      <sheetName val="1)기본서식"/>
      <sheetName val="현장관리비"/>
      <sheetName val="96제조"/>
      <sheetName val="6-3(2)호_"/>
      <sheetName val="0_1keyAssumption"/>
      <sheetName val="0_0ControlSheet"/>
      <sheetName val="Income_Statement(AR)"/>
    </sheetNames>
    <sheetDataSet>
      <sheetData sheetId="0" refreshError="1">
        <row r="8">
          <cell r="C8" t="str">
            <v>114-81-33298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계정code"/>
    </sheetNames>
    <sheetDataSet>
      <sheetData sheetId="0" refreshError="1">
        <row r="6">
          <cell r="C6" t="str">
            <v>시대종합건설㈜</v>
          </cell>
        </row>
        <row r="7">
          <cell r="C7" t="str">
            <v>장하림.이종선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</sheetNames>
    <sheetDataSet>
      <sheetData sheetId="0" refreshError="1">
        <row r="8">
          <cell r="C8" t="str">
            <v>114-81-33298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 HIT-&gt;HMC 견적(3900)"/>
      <sheetName val="첨부1"/>
    </sheetNames>
    <sheetDataSet>
      <sheetData sheetId="0" refreshError="1">
        <row r="7">
          <cell r="C7" t="str">
            <v>장하림.이종선</v>
          </cell>
        </row>
        <row r="9">
          <cell r="C9" t="str">
            <v>110111-0369870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500"/>
      <sheetName val="4530"/>
      <sheetName val="4510당기"/>
      <sheetName val="4520전기"/>
      <sheetName val="T4"/>
      <sheetName val="T23(갑)"/>
      <sheetName val="T23(을)"/>
      <sheetName val="T34"/>
      <sheetName val="T48"/>
      <sheetName val="T48a"/>
      <sheetName val="T51"/>
      <sheetName val="회사정보"/>
      <sheetName val="admin"/>
      <sheetName val=" HIT-&gt;HMC 견적(3900)"/>
      <sheetName val="_HIT-&gt;HMC_견적(3900)"/>
      <sheetName val="외주정비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6">
          <cell r="D16">
            <v>32505000</v>
          </cell>
        </row>
        <row r="28">
          <cell r="D28">
            <v>7935029</v>
          </cell>
        </row>
        <row r="36">
          <cell r="D36">
            <v>1477300</v>
          </cell>
        </row>
        <row r="57">
          <cell r="E57">
            <v>17695249</v>
          </cell>
        </row>
        <row r="64">
          <cell r="D64">
            <v>695000</v>
          </cell>
        </row>
      </sheetData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"/>
      <sheetName val="3210"/>
      <sheetName val="3240"/>
      <sheetName val="매출채권명세"/>
      <sheetName val="대손충당금"/>
      <sheetName val="매출채권요약"/>
      <sheetName val="반기매출채권잔액"/>
      <sheetName val="4300"/>
      <sheetName val="6010"/>
      <sheetName val="6030"/>
      <sheetName val="신적용_회사조정"/>
      <sheetName val="회사제시조정"/>
      <sheetName val="6040"/>
      <sheetName val="매출액명세"/>
      <sheetName val="6300 "/>
      <sheetName val="BS"/>
      <sheetName val="손익계산서"/>
      <sheetName val="시산표(2003.12)"/>
      <sheetName val="손익주석"/>
      <sheetName val="손익주석 (2)"/>
      <sheetName val="T48a"/>
      <sheetName val="회사정보"/>
      <sheetName val="교통대책내역"/>
    </sheetNames>
    <sheetDataSet>
      <sheetData sheetId="0" refreshError="1">
        <row r="2">
          <cell r="E2" t="str">
            <v>WCC</v>
          </cell>
          <cell r="G2">
            <v>38022</v>
          </cell>
        </row>
        <row r="13">
          <cell r="C13" t="str">
            <v>신성통상㈜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ADMIN"/>
      <sheetName val="T48a"/>
      <sheetName val="98지급계획"/>
    </sheetNames>
    <sheetDataSet>
      <sheetData sheetId="0" refreshError="1">
        <row r="7">
          <cell r="C7" t="str">
            <v>장하림.이종선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ADMIN"/>
    </sheetNames>
    <sheetDataSet>
      <sheetData sheetId="0">
        <row r="6">
          <cell r="C6" t="str">
            <v>시대종합건설㈜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ADMIN"/>
    </sheetNames>
    <sheetDataSet>
      <sheetData sheetId="0" refreshError="1">
        <row r="8">
          <cell r="C8" t="str">
            <v>114-81-33298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봄판매현황"/>
      <sheetName val="3.여름판매현황"/>
      <sheetName val="3.가을판매현황"/>
      <sheetName val="3.겨울판매현황"/>
      <sheetName val="4.판매베스트20"/>
      <sheetName val="5. FW 입고"/>
      <sheetName val="5.봄 입고"/>
      <sheetName val="5.여름 입고"/>
      <sheetName val="5.스팟리오더"/>
      <sheetName val="6.샘플투입현황"/>
      <sheetName val="9. 상품기획팀 추진업무"/>
      <sheetName val="DB 2018 SS 1"/>
      <sheetName val="DB 2017 SS 2"/>
      <sheetName val="2018 금주 판매"/>
      <sheetName val="2018 전주 판매"/>
      <sheetName val="2017 주간 4"/>
      <sheetName val="입고일자 9"/>
      <sheetName val="예상판매율 10"/>
      <sheetName val="참조"/>
      <sheetName val="회사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A3" t="str">
            <v>할인품번</v>
          </cell>
        </row>
        <row r="4">
          <cell r="T4" t="str">
            <v>I0W1206</v>
          </cell>
          <cell r="U4" t="str">
            <v>남) 2도스트라이프 요꼬 티셔츠</v>
          </cell>
        </row>
        <row r="5">
          <cell r="T5" t="str">
            <v>I0W1302</v>
          </cell>
          <cell r="U5" t="str">
            <v>남) 요꼬에리 기본 티셔츠</v>
          </cell>
        </row>
        <row r="6">
          <cell r="T6" t="str">
            <v>I0W1303</v>
          </cell>
          <cell r="U6" t="str">
            <v>남) 도트 프린트 티셔츠</v>
          </cell>
        </row>
        <row r="7">
          <cell r="T7" t="str">
            <v>I0W1304</v>
          </cell>
          <cell r="U7" t="str">
            <v>남) 3도스트라이프 차이나 티셔츠</v>
          </cell>
        </row>
        <row r="8">
          <cell r="T8" t="str">
            <v>I0W1310</v>
          </cell>
          <cell r="U8" t="str">
            <v>남) C/P 한기장 스트라이프 티셔츠</v>
          </cell>
        </row>
        <row r="9">
          <cell r="T9" t="str">
            <v>I0W1371</v>
          </cell>
          <cell r="U9" t="str">
            <v>남) 우븐에리 솔리드 티셔츠</v>
          </cell>
        </row>
        <row r="10">
          <cell r="T10" t="str">
            <v>I0W1372</v>
          </cell>
          <cell r="U10" t="str">
            <v>남) 잔스트라이프 우븐에리 티셔츠</v>
          </cell>
        </row>
        <row r="11">
          <cell r="T11" t="str">
            <v>I0W1373</v>
          </cell>
          <cell r="U11" t="str">
            <v>남) C/P 한기장 스트라이프 티셔츠</v>
          </cell>
        </row>
        <row r="12">
          <cell r="T12" t="str">
            <v>I0W1375</v>
          </cell>
          <cell r="U12" t="str">
            <v>남) 싸이로 티셔츠</v>
          </cell>
        </row>
        <row r="13">
          <cell r="T13" t="str">
            <v>I0W6301</v>
          </cell>
          <cell r="U13" t="str">
            <v>남) 스트레치 홑겹 바람막이 점퍼</v>
          </cell>
        </row>
        <row r="14">
          <cell r="T14" t="str">
            <v>I0W6302</v>
          </cell>
          <cell r="U14" t="str">
            <v>남) 잔패턴물 안감 점퍼</v>
          </cell>
        </row>
        <row r="15">
          <cell r="T15" t="str">
            <v>I0W6303</v>
          </cell>
          <cell r="U15" t="str">
            <v>남) 엠보프린트 안감 점퍼</v>
          </cell>
        </row>
        <row r="16">
          <cell r="T16" t="str">
            <v>I0W7171</v>
          </cell>
          <cell r="U16" t="str">
            <v>남) 면혼방 바지</v>
          </cell>
        </row>
        <row r="17">
          <cell r="T17" t="str">
            <v>I0W7301</v>
          </cell>
          <cell r="U17" t="str">
            <v>남) 솔리드 원턱 바지</v>
          </cell>
        </row>
        <row r="18">
          <cell r="T18" t="str">
            <v>I0W7303</v>
          </cell>
          <cell r="U18" t="str">
            <v>남) N/P 조직감 바지</v>
          </cell>
        </row>
        <row r="19">
          <cell r="T19" t="str">
            <v>I0W7304</v>
          </cell>
          <cell r="U19" t="str">
            <v>남) 체크 트리코트 바지</v>
          </cell>
        </row>
        <row r="20">
          <cell r="T20" t="str">
            <v>I0W7372</v>
          </cell>
          <cell r="U20" t="str">
            <v>남) 저지 바지</v>
          </cell>
        </row>
        <row r="21">
          <cell r="T21" t="str">
            <v>I0W7373</v>
          </cell>
          <cell r="U21" t="str">
            <v>남) 잔체크 얇은 본딩 바지</v>
          </cell>
        </row>
        <row r="22">
          <cell r="T22" t="str">
            <v>I0W9371</v>
          </cell>
          <cell r="U22" t="str">
            <v>남) 메모리 자켓</v>
          </cell>
        </row>
        <row r="23">
          <cell r="T23" t="str">
            <v>I0W9375</v>
          </cell>
          <cell r="U23" t="str">
            <v>남) 울멜란지 자켓</v>
          </cell>
        </row>
        <row r="24">
          <cell r="T24" t="str">
            <v>I0X1301</v>
          </cell>
          <cell r="U24" t="str">
            <v>남) 요꼬에리 무지티셔츠</v>
          </cell>
        </row>
        <row r="25">
          <cell r="T25" t="str">
            <v>I0X1302</v>
          </cell>
          <cell r="U25" t="str">
            <v>남) 반짝이 전판 프린트 티셔츠</v>
          </cell>
        </row>
        <row r="26">
          <cell r="T26" t="str">
            <v>I0X1306</v>
          </cell>
          <cell r="U26" t="str">
            <v>남) C/P 등판 요크 스트라이프 티셔츠</v>
          </cell>
        </row>
        <row r="27">
          <cell r="T27" t="str">
            <v>I0X1309</v>
          </cell>
          <cell r="U27" t="str">
            <v>남) C/P 한기장 스트라이프 티셔츠</v>
          </cell>
        </row>
        <row r="28">
          <cell r="T28" t="str">
            <v>I0X1310</v>
          </cell>
          <cell r="U28" t="str">
            <v>남) 한기장 스트라이트 제에리 티</v>
          </cell>
        </row>
        <row r="29">
          <cell r="T29" t="str">
            <v>I0X1314</v>
          </cell>
          <cell r="U29" t="str">
            <v>남) 소매 프린트 차이나 티셔츠</v>
          </cell>
        </row>
        <row r="30">
          <cell r="T30" t="str">
            <v>I0X1315</v>
          </cell>
          <cell r="U30" t="str">
            <v>남) 싸이로 그라데이션 티셔츠</v>
          </cell>
        </row>
        <row r="31">
          <cell r="T31" t="str">
            <v>I0X6301</v>
          </cell>
          <cell r="U31" t="str">
            <v>남) 엠보조직 안감 점퍼</v>
          </cell>
        </row>
        <row r="32">
          <cell r="T32" t="str">
            <v>I0X6302</v>
          </cell>
          <cell r="U32" t="str">
            <v>남) 소매 엠보 패치 점퍼</v>
          </cell>
        </row>
        <row r="33">
          <cell r="T33" t="str">
            <v>I0X7301</v>
          </cell>
          <cell r="U33" t="str">
            <v>남) 허리이밴드 솔리드 원턱 바지</v>
          </cell>
        </row>
        <row r="34">
          <cell r="T34" t="str">
            <v>I0X7302</v>
          </cell>
          <cell r="U34" t="str">
            <v>남) 조직감 노턱 바지</v>
          </cell>
        </row>
        <row r="35">
          <cell r="T35" t="str">
            <v>I0X7303</v>
          </cell>
          <cell r="U35" t="str">
            <v>남) 데님 라이크 트윌 바지</v>
          </cell>
        </row>
        <row r="36">
          <cell r="T36" t="str">
            <v>INW6301</v>
          </cell>
          <cell r="U36" t="str">
            <v>남) 고주파 퀼팅 점퍼</v>
          </cell>
        </row>
        <row r="37">
          <cell r="T37" t="str">
            <v>INX1303</v>
          </cell>
          <cell r="U37" t="str">
            <v>남) 백기모 도트프린트 제에리티</v>
          </cell>
        </row>
        <row r="38">
          <cell r="T38" t="str">
            <v>INX7301</v>
          </cell>
          <cell r="U38" t="str">
            <v>남) 솔리드 영라인 바지</v>
          </cell>
        </row>
        <row r="39">
          <cell r="T39" t="str">
            <v>ISW6301</v>
          </cell>
          <cell r="U39" t="str">
            <v>남) 분당선 단체건</v>
          </cell>
        </row>
        <row r="40">
          <cell r="T40" t="str">
            <v>ITX7101</v>
          </cell>
          <cell r="U40" t="str">
            <v>남) N/C 솔리드 캐주얼 바지</v>
          </cell>
        </row>
        <row r="41">
          <cell r="T41" t="str">
            <v>ITX9304</v>
          </cell>
          <cell r="U41" t="str">
            <v>남) 울혼방 지그재그 블루투톤 자켓</v>
          </cell>
        </row>
        <row r="42">
          <cell r="T42" t="str">
            <v>P0W1206</v>
          </cell>
          <cell r="U42" t="str">
            <v>여) 하이넥 스트라이프 티셔츠</v>
          </cell>
        </row>
        <row r="43">
          <cell r="T43" t="str">
            <v>P0W1301</v>
          </cell>
          <cell r="U43" t="str">
            <v>여) 요꼬에리 기본 티셔츠</v>
          </cell>
        </row>
        <row r="44">
          <cell r="T44" t="str">
            <v>P0W1302</v>
          </cell>
          <cell r="U44" t="str">
            <v>여) 요꼬에리 기본 티셔츠</v>
          </cell>
        </row>
        <row r="45">
          <cell r="T45" t="str">
            <v>P0W1303</v>
          </cell>
          <cell r="U45" t="str">
            <v>여) 도트프린트 요꼬 티셔츠</v>
          </cell>
        </row>
        <row r="46">
          <cell r="T46" t="str">
            <v>P0W1305</v>
          </cell>
          <cell r="U46" t="str">
            <v>여) 땡땡이 차이나 티셔츠</v>
          </cell>
        </row>
        <row r="48">
          <cell r="T48" t="str">
            <v>P0W1306</v>
          </cell>
          <cell r="U48" t="str">
            <v>여) 앞판 프린트 차이나 티셔츠</v>
          </cell>
        </row>
        <row r="49">
          <cell r="T49" t="str">
            <v>P0W1308</v>
          </cell>
          <cell r="U49" t="str">
            <v>여) 앞판 우분패치 차이나 티셔츠</v>
          </cell>
        </row>
        <row r="50">
          <cell r="T50" t="str">
            <v>P0W1310</v>
          </cell>
          <cell r="U50" t="str">
            <v>여) 한기장 스트라이프 차이나 티셔츠</v>
          </cell>
        </row>
        <row r="51">
          <cell r="T51" t="str">
            <v>P0W1311</v>
          </cell>
          <cell r="U51" t="str">
            <v>여) 한기장 스트라이프 차이나 티셔츠</v>
          </cell>
        </row>
        <row r="52">
          <cell r="T52" t="str">
            <v>P0W1371</v>
          </cell>
          <cell r="U52" t="str">
            <v>여) 스트라이프 라운드 티셔츠</v>
          </cell>
        </row>
        <row r="53">
          <cell r="T53" t="str">
            <v>P0W6301</v>
          </cell>
          <cell r="U53" t="str">
            <v>여) 잔패턴물 레이스패치 점퍼</v>
          </cell>
        </row>
        <row r="54">
          <cell r="T54" t="str">
            <v>P0W7302</v>
          </cell>
          <cell r="U54" t="str">
            <v>여) 나일론 스판 바지</v>
          </cell>
        </row>
        <row r="55">
          <cell r="T55" t="str">
            <v>P0W8371</v>
          </cell>
          <cell r="U55" t="str">
            <v>여) 플라워 프린트 7부셔츠</v>
          </cell>
        </row>
        <row r="56">
          <cell r="T56" t="str">
            <v>P0W8372</v>
          </cell>
          <cell r="U56" t="str">
            <v>여) 레이어드형 셔츠</v>
          </cell>
        </row>
        <row r="57">
          <cell r="T57" t="str">
            <v>P0W8373</v>
          </cell>
          <cell r="U57" t="str">
            <v>여) 풀오픈 셔츠</v>
          </cell>
        </row>
        <row r="58">
          <cell r="T58" t="str">
            <v>P0WT303</v>
          </cell>
          <cell r="U58" t="str">
            <v>여) 홑겹 스트레치 토퍼 (봄리오더)</v>
          </cell>
        </row>
        <row r="59">
          <cell r="T59" t="str">
            <v>P0WT371</v>
          </cell>
          <cell r="U59" t="str">
            <v>여) 체크 메모리 토퍼</v>
          </cell>
        </row>
        <row r="60">
          <cell r="T60" t="str">
            <v>P0WV301</v>
          </cell>
          <cell r="U60" t="str">
            <v>여) 레이저퀼팅 우븐베스트</v>
          </cell>
        </row>
        <row r="61">
          <cell r="T61" t="str">
            <v>P0X1301</v>
          </cell>
          <cell r="U61" t="str">
            <v>여) 요꼬에리 무지 티셔츠</v>
          </cell>
        </row>
        <row r="62">
          <cell r="T62" t="str">
            <v>P0X1302</v>
          </cell>
          <cell r="U62" t="str">
            <v>여) 스트라이프 기본 티셔츠</v>
          </cell>
        </row>
        <row r="63">
          <cell r="T63" t="str">
            <v>P0X1303</v>
          </cell>
          <cell r="U63" t="str">
            <v>여) 땡땡이 차이나 티셔츠</v>
          </cell>
        </row>
        <row r="65">
          <cell r="T65" t="str">
            <v>P0X1309</v>
          </cell>
          <cell r="U65" t="str">
            <v>여) 에리 셔링 스트라이프 티셔츠</v>
          </cell>
        </row>
        <row r="66">
          <cell r="T66" t="str">
            <v>P0X1311</v>
          </cell>
          <cell r="U66" t="str">
            <v>여) 앞판 체크 프린트 차이나 티셔츠</v>
          </cell>
        </row>
        <row r="67">
          <cell r="T67" t="str">
            <v>P0X1312</v>
          </cell>
          <cell r="U67" t="str">
            <v>여) 프린트 긴기장 티셔츠</v>
          </cell>
        </row>
        <row r="68">
          <cell r="T68" t="str">
            <v>P0X4301</v>
          </cell>
          <cell r="U68" t="str">
            <v>여) 1302 세트 코디 조끼</v>
          </cell>
        </row>
        <row r="69">
          <cell r="T69" t="str">
            <v>P0X6301</v>
          </cell>
          <cell r="U69" t="str">
            <v>여) 스트레치 홑겹 점퍼</v>
          </cell>
        </row>
        <row r="70">
          <cell r="T70" t="str">
            <v>P0X6302</v>
          </cell>
          <cell r="U70" t="str">
            <v>여) 사각프린트 홑겹 점퍼</v>
          </cell>
        </row>
        <row r="71">
          <cell r="T71" t="str">
            <v>P0X7302</v>
          </cell>
          <cell r="U71" t="str">
            <v>여) 나일론 스트레치 바지</v>
          </cell>
        </row>
        <row r="72">
          <cell r="T72" t="str">
            <v>P0X7303</v>
          </cell>
          <cell r="U72" t="str">
            <v>여) 오비안 밴딩 C/R 바지</v>
          </cell>
        </row>
        <row r="73">
          <cell r="T73" t="str">
            <v>P0X7305</v>
          </cell>
          <cell r="U73" t="str">
            <v>여) T/R 멜란지 트리코트 바지</v>
          </cell>
        </row>
        <row r="74">
          <cell r="T74" t="str">
            <v>P0XQ301</v>
          </cell>
          <cell r="U74" t="str">
            <v>여) 밑단 후레쉬 체크 큐롯</v>
          </cell>
        </row>
        <row r="75">
          <cell r="T75" t="str">
            <v>PNWQ301</v>
          </cell>
          <cell r="U75" t="str">
            <v>여) 그레이-체크 , 네이비-솔리드 큐롯</v>
          </cell>
        </row>
        <row r="76">
          <cell r="T76" t="str">
            <v>PNWV301</v>
          </cell>
          <cell r="U76" t="str">
            <v>여) 홑겹 롱기장 우븐베스트</v>
          </cell>
        </row>
        <row r="77">
          <cell r="T77" t="str">
            <v>PNX6301</v>
          </cell>
          <cell r="U77" t="str">
            <v>여) 스트레치 홑겹 점퍼 (봄리오더)</v>
          </cell>
        </row>
        <row r="78">
          <cell r="T78" t="str">
            <v>PNX7301</v>
          </cell>
          <cell r="U78" t="str">
            <v>여) 나일론 스판 솔리드 바지</v>
          </cell>
        </row>
        <row r="79">
          <cell r="T79" t="str">
            <v>PTX1301</v>
          </cell>
          <cell r="U79" t="str">
            <v>여)하트프린트 티셔츠</v>
          </cell>
        </row>
        <row r="80">
          <cell r="T80" t="str">
            <v>PTX1302</v>
          </cell>
          <cell r="U80" t="str">
            <v>여) 스트라이프 라운드 티셔츠</v>
          </cell>
        </row>
        <row r="81">
          <cell r="T81" t="str">
            <v>PTX7301</v>
          </cell>
          <cell r="U81" t="str">
            <v>여) 레깅스</v>
          </cell>
        </row>
        <row r="83">
          <cell r="T83" t="str">
            <v>PTX7302</v>
          </cell>
          <cell r="U83" t="str">
            <v>여) 데님바지</v>
          </cell>
        </row>
        <row r="84">
          <cell r="T84" t="str">
            <v>PTX8301</v>
          </cell>
          <cell r="U84" t="str">
            <v>여) 스트라이프 셔츠</v>
          </cell>
        </row>
        <row r="85">
          <cell r="T85" t="str">
            <v>PTX8302</v>
          </cell>
          <cell r="U85" t="str">
            <v>여) 플라워 프린트 7부 셔츠</v>
          </cell>
        </row>
        <row r="86">
          <cell r="T86" t="str">
            <v>PTX8303</v>
          </cell>
          <cell r="U86" t="str">
            <v>여) 도트프린트 셔츠</v>
          </cell>
        </row>
        <row r="87">
          <cell r="T87" t="str">
            <v>PTX8304</v>
          </cell>
          <cell r="U87" t="str">
            <v>여) 롱기장 체크 셔츠</v>
          </cell>
        </row>
        <row r="88">
          <cell r="T88" t="str">
            <v>I0X7305</v>
          </cell>
          <cell r="U88" t="str">
            <v>남) 지도리 패턴 스판 바지</v>
          </cell>
        </row>
        <row r="89">
          <cell r="T89" t="str">
            <v>ITX6301</v>
          </cell>
          <cell r="U89" t="str">
            <v>남)체크 프린트 점퍼</v>
          </cell>
        </row>
        <row r="90">
          <cell r="T90" t="str">
            <v>I0W1306</v>
          </cell>
          <cell r="U90" t="str">
            <v>남)프린트에리 차이나 티셔츠</v>
          </cell>
        </row>
        <row r="91">
          <cell r="T91" t="str">
            <v>PNW1303</v>
          </cell>
          <cell r="U91" t="str">
            <v>여)우븐패치 하이넥 티셔츠</v>
          </cell>
        </row>
        <row r="92">
          <cell r="T92" t="str">
            <v>I0W6105</v>
          </cell>
          <cell r="U92" t="str">
            <v>남)프린트 바람막이 점퍼</v>
          </cell>
        </row>
        <row r="93">
          <cell r="T93" t="str">
            <v>I0W1308</v>
          </cell>
          <cell r="U93" t="str">
            <v>남)우븐패치 블루종 티셔츠</v>
          </cell>
        </row>
        <row r="94">
          <cell r="T94" t="str">
            <v>P0W7304</v>
          </cell>
          <cell r="U94" t="str">
            <v>여)트리코트 체크 바지</v>
          </cell>
        </row>
        <row r="95">
          <cell r="T95" t="str">
            <v>P0W6101</v>
          </cell>
          <cell r="U95" t="str">
            <v>여)바람막이 점퍼</v>
          </cell>
        </row>
        <row r="96">
          <cell r="T96" t="str">
            <v>INW7302</v>
          </cell>
          <cell r="U96" t="str">
            <v>남)나일론 스트레치 바지</v>
          </cell>
        </row>
        <row r="97">
          <cell r="T97" t="str">
            <v>P0WC371</v>
          </cell>
          <cell r="U97" t="str">
            <v>여) 투톤 메모리 코트</v>
          </cell>
        </row>
        <row r="98">
          <cell r="T98" t="str">
            <v>P0W1304</v>
          </cell>
          <cell r="U98" t="str">
            <v>여) 스트라이프 제에리 티셔츠</v>
          </cell>
        </row>
        <row r="99">
          <cell r="T99" t="str">
            <v>P0W1204</v>
          </cell>
          <cell r="U99" t="str">
            <v>여) 긴기장 솔리드 티셔츠</v>
          </cell>
        </row>
        <row r="100">
          <cell r="T100" t="str">
            <v>PNW1205</v>
          </cell>
          <cell r="U100" t="str">
            <v>여) 사이바 망사 솔리드 티셔츠</v>
          </cell>
        </row>
        <row r="101">
          <cell r="T101" t="str">
            <v>I0W1101</v>
          </cell>
          <cell r="U101" t="str">
            <v>남) 요꼬에리 기본 티셔츠</v>
          </cell>
        </row>
        <row r="102">
          <cell r="T102" t="str">
            <v>I0W1105</v>
          </cell>
          <cell r="U102" t="str">
            <v>남) 상단 스트라이프 요꼬 티셔츠</v>
          </cell>
        </row>
        <row r="103">
          <cell r="T103" t="str">
            <v>I0W7101</v>
          </cell>
          <cell r="U103" t="str">
            <v>남) 간절기 원턱바지</v>
          </cell>
        </row>
        <row r="104">
          <cell r="T104" t="str">
            <v>I0X1312</v>
          </cell>
          <cell r="U104" t="str">
            <v>남) 가슴 비대칭 스트라이프 티셔츠</v>
          </cell>
        </row>
        <row r="105">
          <cell r="T105" t="str">
            <v>ITX8306</v>
          </cell>
          <cell r="U105" t="str">
            <v>남) 빅체크 셔츠</v>
          </cell>
        </row>
        <row r="106">
          <cell r="T106" t="str">
            <v>I0W8371</v>
          </cell>
          <cell r="U106" t="str">
            <v>남) 미니체크 도트믹스 셔츠</v>
          </cell>
        </row>
        <row r="107">
          <cell r="T107" t="str">
            <v>PTXT302</v>
          </cell>
          <cell r="U107" t="str">
            <v>여) 야구에리 후드 토퍼</v>
          </cell>
        </row>
        <row r="108">
          <cell r="T108" t="str">
            <v>ITX5401</v>
          </cell>
          <cell r="U108" t="str">
            <v>남) 브이넥 가디건</v>
          </cell>
        </row>
        <row r="109">
          <cell r="T109" t="str">
            <v>PTX5401</v>
          </cell>
          <cell r="U109" t="str">
            <v>여) 브이넥 긴기장 가디건</v>
          </cell>
        </row>
        <row r="110">
          <cell r="T110" t="str">
            <v>I0W6371</v>
          </cell>
          <cell r="U110" t="str">
            <v>남) 등상단 퀼팅 점퍼</v>
          </cell>
        </row>
        <row r="111">
          <cell r="T111" t="str">
            <v>P0WT373</v>
          </cell>
          <cell r="U111" t="str">
            <v>여) 패딩 니트 토퍼</v>
          </cell>
        </row>
        <row r="112">
          <cell r="T112" t="str">
            <v>P0X1308</v>
          </cell>
          <cell r="U112" t="str">
            <v>여) 앞판자수 차이나 티셔츠</v>
          </cell>
        </row>
        <row r="113">
          <cell r="T113" t="str">
            <v>ITX7305</v>
          </cell>
          <cell r="U113" t="str">
            <v>남) 데님바지</v>
          </cell>
        </row>
        <row r="114">
          <cell r="T114" t="str">
            <v>P0X1220</v>
          </cell>
          <cell r="U114" t="str">
            <v>여) 소매매쉬 차이나 티셔츠</v>
          </cell>
        </row>
        <row r="115">
          <cell r="T115" t="str">
            <v>PNX7302</v>
          </cell>
          <cell r="U115" t="str">
            <v>여) 스트레치 바지</v>
          </cell>
        </row>
        <row r="116">
          <cell r="T116" t="str">
            <v>I0X1311</v>
          </cell>
          <cell r="U116" t="str">
            <v>남) C/P 피케 스트라이프 티셔츠</v>
          </cell>
        </row>
        <row r="117">
          <cell r="T117" t="str">
            <v>I0X7307</v>
          </cell>
          <cell r="U117" t="str">
            <v>남) 스트레치 체크 바지</v>
          </cell>
        </row>
        <row r="118">
          <cell r="T118" t="str">
            <v>P0X1206</v>
          </cell>
          <cell r="U118" t="str">
            <v>여) 냉감 브이넥 티셔츠</v>
          </cell>
        </row>
        <row r="119">
          <cell r="T119" t="str">
            <v>I0W1309</v>
          </cell>
          <cell r="U119" t="str">
            <v>남) 앞판우븐패치 티셔츠</v>
          </cell>
        </row>
        <row r="120">
          <cell r="T120" t="str">
            <v>PNWT401</v>
          </cell>
          <cell r="U120" t="str">
            <v>여) 경량 다운 토퍼</v>
          </cell>
        </row>
        <row r="121">
          <cell r="T121" t="str">
            <v>I0X1108</v>
          </cell>
          <cell r="U121" t="str">
            <v>남) 상단우븐패치 티셔츠</v>
          </cell>
        </row>
        <row r="122">
          <cell r="T122" t="str">
            <v>P0X1201</v>
          </cell>
          <cell r="U122" t="str">
            <v>여) 요꼬에리기본티셔츠</v>
          </cell>
        </row>
        <row r="123">
          <cell r="T123" t="str">
            <v>I0W1307</v>
          </cell>
          <cell r="U123" t="str">
            <v>남)스트라이프 제에리 티셔츠</v>
          </cell>
        </row>
        <row r="124">
          <cell r="T124" t="str">
            <v>I0W6372</v>
          </cell>
          <cell r="U124" t="str">
            <v>남) 체크 메모리 점퍼</v>
          </cell>
        </row>
        <row r="125">
          <cell r="T125" t="str">
            <v>I0W1305</v>
          </cell>
          <cell r="U125" t="str">
            <v>남) 지도리 자카드 티셔츠</v>
          </cell>
        </row>
        <row r="126">
          <cell r="T126" t="str">
            <v>INW1301</v>
          </cell>
          <cell r="U126" t="str">
            <v>남) 가슴 지퍼 솔리드 티셔츠</v>
          </cell>
        </row>
        <row r="127">
          <cell r="T127" t="str">
            <v>INX6302</v>
          </cell>
          <cell r="U127" t="str">
            <v>남) 스트레치 잔패턴 점퍼</v>
          </cell>
        </row>
        <row r="128">
          <cell r="T128" t="str">
            <v>INX1304</v>
          </cell>
          <cell r="U128" t="str">
            <v>남) 등판 패턴 프린트 제에리 티셔츠</v>
          </cell>
        </row>
        <row r="129">
          <cell r="T129" t="str">
            <v>PTX1303</v>
          </cell>
          <cell r="U129" t="str">
            <v>여) 밑단 셔츠배색 티셔츠</v>
          </cell>
        </row>
        <row r="130">
          <cell r="T130" t="str">
            <v>P0X6101</v>
          </cell>
          <cell r="U130" t="str">
            <v>여) 홑겹 바람막이 점퍼</v>
          </cell>
        </row>
        <row r="131">
          <cell r="T131" t="str">
            <v>P0X7306</v>
          </cell>
          <cell r="U131" t="str">
            <v>여) 지도리 트리코트팬츠</v>
          </cell>
        </row>
        <row r="132">
          <cell r="T132" t="str">
            <v>P0X1306</v>
          </cell>
          <cell r="U132" t="str">
            <v>여) 스트라이프 요꼬 티셔츠</v>
          </cell>
        </row>
        <row r="133">
          <cell r="T133" t="str">
            <v>PTXT301</v>
          </cell>
          <cell r="U133" t="str">
            <v>여) 메모리 체크 토퍼</v>
          </cell>
        </row>
        <row r="134">
          <cell r="T134" t="str">
            <v>P0XV301</v>
          </cell>
          <cell r="U134" t="str">
            <v>여) 배색 홑겹 베스트</v>
          </cell>
        </row>
        <row r="135">
          <cell r="T135" t="str">
            <v>I0X1307</v>
          </cell>
          <cell r="U135" t="str">
            <v>남) 스트라이프 차이나 티셔츠</v>
          </cell>
        </row>
        <row r="136">
          <cell r="T136" t="str">
            <v>I0X1402</v>
          </cell>
          <cell r="U136" t="str">
            <v>남) 기모 솔리드 티셔츠</v>
          </cell>
        </row>
        <row r="137">
          <cell r="T137" t="str">
            <v>P0XV402</v>
          </cell>
          <cell r="U137" t="str">
            <v>여) 구스다운 경량 긴기장 베스트</v>
          </cell>
        </row>
        <row r="138">
          <cell r="T138" t="str">
            <v>I0X1313</v>
          </cell>
          <cell r="U138" t="str">
            <v>남) 우븐패치 차이나 티셔츠</v>
          </cell>
        </row>
        <row r="139">
          <cell r="T139" t="str">
            <v>I0X1101</v>
          </cell>
          <cell r="U139" t="str">
            <v>남) 기본 요꼬에리 티셔츠</v>
          </cell>
        </row>
        <row r="140">
          <cell r="T140" t="str">
            <v>I0XV401</v>
          </cell>
          <cell r="U140" t="str">
            <v>남) 구스다운 경량 베스트</v>
          </cell>
        </row>
        <row r="141">
          <cell r="T141" t="str">
            <v>I0X1303</v>
          </cell>
          <cell r="U141" t="str">
            <v>남) 스트라이프 요꼬 티셔츠</v>
          </cell>
        </row>
        <row r="142">
          <cell r="T142" t="str">
            <v>INX1306</v>
          </cell>
          <cell r="U142" t="str">
            <v>남) 멜란지 투톤 프린트 티셔츠</v>
          </cell>
        </row>
        <row r="143">
          <cell r="T143" t="str">
            <v>P0WV302</v>
          </cell>
          <cell r="U143" t="str">
            <v>여) 퀼팅 베스트</v>
          </cell>
        </row>
        <row r="144">
          <cell r="T144" t="str">
            <v>I0W1406</v>
          </cell>
          <cell r="U144" t="str">
            <v>남) 스트라이프 차이나 티셔츠</v>
          </cell>
        </row>
        <row r="145">
          <cell r="T145" t="str">
            <v>P0W1307</v>
          </cell>
          <cell r="U145" t="str">
            <v>여) 패턴제에리 피케 티셔츠</v>
          </cell>
        </row>
        <row r="146">
          <cell r="T146" t="str">
            <v>P0WT301</v>
          </cell>
          <cell r="U146" t="str">
            <v>여) 바람막이 토퍼</v>
          </cell>
        </row>
        <row r="147">
          <cell r="T147" t="str">
            <v>I0W7371</v>
          </cell>
          <cell r="U147" t="str">
            <v>남) 청바지</v>
          </cell>
        </row>
        <row r="148">
          <cell r="T148" t="str">
            <v>P0W1403</v>
          </cell>
          <cell r="U148" t="str">
            <v>여) 긴기장 스트라이프 티셔츠</v>
          </cell>
        </row>
        <row r="149">
          <cell r="T149" t="str">
            <v>I0W6471</v>
          </cell>
          <cell r="U149" t="str">
            <v>남) 패딩 퀼팅 점퍼</v>
          </cell>
        </row>
        <row r="150">
          <cell r="T150" t="str">
            <v>P0W1404</v>
          </cell>
          <cell r="U150" t="str">
            <v>여) 도트 프린트 티셔츠</v>
          </cell>
        </row>
        <row r="151">
          <cell r="T151" t="str">
            <v>P0WT372</v>
          </cell>
          <cell r="U151" t="str">
            <v>여) 면터치 캐주얼 사파리 토퍼</v>
          </cell>
        </row>
        <row r="152">
          <cell r="T152" t="str">
            <v>INW7301</v>
          </cell>
          <cell r="U152" t="str">
            <v>남) 나일론 스트레치 바지</v>
          </cell>
        </row>
        <row r="153">
          <cell r="T153" t="str">
            <v>P0W1408</v>
          </cell>
          <cell r="U153" t="str">
            <v>여) 스트라이프 반터틀 티셔츠</v>
          </cell>
        </row>
        <row r="154">
          <cell r="T154" t="str">
            <v>PNWV402</v>
          </cell>
          <cell r="U154" t="str">
            <v>여) 긴기장 O/VEST</v>
          </cell>
        </row>
        <row r="155">
          <cell r="T155" t="str">
            <v>I0X1403</v>
          </cell>
          <cell r="U155" t="str">
            <v>남) 도트 프린트 티셔츠</v>
          </cell>
        </row>
        <row r="156">
          <cell r="T156" t="str">
            <v>P0X1408</v>
          </cell>
          <cell r="U156" t="str">
            <v>여) 스트라이프 하이넥 티셔츠</v>
          </cell>
        </row>
        <row r="157">
          <cell r="T157" t="str">
            <v>ITX1401</v>
          </cell>
          <cell r="U157" t="str">
            <v>남) 지도리 프린트 티셔츠</v>
          </cell>
        </row>
        <row r="158">
          <cell r="T158" t="str">
            <v>I0X1406</v>
          </cell>
          <cell r="U158" t="str">
            <v>남) 스트라이프 하이넥 티셔츠</v>
          </cell>
        </row>
        <row r="159">
          <cell r="T159" t="str">
            <v>ITX1402</v>
          </cell>
          <cell r="U159" t="str">
            <v>남) 헤링본 프린트 티셔츠</v>
          </cell>
        </row>
        <row r="160">
          <cell r="T160" t="str">
            <v>P0XT401</v>
          </cell>
          <cell r="U160" t="str">
            <v>여) 구스다운 경량 토퍼</v>
          </cell>
        </row>
        <row r="161">
          <cell r="T161" t="str">
            <v>I0X6401</v>
          </cell>
          <cell r="U161" t="str">
            <v>남) 구스다운 경량 점퍼</v>
          </cell>
        </row>
        <row r="162">
          <cell r="T162" t="str">
            <v>PTX2402</v>
          </cell>
          <cell r="U162" t="str">
            <v>남) A/N/W 무지라운드 스웨터</v>
          </cell>
        </row>
        <row r="163">
          <cell r="T163" t="str">
            <v>I0X6402</v>
          </cell>
          <cell r="U163" t="str">
            <v>남) 패딩퀼팅 점퍼</v>
          </cell>
        </row>
        <row r="164">
          <cell r="T164" t="str">
            <v>P0X7403</v>
          </cell>
          <cell r="U164" t="str">
            <v>여) 뒤오비밴딩포인트 체크 슬렉스</v>
          </cell>
        </row>
        <row r="165">
          <cell r="T165" t="str">
            <v>P0XV401</v>
          </cell>
          <cell r="U165" t="str">
            <v>여) 차이나 경량 다운 조끼</v>
          </cell>
        </row>
        <row r="166">
          <cell r="T166" t="str">
            <v>P0X6402</v>
          </cell>
          <cell r="U166" t="str">
            <v>여) 차이나 경량 다운 점퍼</v>
          </cell>
        </row>
        <row r="167">
          <cell r="T167" t="str">
            <v>P0X1415</v>
          </cell>
          <cell r="U167" t="str">
            <v>여) 폴라플리스 체크프린트 티셔츠</v>
          </cell>
        </row>
        <row r="168">
          <cell r="T168" t="str">
            <v>PNX6402</v>
          </cell>
          <cell r="U168" t="str">
            <v>여) 니트 점퍼</v>
          </cell>
        </row>
        <row r="169">
          <cell r="T169" t="str">
            <v>I0X1405</v>
          </cell>
          <cell r="U169" t="str">
            <v>남) 한기장뎅깡 PQ 요꼬 티셔츠</v>
          </cell>
        </row>
        <row r="170">
          <cell r="T170" t="str">
            <v>ITX7301</v>
          </cell>
          <cell r="U170" t="str">
            <v>남) 져지 SET-UP 바지</v>
          </cell>
        </row>
        <row r="171">
          <cell r="T171" t="str">
            <v>I0X1411</v>
          </cell>
          <cell r="U171" t="str">
            <v>남) 플리스솔리드 차이나티셔츠</v>
          </cell>
        </row>
        <row r="172">
          <cell r="T172" t="str">
            <v>P0X1401</v>
          </cell>
          <cell r="U172" t="str">
            <v>여) 잔스트라이프 기본 티셔츠</v>
          </cell>
        </row>
        <row r="173">
          <cell r="T173" t="str">
            <v>I0X7402</v>
          </cell>
          <cell r="U173" t="str">
            <v>남) 전략 노턱 바지</v>
          </cell>
        </row>
        <row r="174">
          <cell r="T174" t="str">
            <v>I0X7401</v>
          </cell>
          <cell r="U174" t="str">
            <v>남) 전략 원턱 바지</v>
          </cell>
        </row>
        <row r="175">
          <cell r="T175" t="str">
            <v>PTXT303</v>
          </cell>
          <cell r="U175" t="str">
            <v>여) 니트 소매 패딩토퍼</v>
          </cell>
        </row>
        <row r="176">
          <cell r="T176" t="str">
            <v>P0X6401</v>
          </cell>
          <cell r="U176" t="str">
            <v>여) 라운드 경량 다운 점퍼</v>
          </cell>
        </row>
        <row r="177">
          <cell r="T177" t="str">
            <v>PNX7401</v>
          </cell>
          <cell r="U177" t="str">
            <v>여) 배색 포인트 영라인 슬렉스</v>
          </cell>
        </row>
        <row r="178">
          <cell r="T178" t="str">
            <v>I0X1407</v>
          </cell>
          <cell r="U178" t="str">
            <v>남) 기모분또 한기장 제에리</v>
          </cell>
        </row>
        <row r="179">
          <cell r="T179" t="str">
            <v>I0X1409</v>
          </cell>
          <cell r="U179" t="str">
            <v>남) 우븐퀼팅패치 반집업</v>
          </cell>
        </row>
        <row r="180">
          <cell r="T180" t="str">
            <v>I0X1401</v>
          </cell>
          <cell r="U180" t="str">
            <v>남) 잔단가라터틀넥 티셔츠</v>
          </cell>
        </row>
        <row r="181">
          <cell r="T181" t="str">
            <v>P0X1414</v>
          </cell>
          <cell r="U181" t="str">
            <v>여) 스트라이프 이너 티셔츠</v>
          </cell>
        </row>
        <row r="182">
          <cell r="T182" t="str">
            <v>I0X7403</v>
          </cell>
          <cell r="U182" t="str">
            <v>남) 은은한 프린트 본딩바지</v>
          </cell>
        </row>
        <row r="183">
          <cell r="T183" t="str">
            <v>I0X1412</v>
          </cell>
          <cell r="U183" t="str">
            <v xml:space="preserve">남) 패턴프린트 플리스 </v>
          </cell>
        </row>
        <row r="184">
          <cell r="T184" t="str">
            <v>PTXT402</v>
          </cell>
          <cell r="U184" t="str">
            <v>여) 니트소매 다운 토퍼</v>
          </cell>
        </row>
        <row r="185">
          <cell r="T185" t="str">
            <v>P0X7401</v>
          </cell>
          <cell r="U185" t="str">
            <v>여) 스티치 포인트 슬렉스</v>
          </cell>
        </row>
        <row r="187">
          <cell r="T187" t="str">
            <v>ITX2402</v>
          </cell>
          <cell r="U187" t="str">
            <v>남) 반터틀 무지 스웨터</v>
          </cell>
        </row>
        <row r="188">
          <cell r="T188" t="str">
            <v>I0X7404</v>
          </cell>
          <cell r="U188" t="str">
            <v>남) 프린트 본딩 바지</v>
          </cell>
        </row>
        <row r="189">
          <cell r="T189" t="str">
            <v>ITX7401</v>
          </cell>
          <cell r="U189" t="str">
            <v>남) 원턱 캐쥬얼 프린트 바지</v>
          </cell>
        </row>
        <row r="190">
          <cell r="T190" t="str">
            <v>I0X7407</v>
          </cell>
          <cell r="U190" t="str">
            <v>남) 삼각프린트 밍크본딩 바지</v>
          </cell>
        </row>
        <row r="191">
          <cell r="T191" t="str">
            <v>ITXV401</v>
          </cell>
          <cell r="U191" t="str">
            <v>남) 브이넥 경량 다운 아웃베스트</v>
          </cell>
        </row>
        <row r="192">
          <cell r="T192" t="str">
            <v>PTXC401</v>
          </cell>
          <cell r="U192" t="str">
            <v>여) 롱다운 코트</v>
          </cell>
        </row>
        <row r="193">
          <cell r="T193" t="str">
            <v>P0X2451</v>
          </cell>
          <cell r="U193" t="str">
            <v>여) 캐시미어 롱터틀넥</v>
          </cell>
        </row>
        <row r="194">
          <cell r="T194" t="str">
            <v>P0X1412</v>
          </cell>
          <cell r="U194" t="str">
            <v>여) 소매와끼 셔링포인트 티셔츠</v>
          </cell>
        </row>
        <row r="195">
          <cell r="T195" t="str">
            <v>PTX7401</v>
          </cell>
          <cell r="U195" t="str">
            <v>여) 밍크본딩 오비 밴딩 스키니</v>
          </cell>
        </row>
        <row r="196">
          <cell r="T196" t="str">
            <v>ITXT401</v>
          </cell>
          <cell r="U196" t="str">
            <v>남) 멜란지 스트레치 토퍼</v>
          </cell>
        </row>
        <row r="197">
          <cell r="T197" t="str">
            <v>PTXT403</v>
          </cell>
          <cell r="U197" t="str">
            <v>여) 특종 토퍼</v>
          </cell>
        </row>
        <row r="198">
          <cell r="T198" t="str">
            <v>ITX6403</v>
          </cell>
          <cell r="U198" t="str">
            <v>남) 잔잔한 프린트 FUR 라이너 점퍼</v>
          </cell>
        </row>
        <row r="199">
          <cell r="T199" t="str">
            <v>ITX9403</v>
          </cell>
          <cell r="U199" t="str">
            <v>남) 프린트 다운 자켓</v>
          </cell>
        </row>
        <row r="200">
          <cell r="T200" t="str">
            <v>INX6401</v>
          </cell>
          <cell r="U200" t="str">
            <v>남) 스트레치 다운 점퍼</v>
          </cell>
        </row>
        <row r="201">
          <cell r="T201" t="str">
            <v>I0X5402</v>
          </cell>
          <cell r="U201" t="str">
            <v>남) 앞판 하단 삼각 퀼팅 가디건</v>
          </cell>
        </row>
        <row r="202">
          <cell r="T202" t="str">
            <v>P0X5402</v>
          </cell>
          <cell r="U202" t="str">
            <v>여) 눈꽃모티브 스웨터 가디건</v>
          </cell>
        </row>
        <row r="203">
          <cell r="T203" t="str">
            <v>ITX9402</v>
          </cell>
          <cell r="U203" t="str">
            <v>남) 경량 스트레치 다운 자켓</v>
          </cell>
        </row>
        <row r="204">
          <cell r="T204" t="str">
            <v>ITXC401</v>
          </cell>
          <cell r="U204" t="str">
            <v>남) 자켓형 다운 코트</v>
          </cell>
        </row>
        <row r="205">
          <cell r="T205" t="str">
            <v>ITX9404</v>
          </cell>
          <cell r="U205" t="str">
            <v>남) 메모리 안퀼팅 다운 자켓</v>
          </cell>
        </row>
        <row r="206">
          <cell r="T206" t="str">
            <v>ITXT402</v>
          </cell>
          <cell r="U206" t="str">
            <v>남) 라쿤 FUR 토퍼</v>
          </cell>
        </row>
        <row r="207">
          <cell r="T207" t="str">
            <v>I0X5403</v>
          </cell>
          <cell r="U207" t="str">
            <v>남) 앞판 다운 소매 패턴물 가디건</v>
          </cell>
        </row>
        <row r="208">
          <cell r="T208" t="str">
            <v>I0X5404</v>
          </cell>
          <cell r="U208" t="str">
            <v>남) 플리스 가디건</v>
          </cell>
        </row>
        <row r="209">
          <cell r="T209" t="str">
            <v>P0X5401</v>
          </cell>
          <cell r="U209" t="str">
            <v>여) 블록 포인트 스웨터 가디건</v>
          </cell>
        </row>
        <row r="210">
          <cell r="T210" t="str">
            <v>P0XT402</v>
          </cell>
          <cell r="U210" t="str">
            <v>여) 볼패딩 변형 퀼팅 토퍼</v>
          </cell>
        </row>
        <row r="211">
          <cell r="T211" t="str">
            <v>P0X4403</v>
          </cell>
          <cell r="U211" t="str">
            <v>여) 스트라이프 포인트 스웨터 베스트</v>
          </cell>
        </row>
        <row r="212">
          <cell r="T212" t="str">
            <v>PNXV401</v>
          </cell>
          <cell r="U212" t="str">
            <v>여) 져지 배색 다운 베스트</v>
          </cell>
        </row>
        <row r="213">
          <cell r="T213" t="str">
            <v>P0X7406</v>
          </cell>
          <cell r="U213" t="str">
            <v>여) 시보리 장식 멜란프린트 슬렉스</v>
          </cell>
        </row>
        <row r="214">
          <cell r="T214" t="str">
            <v>P0XT403</v>
          </cell>
          <cell r="U214" t="str">
            <v>여) 전략 다운 토퍼</v>
          </cell>
        </row>
        <row r="215">
          <cell r="T215" t="str">
            <v>PTXT401</v>
          </cell>
          <cell r="U215" t="str">
            <v>여) 프린트 다운 토퍼</v>
          </cell>
        </row>
        <row r="216">
          <cell r="T216" t="str">
            <v>PNX7402</v>
          </cell>
          <cell r="U216" t="str">
            <v>여) 다운 퀼팅 슬렉스</v>
          </cell>
        </row>
        <row r="217">
          <cell r="T217" t="str">
            <v>P0X2401</v>
          </cell>
          <cell r="U217" t="str">
            <v>여) 기본 터틀넥</v>
          </cell>
        </row>
        <row r="218">
          <cell r="T218" t="str">
            <v>I0X1408</v>
          </cell>
          <cell r="U218" t="str">
            <v>남) 가슴 포인트 배색 반터틀 티셔츠</v>
          </cell>
        </row>
        <row r="219">
          <cell r="T219" t="str">
            <v>I0XV402</v>
          </cell>
          <cell r="U219" t="str">
            <v xml:space="preserve">남) 니트에리 패치 </v>
          </cell>
        </row>
        <row r="220">
          <cell r="T220" t="str">
            <v>P0X7408</v>
          </cell>
          <cell r="U220" t="str">
            <v>여) 다이아 퀼팅 배색 슬렉스</v>
          </cell>
        </row>
        <row r="221">
          <cell r="T221" t="str">
            <v>P0X6403</v>
          </cell>
          <cell r="U221" t="str">
            <v>여) 블루종 니트 점퍼</v>
          </cell>
        </row>
        <row r="222">
          <cell r="T222" t="str">
            <v>P0X1405</v>
          </cell>
          <cell r="U222" t="str">
            <v>여) 쁘티후드 티셔츠</v>
          </cell>
        </row>
        <row r="223">
          <cell r="T223" t="str">
            <v>I0X1410</v>
          </cell>
          <cell r="U223" t="str">
            <v>남) 잔조직 믹스 라운드 티셔츠</v>
          </cell>
        </row>
        <row r="224">
          <cell r="T224" t="str">
            <v>P0X4402</v>
          </cell>
          <cell r="U224" t="str">
            <v>여) 별 포인트 스웨터 베스트</v>
          </cell>
        </row>
        <row r="225">
          <cell r="T225" t="str">
            <v>ITX6402</v>
          </cell>
          <cell r="U225" t="str">
            <v>남) 잔체크 조직 FUR 라이너 점퍼</v>
          </cell>
        </row>
        <row r="226">
          <cell r="T226" t="str">
            <v>ITX2401</v>
          </cell>
          <cell r="U226" t="str">
            <v>남) 롱터틀 무지 스웨터</v>
          </cell>
        </row>
        <row r="227">
          <cell r="T227" t="str">
            <v>P0X7404</v>
          </cell>
          <cell r="U227" t="str">
            <v>여) 오비배색 삼각 프린트 슬렉스</v>
          </cell>
        </row>
        <row r="228">
          <cell r="T228" t="str">
            <v>PTX2401</v>
          </cell>
          <cell r="U228" t="str">
            <v>여) 긴기장 롱터틀 스웨터</v>
          </cell>
        </row>
        <row r="229">
          <cell r="T229" t="str">
            <v>I0X7408</v>
          </cell>
          <cell r="U229" t="str">
            <v>남) 솔리드 노턱 기본 바지</v>
          </cell>
        </row>
        <row r="230">
          <cell r="T230" t="str">
            <v>I0X7406</v>
          </cell>
          <cell r="U230" t="str">
            <v>남) 체크 트리코트 바지</v>
          </cell>
        </row>
        <row r="231">
          <cell r="T231" t="str">
            <v>ITX2451</v>
          </cell>
          <cell r="U231" t="str">
            <v>남) 롱터틀 캐시미어 무지 스웨터</v>
          </cell>
        </row>
        <row r="232">
          <cell r="T232" t="str">
            <v>P0XT404</v>
          </cell>
          <cell r="U232" t="str">
            <v>여) 스트레치 다운토퍼</v>
          </cell>
        </row>
        <row r="233">
          <cell r="T233" t="str">
            <v>INX5401</v>
          </cell>
          <cell r="U233" t="str">
            <v>남) 영라인 블랙배색 집업 가딘건</v>
          </cell>
        </row>
        <row r="234">
          <cell r="T234" t="str">
            <v>PNX6401</v>
          </cell>
          <cell r="U234" t="str">
            <v>여) 볼패딩 점퍼</v>
          </cell>
        </row>
        <row r="235">
          <cell r="T235" t="str">
            <v>PTX1401</v>
          </cell>
          <cell r="U235" t="str">
            <v>여) 언발란스 스트라이프 티셔츠</v>
          </cell>
        </row>
        <row r="236">
          <cell r="T236" t="str">
            <v>P0X7409</v>
          </cell>
          <cell r="U236" t="str">
            <v>여) 패딩바지</v>
          </cell>
        </row>
        <row r="237">
          <cell r="T237" t="str">
            <v>INXV401</v>
          </cell>
          <cell r="U237" t="str">
            <v>남) 사이바 배색 다운베스트</v>
          </cell>
        </row>
        <row r="238">
          <cell r="T238" t="str">
            <v>PTX1402</v>
          </cell>
          <cell r="U238" t="str">
            <v>여) 셔츠레이어드 티셔츠</v>
          </cell>
        </row>
        <row r="239">
          <cell r="T239" t="str">
            <v>INX7402</v>
          </cell>
          <cell r="U239" t="str">
            <v>남) IM라인 패딩바지</v>
          </cell>
        </row>
        <row r="240">
          <cell r="T240" t="str">
            <v>ITX8301</v>
          </cell>
          <cell r="U240" t="str">
            <v>남) 도트변형 프린트 셔츠</v>
          </cell>
        </row>
        <row r="241">
          <cell r="T241" t="str">
            <v>PTX6302</v>
          </cell>
          <cell r="U241" t="str">
            <v>여) 니트소매 패딩 점퍼</v>
          </cell>
        </row>
        <row r="242">
          <cell r="T242" t="str">
            <v>P0X1413</v>
          </cell>
          <cell r="U242" t="str">
            <v>여) 하이넥 롱기장 티셔츠</v>
          </cell>
        </row>
        <row r="243">
          <cell r="T243" t="str">
            <v>P0X1305</v>
          </cell>
          <cell r="U243" t="str">
            <v>여) 마이배색 요꼬 하이넥 티셔츠</v>
          </cell>
        </row>
        <row r="244">
          <cell r="T244" t="str">
            <v>ITX2452</v>
          </cell>
          <cell r="U244" t="str">
            <v>남) 반터틀캐시미어 무지 스웨터</v>
          </cell>
        </row>
        <row r="245">
          <cell r="T245" t="str">
            <v>ITX6401</v>
          </cell>
          <cell r="U245" t="str">
            <v>남) 니트소매 다운 점퍼</v>
          </cell>
        </row>
        <row r="246">
          <cell r="T246" t="str">
            <v>I0X1404</v>
          </cell>
          <cell r="U246" t="str">
            <v>남) 컬러 반전 한기장 티셔츠</v>
          </cell>
        </row>
        <row r="247">
          <cell r="T247" t="str">
            <v>P0X6303</v>
          </cell>
          <cell r="U247" t="str">
            <v>여) 소재믹스 경량 점퍼</v>
          </cell>
        </row>
        <row r="248">
          <cell r="T248" t="str">
            <v>INX1402</v>
          </cell>
          <cell r="U248" t="str">
            <v>남) 가슴절개 웰딩포인트 반집업 티셔츠</v>
          </cell>
        </row>
        <row r="249">
          <cell r="T249" t="str">
            <v>PTYT101</v>
          </cell>
          <cell r="U249" t="str">
            <v>여) 간절기 프린트 패딩 토퍼</v>
          </cell>
        </row>
        <row r="250">
          <cell r="T250" t="str">
            <v>I0Y7102</v>
          </cell>
          <cell r="U250" t="str">
            <v>남) 헤링본조직 오비밴드 노턱 바지</v>
          </cell>
        </row>
        <row r="251">
          <cell r="T251" t="str">
            <v>ITYT101</v>
          </cell>
          <cell r="U251" t="str">
            <v>남) 간절기 안퀼팅 패딩 토퍼</v>
          </cell>
        </row>
        <row r="252">
          <cell r="T252" t="str">
            <v>P0Y7102</v>
          </cell>
          <cell r="U252" t="str">
            <v>여) 간절기 시보리배색 포인트 팬츠</v>
          </cell>
        </row>
        <row r="253">
          <cell r="T253" t="str">
            <v>P0Y1107</v>
          </cell>
          <cell r="U253" t="str">
            <v>여) 요꼬 배색 DTP 반집업 티셔츠</v>
          </cell>
        </row>
        <row r="254">
          <cell r="T254" t="str">
            <v>ITY1101</v>
          </cell>
          <cell r="U254" t="str">
            <v>남) 냉감 피다 단가라 티셔츠</v>
          </cell>
        </row>
        <row r="255">
          <cell r="T255" t="str">
            <v>P0Y1104</v>
          </cell>
          <cell r="U255" t="str">
            <v>여) 스트라이프 하이넥 반집업 티셔츠</v>
          </cell>
        </row>
        <row r="256">
          <cell r="T256" t="str">
            <v>P0Y4102</v>
          </cell>
          <cell r="U256" t="str">
            <v>여) 컬러블럭 브이넥 베스트</v>
          </cell>
        </row>
        <row r="257">
          <cell r="T257" t="str">
            <v>P0YT101</v>
          </cell>
          <cell r="U257" t="str">
            <v>여) 스트레치 메모리 토퍼</v>
          </cell>
        </row>
        <row r="258">
          <cell r="T258" t="str">
            <v>I0Y1102</v>
          </cell>
          <cell r="U258" t="str">
            <v>남) 헤링본 믹스 뎅깡 티셔츠</v>
          </cell>
        </row>
        <row r="259">
          <cell r="T259" t="str">
            <v>PNY7101</v>
          </cell>
          <cell r="U259" t="str">
            <v>여) 와끼 시보리 포인트 팬츠</v>
          </cell>
        </row>
        <row r="260">
          <cell r="T260" t="str">
            <v>I0Y1108</v>
          </cell>
          <cell r="U260" t="str">
            <v>남) 세로 스트라이프 티셔츠</v>
          </cell>
        </row>
        <row r="261">
          <cell r="T261" t="str">
            <v>ITY1102</v>
          </cell>
          <cell r="U261" t="str">
            <v>남) 전판 도트 프린트 티셔츠</v>
          </cell>
        </row>
        <row r="262">
          <cell r="T262" t="str">
            <v>PNY6102</v>
          </cell>
          <cell r="U262" t="str">
            <v>여) 프린트 점퍼</v>
          </cell>
        </row>
        <row r="263">
          <cell r="T263" t="str">
            <v>INY6101</v>
          </cell>
          <cell r="U263" t="str">
            <v>남) IM 미니멀 프린트 홑겹 점퍼</v>
          </cell>
        </row>
        <row r="264">
          <cell r="T264" t="str">
            <v>INY7101</v>
          </cell>
          <cell r="U264" t="str">
            <v>남) 솔리드 IM라인 바지</v>
          </cell>
        </row>
        <row r="265">
          <cell r="T265" t="str">
            <v>INY7102</v>
          </cell>
          <cell r="U265" t="str">
            <v>남) 핀 체크 프린트 트리코트 IM라인 바지</v>
          </cell>
        </row>
        <row r="266">
          <cell r="T266" t="str">
            <v>P0Y1106</v>
          </cell>
          <cell r="U266" t="str">
            <v>여) 몸판 뎅깡 제에리 티셔츠</v>
          </cell>
        </row>
        <row r="267">
          <cell r="T267" t="str">
            <v>P0Y4101</v>
          </cell>
          <cell r="U267" t="str">
            <v>여) 컬러 자수포인트 라운드 베스트</v>
          </cell>
        </row>
        <row r="268">
          <cell r="T268" t="str">
            <v>P0YV101</v>
          </cell>
          <cell r="U268" t="str">
            <v>여) 펀칭 믹스 우븐 베스트</v>
          </cell>
        </row>
        <row r="269">
          <cell r="T269" t="str">
            <v>PTX7402</v>
          </cell>
          <cell r="U269" t="str">
            <v>여) 프린트 저지본딩 밴딩 슬렉스</v>
          </cell>
        </row>
        <row r="270">
          <cell r="T270" t="str">
            <v>INX6301</v>
          </cell>
          <cell r="U270" t="str">
            <v>남) 3레이어 기능성 점퍼</v>
          </cell>
        </row>
        <row r="271">
          <cell r="T271" t="str">
            <v>I0Y1101</v>
          </cell>
          <cell r="U271" t="str">
            <v>남) 무지 요꼬 티셔츠</v>
          </cell>
        </row>
        <row r="272">
          <cell r="T272" t="str">
            <v>P0Y1101</v>
          </cell>
          <cell r="U272" t="str">
            <v>여) 무지 요꼬 티셔츠</v>
          </cell>
        </row>
        <row r="273">
          <cell r="T273" t="str">
            <v>P0Y6101</v>
          </cell>
          <cell r="U273" t="str">
            <v>여) 스트레치 점퍼</v>
          </cell>
        </row>
        <row r="274">
          <cell r="T274" t="str">
            <v>PNYC101</v>
          </cell>
          <cell r="U274" t="str">
            <v>여) 프린트 레인코트</v>
          </cell>
        </row>
        <row r="275">
          <cell r="T275" t="str">
            <v>I0Y6101</v>
          </cell>
          <cell r="U275" t="str">
            <v>남) 잔패턴 멜란지 점퍼</v>
          </cell>
        </row>
        <row r="276">
          <cell r="T276" t="str">
            <v>P0YQ101</v>
          </cell>
          <cell r="U276" t="str">
            <v>여) 가로 스트라이프 큐롯</v>
          </cell>
        </row>
        <row r="277">
          <cell r="T277" t="str">
            <v>PTY1101</v>
          </cell>
          <cell r="U277" t="str">
            <v>여) 져지 풀오픈 티셔츠</v>
          </cell>
        </row>
        <row r="278">
          <cell r="T278" t="str">
            <v>P0Y1108</v>
          </cell>
          <cell r="U278" t="str">
            <v>여) 7부 제에리 티셔츠</v>
          </cell>
        </row>
        <row r="279">
          <cell r="T279" t="str">
            <v>PNY7102</v>
          </cell>
          <cell r="U279" t="str">
            <v>여) 사각 프린트 트리코트 팬츠</v>
          </cell>
        </row>
        <row r="280">
          <cell r="T280" t="str">
            <v>PTYT102</v>
          </cell>
          <cell r="U280" t="str">
            <v>여) 캐쥬얼 롱기장 토퍼</v>
          </cell>
        </row>
        <row r="281">
          <cell r="T281" t="str">
            <v>ITY7102</v>
          </cell>
          <cell r="U281" t="str">
            <v>여) 잔스트라이프 바지</v>
          </cell>
        </row>
        <row r="282">
          <cell r="T282" t="str">
            <v>PNY1102</v>
          </cell>
          <cell r="U282" t="str">
            <v>여) 절개포인트 제에리 티셔츠</v>
          </cell>
        </row>
        <row r="283">
          <cell r="T283" t="str">
            <v>I0Y1103</v>
          </cell>
          <cell r="U283" t="str">
            <v>남) C/P 한기장 뎅깡 티셔츠</v>
          </cell>
        </row>
        <row r="284">
          <cell r="T284" t="str">
            <v>INY6103</v>
          </cell>
          <cell r="U284" t="str">
            <v>남) 3레이어 바람막이 점퍼</v>
          </cell>
        </row>
        <row r="285">
          <cell r="T285" t="str">
            <v>INY6102</v>
          </cell>
          <cell r="U285" t="str">
            <v>남) 스트레치 홑겹 점퍼</v>
          </cell>
        </row>
        <row r="286">
          <cell r="T286" t="str">
            <v>P0Y1105</v>
          </cell>
          <cell r="U286" t="str">
            <v>여) PQ 뎅깡 요꼬 티셔츠</v>
          </cell>
        </row>
        <row r="287">
          <cell r="T287" t="str">
            <v>PNYQ101</v>
          </cell>
          <cell r="U287" t="str">
            <v>여) IM라인 부분 플리츠 큐롯</v>
          </cell>
        </row>
        <row r="288">
          <cell r="T288" t="str">
            <v>ITY9103</v>
          </cell>
          <cell r="U288" t="str">
            <v>남) 프린트 자켓</v>
          </cell>
        </row>
        <row r="289">
          <cell r="T289" t="str">
            <v>I0Y4101</v>
          </cell>
          <cell r="U289" t="str">
            <v>남) 앞판 우븐패치 베스트</v>
          </cell>
        </row>
        <row r="290">
          <cell r="T290" t="str">
            <v>PTY7101</v>
          </cell>
          <cell r="U290" t="str">
            <v>여) 트리코트 팬츠</v>
          </cell>
        </row>
        <row r="291">
          <cell r="T291" t="str">
            <v>I0Y7105</v>
          </cell>
          <cell r="U291" t="str">
            <v>남) 멀티체크 바지</v>
          </cell>
        </row>
        <row r="292">
          <cell r="T292" t="str">
            <v>I0Y7101</v>
          </cell>
          <cell r="U292" t="str">
            <v>남) 조직감 노턱 바지</v>
          </cell>
        </row>
        <row r="293">
          <cell r="T293" t="str">
            <v>ITY9101</v>
          </cell>
          <cell r="U293" t="str">
            <v>남) 조직감 자켓</v>
          </cell>
        </row>
        <row r="294">
          <cell r="T294" t="str">
            <v>I0Y1106</v>
          </cell>
          <cell r="U294" t="str">
            <v>남) 가슴 포인트 뎅깡 제에리 티셔츠</v>
          </cell>
        </row>
        <row r="295">
          <cell r="T295" t="str">
            <v>ITY7101</v>
          </cell>
          <cell r="U295" t="str">
            <v>남) 원턱 바지</v>
          </cell>
        </row>
        <row r="296">
          <cell r="T296" t="str">
            <v>I0Y6102</v>
          </cell>
          <cell r="U296" t="str">
            <v>남) 체크 패턴 점퍼</v>
          </cell>
        </row>
        <row r="297">
          <cell r="T297" t="str">
            <v>P0Y1109</v>
          </cell>
          <cell r="U297" t="str">
            <v>여) 소매 왕관 프린트 하프터틀넥</v>
          </cell>
        </row>
        <row r="298">
          <cell r="T298" t="str">
            <v>I0Y6103</v>
          </cell>
          <cell r="U298" t="str">
            <v>남) 브리티쉬 블루종 점퍼</v>
          </cell>
        </row>
        <row r="299">
          <cell r="T299" t="str">
            <v>ITY1103</v>
          </cell>
          <cell r="U299" t="str">
            <v>남) 멜란지 단가라 피케 제에리 티셔츠</v>
          </cell>
        </row>
        <row r="300">
          <cell r="T300" t="str">
            <v>PNY6101</v>
          </cell>
          <cell r="U300" t="str">
            <v>여) 3레이어 점퍼</v>
          </cell>
        </row>
        <row r="301">
          <cell r="T301" t="str">
            <v>PTY7102</v>
          </cell>
          <cell r="U301" t="str">
            <v>여) 데님 팬츠</v>
          </cell>
        </row>
        <row r="302">
          <cell r="T302" t="str">
            <v>P0Y7104</v>
          </cell>
          <cell r="U302" t="str">
            <v>여) 스트라이프 프린트 팬츠</v>
          </cell>
        </row>
        <row r="303">
          <cell r="T303" t="str">
            <v>I0Y7104</v>
          </cell>
          <cell r="U303" t="str">
            <v>남) 멜란지 오비스트레치 노턱 바지</v>
          </cell>
        </row>
        <row r="304">
          <cell r="T304" t="str">
            <v>P0Y7101</v>
          </cell>
          <cell r="U304" t="str">
            <v>여) 피케 조직 트리코트 팬츠</v>
          </cell>
        </row>
        <row r="305">
          <cell r="T305" t="str">
            <v>P0Y7103</v>
          </cell>
          <cell r="U305" t="str">
            <v>여) R/N/SP 칼라 팬츠</v>
          </cell>
        </row>
        <row r="306">
          <cell r="T306" t="str">
            <v>PTY8101</v>
          </cell>
          <cell r="U306" t="str">
            <v>여) 롱기장 셔츠</v>
          </cell>
        </row>
        <row r="307">
          <cell r="T307" t="str">
            <v>P0Y5101</v>
          </cell>
          <cell r="U307" t="str">
            <v>여) 에리 밑단 포인트 가디건</v>
          </cell>
        </row>
        <row r="308">
          <cell r="T308" t="str">
            <v>ITY9104</v>
          </cell>
          <cell r="U308" t="str">
            <v>남) 메모리 체크 변형 자켓</v>
          </cell>
        </row>
        <row r="309">
          <cell r="T309" t="str">
            <v>ITY7103</v>
          </cell>
          <cell r="U309" t="str">
            <v>남) 데님 바지</v>
          </cell>
        </row>
        <row r="310">
          <cell r="T310" t="str">
            <v>I0Y6104</v>
          </cell>
          <cell r="U310" t="str">
            <v>남) 2.5레이어 점퍼</v>
          </cell>
        </row>
        <row r="311">
          <cell r="T311" t="str">
            <v>P0Y6102</v>
          </cell>
          <cell r="U311" t="str">
            <v>여) 블루종 스트레치 점퍼</v>
          </cell>
        </row>
        <row r="312">
          <cell r="T312" t="str">
            <v>P0Y6201</v>
          </cell>
          <cell r="U312" t="str">
            <v>여) 캐미칼 프린트 점퍼</v>
          </cell>
        </row>
        <row r="313">
          <cell r="T313" t="str">
            <v>ITY9102</v>
          </cell>
          <cell r="U313" t="str">
            <v>남) 2WAY 써커 체크 프린트 자켓</v>
          </cell>
        </row>
        <row r="314">
          <cell r="T314" t="str">
            <v>PTY8102</v>
          </cell>
          <cell r="U314" t="str">
            <v>여) 스트라이프 셔츠</v>
          </cell>
        </row>
        <row r="315">
          <cell r="T315" t="str">
            <v>PTY1203</v>
          </cell>
          <cell r="U315" t="str">
            <v>여)  닻 프린트 라운드 티셔츠</v>
          </cell>
        </row>
        <row r="316">
          <cell r="T316" t="str">
            <v>PTY8203</v>
          </cell>
          <cell r="U316" t="str">
            <v>여) 안개꽃 프린트 우븐셔츠</v>
          </cell>
        </row>
        <row r="318">
          <cell r="T318" t="str">
            <v>PTY8201</v>
          </cell>
          <cell r="U318" t="str">
            <v>여) 야생화 프린트 우븐셔츠</v>
          </cell>
        </row>
        <row r="319">
          <cell r="T319" t="str">
            <v>ITY7205</v>
          </cell>
          <cell r="U319" t="str">
            <v>남) 데님 바지</v>
          </cell>
        </row>
        <row r="320">
          <cell r="T320" t="str">
            <v>PTY7204</v>
          </cell>
          <cell r="U320" t="str">
            <v>여) 데님 슬렉스</v>
          </cell>
        </row>
        <row r="321">
          <cell r="T321" t="str">
            <v>ITY6201</v>
          </cell>
          <cell r="U321" t="str">
            <v>남) 잔조직 캐쥬얼 점퍼</v>
          </cell>
        </row>
        <row r="322">
          <cell r="T322" t="str">
            <v>PTY8206</v>
          </cell>
          <cell r="U322" t="str">
            <v>여) 불규칙 땡땡이 우븐셔츠</v>
          </cell>
        </row>
        <row r="323">
          <cell r="T323" t="str">
            <v>I0Y6201</v>
          </cell>
          <cell r="U323" t="str">
            <v>남) 미니미 프린트 점퍼</v>
          </cell>
        </row>
        <row r="324">
          <cell r="T324" t="str">
            <v>P0YV203</v>
          </cell>
          <cell r="U324" t="str">
            <v>여) 메쉬 우븐베스트</v>
          </cell>
        </row>
        <row r="325">
          <cell r="T325" t="str">
            <v>ITY7204</v>
          </cell>
          <cell r="U325" t="str">
            <v>남) 멜란지 노턱 바지</v>
          </cell>
        </row>
        <row r="326">
          <cell r="T326" t="str">
            <v>ITY8201</v>
          </cell>
          <cell r="U326" t="str">
            <v>남) 하운드 투스 패턴 긴팔 우븐셔츠</v>
          </cell>
        </row>
        <row r="327">
          <cell r="T327" t="str">
            <v>P0Y6202</v>
          </cell>
          <cell r="U327" t="str">
            <v>여) 펀칭 소재 믹스 점퍼</v>
          </cell>
        </row>
        <row r="328">
          <cell r="T328" t="str">
            <v>P0Y1213</v>
          </cell>
          <cell r="U328" t="str">
            <v>여) 체리 프린트 소매 메쉬 티셔츠</v>
          </cell>
        </row>
        <row r="329">
          <cell r="T329" t="str">
            <v>P0Y7203</v>
          </cell>
          <cell r="U329" t="str">
            <v>여) 잔스트라이프 9부 슬렉스</v>
          </cell>
        </row>
        <row r="330">
          <cell r="T330" t="str">
            <v>ITY9203</v>
          </cell>
          <cell r="U330" t="str">
            <v>남) 블랙홀 서커 프린트 자켓</v>
          </cell>
        </row>
        <row r="331">
          <cell r="T331" t="str">
            <v>P0YV201</v>
          </cell>
          <cell r="U331" t="str">
            <v>여) 긴기장 펀칭 믹스 우븐베스트</v>
          </cell>
        </row>
        <row r="332">
          <cell r="T332" t="str">
            <v>I0Y7207</v>
          </cell>
          <cell r="U332" t="str">
            <v>남) 멜란지 노턱 바지</v>
          </cell>
        </row>
        <row r="333">
          <cell r="T333" t="str">
            <v>PNY1202</v>
          </cell>
          <cell r="U333" t="str">
            <v>여) 사전 블록 절개 IM 티셔츠</v>
          </cell>
        </row>
        <row r="334">
          <cell r="T334" t="str">
            <v>P0Y7202</v>
          </cell>
          <cell r="U334" t="str">
            <v>여) 세미 부츠컷 팬츠</v>
          </cell>
        </row>
        <row r="335">
          <cell r="T335" t="str">
            <v>ITY1202</v>
          </cell>
          <cell r="U335" t="str">
            <v>남) RCP 잔패턴 프린트 티셔츠</v>
          </cell>
        </row>
        <row r="336">
          <cell r="T336" t="str">
            <v>P0Y1217</v>
          </cell>
          <cell r="U336" t="str">
            <v>여) 꽃 프린트 하이넥 티셔츠</v>
          </cell>
        </row>
        <row r="337">
          <cell r="T337" t="str">
            <v>ITY1205</v>
          </cell>
          <cell r="U337" t="str">
            <v>남) 멜란지 전략 라운드 티셔츠</v>
          </cell>
        </row>
        <row r="338">
          <cell r="T338" t="str">
            <v>INY1207</v>
          </cell>
          <cell r="U338" t="str">
            <v>남) 비대칭 절개 제에리 티셔츠</v>
          </cell>
        </row>
        <row r="339">
          <cell r="T339" t="str">
            <v>INY1101</v>
          </cell>
          <cell r="U339" t="str">
            <v>남) 상단 웰딩포인트 티셔츠</v>
          </cell>
        </row>
        <row r="340">
          <cell r="T340" t="str">
            <v>P0Y7201</v>
          </cell>
          <cell r="U340" t="str">
            <v>여) 앞판 혼솔 포인트 밴딩 팬츠</v>
          </cell>
        </row>
        <row r="341">
          <cell r="T341" t="str">
            <v>I0Y1201</v>
          </cell>
          <cell r="U341" t="str">
            <v>남) 무지 요꼬 티셔츠</v>
          </cell>
        </row>
        <row r="342">
          <cell r="T342" t="str">
            <v>ITY9201</v>
          </cell>
          <cell r="U342" t="str">
            <v>남) 블랙홀 프린트 SET-UP 자켓</v>
          </cell>
        </row>
        <row r="343">
          <cell r="T343" t="str">
            <v>I0Y7201</v>
          </cell>
          <cell r="U343" t="str">
            <v>남) 전략 원턱 바지</v>
          </cell>
        </row>
        <row r="344">
          <cell r="T344" t="str">
            <v>I0Y1211</v>
          </cell>
          <cell r="U344" t="str">
            <v>남) 린넨폴리 한기장 티셔츠</v>
          </cell>
        </row>
        <row r="345">
          <cell r="T345" t="str">
            <v>P0Y1215</v>
          </cell>
          <cell r="U345" t="str">
            <v>여) 레몬 DTP 요꼬 티셔츠</v>
          </cell>
        </row>
        <row r="346">
          <cell r="T346" t="str">
            <v>INY1203</v>
          </cell>
          <cell r="U346" t="str">
            <v>남) 어깨절개배색포인트 반집업 티셔츠</v>
          </cell>
        </row>
        <row r="347">
          <cell r="T347" t="str">
            <v>I0Y1209</v>
          </cell>
          <cell r="U347" t="str">
            <v>남) 핫썸머테마 프린트 티셔츠</v>
          </cell>
        </row>
        <row r="348">
          <cell r="T348" t="str">
            <v>P0Y1202</v>
          </cell>
          <cell r="U348" t="str">
            <v>여) 스트라이프 양면요꼬 티셔츠</v>
          </cell>
        </row>
        <row r="349">
          <cell r="T349" t="str">
            <v>INY1202</v>
          </cell>
          <cell r="U349" t="str">
            <v>남) 변형라글란소매배색 티셔츠</v>
          </cell>
        </row>
        <row r="350">
          <cell r="T350" t="str">
            <v>INY1204</v>
          </cell>
          <cell r="U350" t="str">
            <v>남) 삼단컬러블록 제에리 티셔츠</v>
          </cell>
        </row>
        <row r="351">
          <cell r="T351" t="str">
            <v>PNYQ201</v>
          </cell>
          <cell r="U351" t="str">
            <v>여) 웰딩 포인트 영라인 큐롯</v>
          </cell>
        </row>
        <row r="352">
          <cell r="T352" t="str">
            <v>I0Y1204</v>
          </cell>
          <cell r="U352" t="str">
            <v>남) 잔도트패턴 제에리 티셔츠</v>
          </cell>
        </row>
        <row r="353">
          <cell r="T353" t="str">
            <v>P0Y7208</v>
          </cell>
          <cell r="U353" t="str">
            <v>여) 스티치배색 5부 팬츠</v>
          </cell>
        </row>
        <row r="354">
          <cell r="T354" t="str">
            <v>P0Y1216</v>
          </cell>
          <cell r="U354" t="str">
            <v>여) 전판 DTP 요꼬 티셔츠</v>
          </cell>
        </row>
        <row r="355">
          <cell r="T355" t="str">
            <v>P0Y1204</v>
          </cell>
          <cell r="U355" t="str">
            <v>여) 체크 프린트 DTP 요꼬 티셔츠</v>
          </cell>
        </row>
        <row r="356">
          <cell r="T356" t="str">
            <v>P0Y1212</v>
          </cell>
          <cell r="U356" t="str">
            <v>여) 도트 그라데이션 발포 프린트 티셔츠</v>
          </cell>
        </row>
        <row r="357">
          <cell r="T357" t="str">
            <v>I0Y1207</v>
          </cell>
          <cell r="U357" t="str">
            <v>남) 멜란지 뎅깡 제에리 티셔츠</v>
          </cell>
        </row>
        <row r="358">
          <cell r="T358" t="str">
            <v>PNY7204</v>
          </cell>
          <cell r="U358" t="str">
            <v>여) 웰딩포인트 IM라인 3부 팬츠</v>
          </cell>
        </row>
        <row r="359">
          <cell r="T359" t="str">
            <v>ITY1203</v>
          </cell>
          <cell r="U359" t="str">
            <v>남) 멀티톤잔단가라 제에리 티셔츠</v>
          </cell>
        </row>
        <row r="360">
          <cell r="T360" t="str">
            <v>I0Y7206</v>
          </cell>
          <cell r="U360" t="str">
            <v>남) 써커 프린트 반바지</v>
          </cell>
        </row>
        <row r="361">
          <cell r="T361" t="str">
            <v>P0Y1205</v>
          </cell>
          <cell r="U361" t="str">
            <v>여) 도트프린트 하이넥 티셔츠</v>
          </cell>
        </row>
        <row r="362">
          <cell r="T362" t="str">
            <v>ITY1201</v>
          </cell>
          <cell r="U362" t="str">
            <v>남) 냉감잔피다 제에리 티셔츠</v>
          </cell>
        </row>
        <row r="363">
          <cell r="T363" t="str">
            <v>PTY1202</v>
          </cell>
          <cell r="U363" t="str">
            <v>여) 라운드 티셔츠</v>
          </cell>
        </row>
        <row r="364">
          <cell r="T364" t="str">
            <v>I0Y1216</v>
          </cell>
          <cell r="U364" t="str">
            <v>남) 냉감 반터틀 티셔츠</v>
          </cell>
        </row>
        <row r="365">
          <cell r="T365" t="str">
            <v>P0Y7205</v>
          </cell>
          <cell r="U365" t="str">
            <v>여) 깅엄체크 써커 슬렉스</v>
          </cell>
        </row>
        <row r="366">
          <cell r="T366" t="str">
            <v>I0Y7208</v>
          </cell>
          <cell r="U366" t="str">
            <v>남) 7부 체크 바지</v>
          </cell>
        </row>
        <row r="367">
          <cell r="T367" t="str">
            <v>ITY7206</v>
          </cell>
          <cell r="U367" t="str">
            <v>남) 블랙홀 반바지</v>
          </cell>
        </row>
        <row r="368">
          <cell r="T368" t="str">
            <v>PTY1205</v>
          </cell>
          <cell r="U368" t="str">
            <v>여) 왕관프린트 라운드 티셔츠</v>
          </cell>
        </row>
        <row r="369">
          <cell r="T369" t="str">
            <v>ITY7201</v>
          </cell>
          <cell r="U369" t="str">
            <v>남) 블랙홀 프린트 SET-UP 바지</v>
          </cell>
        </row>
        <row r="370">
          <cell r="T370" t="str">
            <v>P0Y1218</v>
          </cell>
          <cell r="U370" t="str">
            <v>여) 냉감 터틀 티셔츠</v>
          </cell>
        </row>
        <row r="371">
          <cell r="T371" t="str">
            <v>P0Y1207</v>
          </cell>
          <cell r="U371" t="str">
            <v>여) 뎅깡 스트라이프 하이넥 티셔츠A</v>
          </cell>
        </row>
        <row r="372">
          <cell r="T372" t="str">
            <v>PNY1201</v>
          </cell>
          <cell r="U372" t="str">
            <v>여) 메쉬패치 제에리 티셔츠</v>
          </cell>
        </row>
        <row r="373">
          <cell r="T373" t="str">
            <v>P0Y1209</v>
          </cell>
          <cell r="U373" t="str">
            <v>여) 뎅깡 스트라이프 하이넥 티셔츠B</v>
          </cell>
        </row>
        <row r="374">
          <cell r="T374" t="str">
            <v>PTY8202</v>
          </cell>
          <cell r="U374" t="str">
            <v>여) 스트라이프 우븐셔츠</v>
          </cell>
        </row>
        <row r="375">
          <cell r="T375" t="str">
            <v>ITY9204</v>
          </cell>
          <cell r="U375" t="str">
            <v>남) 경량 프린트 자켓</v>
          </cell>
        </row>
        <row r="376">
          <cell r="T376" t="str">
            <v>ITY7203</v>
          </cell>
          <cell r="U376" t="str">
            <v>남) 블랙홀 잔써커 원턱 바지</v>
          </cell>
        </row>
        <row r="377">
          <cell r="T377" t="str">
            <v>I0Y7203</v>
          </cell>
          <cell r="U377" t="str">
            <v>남) 트윌 프린트 트리코트 바지</v>
          </cell>
        </row>
        <row r="378">
          <cell r="T378" t="str">
            <v>PTY7203</v>
          </cell>
          <cell r="U378" t="str">
            <v>여) 솔리드 트리코트 7부 팬츠</v>
          </cell>
        </row>
        <row r="379">
          <cell r="T379" t="str">
            <v>PNY7203</v>
          </cell>
          <cell r="U379" t="str">
            <v>여) 장식 구찌 포인트 IM라인 5부 팬츠</v>
          </cell>
        </row>
        <row r="380">
          <cell r="T380" t="str">
            <v>P0Y7206</v>
          </cell>
          <cell r="U380" t="str">
            <v>여) 미니 포켓 장식 7부 팬츠</v>
          </cell>
        </row>
        <row r="381">
          <cell r="T381" t="str">
            <v>P0YQ202</v>
          </cell>
          <cell r="U381" t="str">
            <v>여) 밑단 외주름 포인트 큐롯</v>
          </cell>
        </row>
        <row r="382">
          <cell r="T382" t="str">
            <v>P0Y1211</v>
          </cell>
          <cell r="U382" t="str">
            <v>여) 전판 트린트 요꼬 티셔츠</v>
          </cell>
        </row>
        <row r="383">
          <cell r="T383" t="str">
            <v>INY1208</v>
          </cell>
          <cell r="U383" t="str">
            <v>남) 시즌 모티브 사이바 프린트 티셔츠</v>
          </cell>
        </row>
        <row r="384">
          <cell r="T384" t="str">
            <v>P0Y1210</v>
          </cell>
          <cell r="U384" t="str">
            <v>여) 뎅깡 스트라이프 요꼬 티셔츠</v>
          </cell>
        </row>
        <row r="385">
          <cell r="T385" t="str">
            <v>ITY8207</v>
          </cell>
          <cell r="U385" t="str">
            <v>남) 돗단배 스트라이프 믹스 우븐셔츠</v>
          </cell>
        </row>
        <row r="386">
          <cell r="T386" t="str">
            <v>PTY7202</v>
          </cell>
          <cell r="U386" t="str">
            <v>여) 세로 프린트 레깅스 팬츠</v>
          </cell>
        </row>
        <row r="387">
          <cell r="T387" t="str">
            <v>ITY8206</v>
          </cell>
          <cell r="U387" t="str">
            <v>남) 삼각 불규칙 프린트 셔츠</v>
          </cell>
        </row>
        <row r="388">
          <cell r="T388" t="str">
            <v>ITY8205</v>
          </cell>
          <cell r="U388" t="str">
            <v>남) 써커 잔체크 셔츠</v>
          </cell>
        </row>
        <row r="389">
          <cell r="T389" t="str">
            <v>I0Y7205</v>
          </cell>
          <cell r="U389" t="str">
            <v>남) 면터치 나일론 솔리드 반바지</v>
          </cell>
        </row>
        <row r="390">
          <cell r="T390" t="str">
            <v>P0Y7207</v>
          </cell>
          <cell r="U390" t="str">
            <v>여) 솔리드 배색7부 체크 팬츠</v>
          </cell>
        </row>
        <row r="391">
          <cell r="T391" t="str">
            <v>PTY7201</v>
          </cell>
          <cell r="U391" t="str">
            <v>여)  3부 기장 롤업 팬츠</v>
          </cell>
        </row>
        <row r="392">
          <cell r="T392" t="str">
            <v>I0Y1210</v>
          </cell>
          <cell r="U392" t="str">
            <v>남) 어버이날시즌 패턴 티셔츠</v>
          </cell>
        </row>
        <row r="393">
          <cell r="T393" t="str">
            <v>P0Y1206</v>
          </cell>
          <cell r="U393" t="str">
            <v>여) 패턴프린트 롱기장 티셔츠</v>
          </cell>
        </row>
        <row r="394">
          <cell r="T394" t="str">
            <v>ITY6202</v>
          </cell>
          <cell r="U394" t="str">
            <v>남) 타공믹스 블루종 점퍼</v>
          </cell>
        </row>
        <row r="395">
          <cell r="T395" t="str">
            <v>ITY1204</v>
          </cell>
          <cell r="U395" t="str">
            <v>남) 톤온톤 단가라 브이넥</v>
          </cell>
        </row>
        <row r="396">
          <cell r="T396" t="str">
            <v>P0Y1222</v>
          </cell>
          <cell r="U396" t="str">
            <v>여) 스트라이프 제에리 나시</v>
          </cell>
        </row>
        <row r="397">
          <cell r="T397" t="str">
            <v>I0Y1203</v>
          </cell>
          <cell r="U397" t="str">
            <v>남) 지문프린트 제에리 티셔츠</v>
          </cell>
        </row>
        <row r="398">
          <cell r="T398" t="str">
            <v>I0Y1214</v>
          </cell>
          <cell r="U398" t="str">
            <v>남) 상단반전 배색 티셔츠</v>
          </cell>
        </row>
        <row r="399">
          <cell r="T399" t="str">
            <v>PTY7205</v>
          </cell>
          <cell r="U399" t="str">
            <v>여) 8부기장 와이드 팬츠</v>
          </cell>
        </row>
        <row r="400">
          <cell r="T400" t="str">
            <v>P0Y1201</v>
          </cell>
          <cell r="U400" t="str">
            <v>여) 무지 요꼬 티셔츠</v>
          </cell>
        </row>
        <row r="401">
          <cell r="T401" t="str">
            <v>PTY7307</v>
          </cell>
          <cell r="U401" t="str">
            <v>여) 세미 부츠컷 데님팬츠</v>
          </cell>
        </row>
        <row r="402">
          <cell r="T402" t="str">
            <v>I0Y1301</v>
          </cell>
          <cell r="U402" t="str">
            <v>남) 기본무지 요꼬 티셔츠</v>
          </cell>
        </row>
        <row r="403">
          <cell r="T403" t="str">
            <v>P0Y6301</v>
          </cell>
          <cell r="U403" t="str">
            <v>여) 가을 홑겹 바람막이 점퍼</v>
          </cell>
        </row>
        <row r="404">
          <cell r="T404" t="str">
            <v>P0Y6302</v>
          </cell>
          <cell r="U404" t="str">
            <v>여) 프린트 바람막이 점퍼</v>
          </cell>
        </row>
        <row r="405">
          <cell r="T405" t="str">
            <v>PTY8303</v>
          </cell>
          <cell r="U405" t="str">
            <v>여) T/R/SP 빅체크 우븐셔츠</v>
          </cell>
        </row>
        <row r="406">
          <cell r="T406" t="str">
            <v>PTYC301</v>
          </cell>
          <cell r="U406" t="str">
            <v>여) 캐주얼 긴기장 코트</v>
          </cell>
        </row>
        <row r="407">
          <cell r="T407" t="str">
            <v>I0Y6301</v>
          </cell>
          <cell r="U407" t="str">
            <v>남) 지도리 홑겹 바람막이 점퍼</v>
          </cell>
        </row>
        <row r="408">
          <cell r="T408" t="str">
            <v>I0Y7301</v>
          </cell>
          <cell r="U408" t="str">
            <v>남) 트윌 전략 노턱 바지</v>
          </cell>
        </row>
        <row r="409">
          <cell r="T409" t="str">
            <v>I0Y1302</v>
          </cell>
          <cell r="U409" t="str">
            <v>남) 전판 브릿지 프린트 티셔츠</v>
          </cell>
        </row>
        <row r="410">
          <cell r="T410" t="str">
            <v>P0Y1301</v>
          </cell>
          <cell r="U410" t="str">
            <v>여) 기본무지 요꼬 티셔츠</v>
          </cell>
        </row>
        <row r="411">
          <cell r="T411" t="str">
            <v>PTY1305</v>
          </cell>
          <cell r="U411" t="str">
            <v>여) 핀스트라이프 라운드 티셔츠</v>
          </cell>
        </row>
        <row r="412">
          <cell r="T412" t="str">
            <v>P0Y7301</v>
          </cell>
          <cell r="U412" t="str">
            <v>여) 가을 기본 전략 팬츠</v>
          </cell>
        </row>
        <row r="413">
          <cell r="T413" t="str">
            <v>PTY1301</v>
          </cell>
          <cell r="U413" t="str">
            <v>여) 캐주얼 라운드 티셔츠</v>
          </cell>
        </row>
        <row r="414">
          <cell r="T414" t="str">
            <v>PTY8301</v>
          </cell>
          <cell r="U414" t="str">
            <v>여) 플라워 패턴 우븐셔츠</v>
          </cell>
        </row>
        <row r="415">
          <cell r="T415" t="str">
            <v>I0Y1303</v>
          </cell>
          <cell r="U415" t="str">
            <v>남) 폴리 PQ 컬러블록 포인트 티셔츠</v>
          </cell>
        </row>
        <row r="416">
          <cell r="T416" t="str">
            <v>I0Y6303</v>
          </cell>
          <cell r="U416" t="str">
            <v>남) 패딩 사각퀼팅 점퍼</v>
          </cell>
        </row>
        <row r="417">
          <cell r="T417" t="str">
            <v>I0Y7303</v>
          </cell>
          <cell r="U417" t="str">
            <v>남) 폴리 고신축(티네추럴) 바지</v>
          </cell>
        </row>
        <row r="418">
          <cell r="T418" t="str">
            <v>INY1303</v>
          </cell>
          <cell r="U418" t="str">
            <v>남) 상단 우븐패치 반집업</v>
          </cell>
        </row>
        <row r="419">
          <cell r="T419" t="str">
            <v>INY6301</v>
          </cell>
          <cell r="U419" t="str">
            <v>남) 엠보 프린트 저지 점퍼</v>
          </cell>
        </row>
        <row r="420">
          <cell r="T420" t="str">
            <v>INY7301</v>
          </cell>
          <cell r="U420" t="str">
            <v>남) 트리코트 본딩 IM 바지</v>
          </cell>
        </row>
        <row r="421">
          <cell r="T421" t="str">
            <v>ITY1303</v>
          </cell>
          <cell r="U421" t="str">
            <v>남) 사각 체크 조직 티셔츠</v>
          </cell>
        </row>
        <row r="422">
          <cell r="T422" t="str">
            <v>ITY1305</v>
          </cell>
          <cell r="U422" t="str">
            <v>남) 전판 글렌체크 프린트 티셔츠</v>
          </cell>
        </row>
        <row r="423">
          <cell r="T423" t="str">
            <v>ITY6304</v>
          </cell>
          <cell r="U423" t="str">
            <v>남) 2.5레이어 점퍼</v>
          </cell>
        </row>
        <row r="424">
          <cell r="T424" t="str">
            <v>ITY8304</v>
          </cell>
          <cell r="U424" t="str">
            <v>남) T/R 멀티체크 티셔츠</v>
          </cell>
        </row>
        <row r="425">
          <cell r="T425" t="str">
            <v>ITYA301</v>
          </cell>
          <cell r="U425" t="str">
            <v>남) 가을 컬러블록 티에리</v>
          </cell>
        </row>
        <row r="426">
          <cell r="T426" t="str">
            <v>P0Y1304</v>
          </cell>
          <cell r="U426" t="str">
            <v>여) 댕깡 스트라이프 요꼬 티셔츠</v>
          </cell>
        </row>
        <row r="427">
          <cell r="T427" t="str">
            <v>P0Y1306</v>
          </cell>
          <cell r="U427" t="str">
            <v>여) 세로 스트라이프 티셔츠</v>
          </cell>
        </row>
        <row r="428">
          <cell r="T428" t="str">
            <v>P0Y6304</v>
          </cell>
          <cell r="U428" t="str">
            <v>여) 자수퀼팅 니트패치 점퍼</v>
          </cell>
        </row>
        <row r="429">
          <cell r="T429" t="str">
            <v>P0Y7302</v>
          </cell>
          <cell r="U429" t="str">
            <v>여) 면터치 스트라이프 팬츠</v>
          </cell>
        </row>
        <row r="430">
          <cell r="T430" t="str">
            <v>ITY7303</v>
          </cell>
          <cell r="U430" t="str">
            <v>남) 벨벳 코듀로이 바지</v>
          </cell>
        </row>
        <row r="431">
          <cell r="T431" t="str">
            <v>ITY8303</v>
          </cell>
          <cell r="U431" t="str">
            <v>남) 체크 우븐셔츠</v>
          </cell>
        </row>
        <row r="432">
          <cell r="T432" t="str">
            <v>P0YV301</v>
          </cell>
          <cell r="U432" t="str">
            <v>여) 니트패치 패딩 우븐베스트</v>
          </cell>
        </row>
        <row r="433">
          <cell r="T433" t="str">
            <v>I0Y1307</v>
          </cell>
          <cell r="U433" t="str">
            <v>남) 유니언잭 프린트 티셔츠</v>
          </cell>
        </row>
        <row r="434">
          <cell r="T434" t="str">
            <v>PTY6301</v>
          </cell>
          <cell r="U434" t="str">
            <v>여) 캐주얼 안감 점퍼</v>
          </cell>
        </row>
        <row r="435">
          <cell r="T435" t="str">
            <v>PTY7308</v>
          </cell>
          <cell r="U435" t="str">
            <v>여) 오비 밴딩 블랙 데님팬츠</v>
          </cell>
        </row>
        <row r="436">
          <cell r="T436" t="str">
            <v>ITY8305</v>
          </cell>
          <cell r="U436" t="str">
            <v>남) 면 빅체크 우븐셔츠</v>
          </cell>
        </row>
        <row r="437">
          <cell r="T437" t="str">
            <v>ITY9303</v>
          </cell>
          <cell r="U437" t="str">
            <v>남) 울혼방 져지 자켓</v>
          </cell>
        </row>
        <row r="438">
          <cell r="T438" t="str">
            <v>ITY1302</v>
          </cell>
          <cell r="U438" t="str">
            <v>남) 실켓 투톤조직 제에리 티셔츠</v>
          </cell>
        </row>
        <row r="439">
          <cell r="T439" t="str">
            <v>PTYV301</v>
          </cell>
          <cell r="U439" t="str">
            <v>여) 캐주얼 우븐베스트</v>
          </cell>
        </row>
        <row r="440">
          <cell r="T440" t="str">
            <v>ITY8301</v>
          </cell>
          <cell r="U440" t="str">
            <v>남) 헤링본 조직 사각프린트 우븐셔츠</v>
          </cell>
        </row>
        <row r="441">
          <cell r="T441" t="str">
            <v>I0Y2301</v>
          </cell>
          <cell r="U441" t="str">
            <v>남) 가슴 포인트배색 반집업 스웨터</v>
          </cell>
        </row>
      </sheetData>
      <sheetData sheetId="1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over"/>
      <sheetName val="문구"/>
      <sheetName val="주소"/>
      <sheetName val="controll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Sheet12 (2)"/>
      <sheetName val="Sheet13 (2)"/>
      <sheetName val="Sheet14 (2)"/>
      <sheetName val="Sheet15 (2)"/>
      <sheetName val="Sheet16 (2)"/>
      <sheetName val="Module4"/>
      <sheetName val="Module1"/>
      <sheetName val="Module2"/>
      <sheetName val="회사정보"/>
      <sheetName val="전체단가표"/>
      <sheetName val="완성차 미수금"/>
      <sheetName val="참조"/>
    </sheetNames>
    <sheetDataSet>
      <sheetData sheetId="0" refreshError="1"/>
      <sheetData sheetId="1" refreshError="1"/>
      <sheetData sheetId="2"/>
      <sheetData sheetId="3" refreshError="1"/>
      <sheetData sheetId="4" refreshError="1">
        <row r="6">
          <cell r="A6">
            <v>1</v>
          </cell>
          <cell r="C6" t="str">
            <v>장웅걸</v>
          </cell>
          <cell r="H6">
            <v>214</v>
          </cell>
        </row>
        <row r="7">
          <cell r="A7">
            <v>2</v>
          </cell>
          <cell r="C7" t="str">
            <v>권영세</v>
          </cell>
          <cell r="H7">
            <v>60</v>
          </cell>
        </row>
        <row r="8">
          <cell r="A8">
            <v>3</v>
          </cell>
          <cell r="C8" t="str">
            <v>진혁</v>
          </cell>
          <cell r="H8">
            <v>800</v>
          </cell>
        </row>
        <row r="9">
          <cell r="A9">
            <v>4</v>
          </cell>
          <cell r="C9" t="str">
            <v>박금희</v>
          </cell>
          <cell r="G9">
            <v>640</v>
          </cell>
        </row>
        <row r="10">
          <cell r="A10">
            <v>5</v>
          </cell>
          <cell r="C10" t="str">
            <v>권용진</v>
          </cell>
          <cell r="G10">
            <v>500</v>
          </cell>
          <cell r="H10">
            <v>820</v>
          </cell>
        </row>
        <row r="11">
          <cell r="A11">
            <v>6</v>
          </cell>
          <cell r="C11" t="str">
            <v>이재춘</v>
          </cell>
          <cell r="G11">
            <v>72</v>
          </cell>
          <cell r="H11">
            <v>255</v>
          </cell>
        </row>
        <row r="12">
          <cell r="A12">
            <v>7</v>
          </cell>
          <cell r="C12" t="str">
            <v>송화선</v>
          </cell>
          <cell r="H12">
            <v>1020</v>
          </cell>
        </row>
        <row r="13">
          <cell r="A13">
            <v>8</v>
          </cell>
          <cell r="C13" t="str">
            <v>강홍구</v>
          </cell>
          <cell r="G13">
            <v>30</v>
          </cell>
          <cell r="H13">
            <v>280</v>
          </cell>
        </row>
        <row r="14">
          <cell r="A14">
            <v>9</v>
          </cell>
          <cell r="C14" t="str">
            <v>이대희</v>
          </cell>
          <cell r="G14">
            <v>300</v>
          </cell>
          <cell r="H14">
            <v>50</v>
          </cell>
        </row>
        <row r="15">
          <cell r="A15">
            <v>10</v>
          </cell>
          <cell r="C15" t="str">
            <v>홍재일</v>
          </cell>
          <cell r="G15">
            <v>200</v>
          </cell>
          <cell r="H15">
            <v>666</v>
          </cell>
        </row>
        <row r="16">
          <cell r="A16">
            <v>11</v>
          </cell>
          <cell r="C16" t="str">
            <v>임필기</v>
          </cell>
          <cell r="G16">
            <v>1100</v>
          </cell>
        </row>
        <row r="17">
          <cell r="A17">
            <v>12</v>
          </cell>
          <cell r="C17" t="str">
            <v>연경흠</v>
          </cell>
          <cell r="G17">
            <v>30</v>
          </cell>
          <cell r="H17">
            <v>230</v>
          </cell>
        </row>
        <row r="18">
          <cell r="A18">
            <v>13</v>
          </cell>
          <cell r="C18" t="str">
            <v>권재순</v>
          </cell>
          <cell r="G18">
            <v>345</v>
          </cell>
          <cell r="H18">
            <v>100</v>
          </cell>
          <cell r="J18">
            <v>60</v>
          </cell>
        </row>
        <row r="19">
          <cell r="A19">
            <v>14</v>
          </cell>
          <cell r="C19" t="str">
            <v>남수모</v>
          </cell>
          <cell r="G19">
            <v>234</v>
          </cell>
          <cell r="H19">
            <v>200</v>
          </cell>
        </row>
        <row r="20">
          <cell r="A20">
            <v>15</v>
          </cell>
          <cell r="C20" t="str">
            <v>강영금</v>
          </cell>
          <cell r="E20">
            <v>23</v>
          </cell>
          <cell r="G20">
            <v>249</v>
          </cell>
        </row>
        <row r="21">
          <cell r="A21">
            <v>16</v>
          </cell>
          <cell r="C21" t="str">
            <v>김종찬</v>
          </cell>
          <cell r="G21">
            <v>350</v>
          </cell>
        </row>
        <row r="22">
          <cell r="A22">
            <v>17</v>
          </cell>
          <cell r="C22" t="str">
            <v>이재천</v>
          </cell>
          <cell r="G22">
            <v>450</v>
          </cell>
          <cell r="J22">
            <v>50</v>
          </cell>
        </row>
        <row r="23">
          <cell r="A23">
            <v>18</v>
          </cell>
          <cell r="C23" t="str">
            <v>한성식</v>
          </cell>
          <cell r="G23">
            <v>357</v>
          </cell>
        </row>
        <row r="24">
          <cell r="A24">
            <v>19</v>
          </cell>
          <cell r="C24" t="str">
            <v>영남건설㈜</v>
          </cell>
          <cell r="G24">
            <v>200</v>
          </cell>
          <cell r="H24">
            <v>600</v>
          </cell>
        </row>
        <row r="25">
          <cell r="A25">
            <v>20</v>
          </cell>
          <cell r="C25" t="str">
            <v>이외숙</v>
          </cell>
          <cell r="G25">
            <v>480</v>
          </cell>
        </row>
        <row r="26">
          <cell r="A26">
            <v>21</v>
          </cell>
          <cell r="C26" t="str">
            <v>장성숙</v>
          </cell>
          <cell r="G26">
            <v>159</v>
          </cell>
          <cell r="H26">
            <v>100</v>
          </cell>
          <cell r="J26">
            <v>507</v>
          </cell>
        </row>
        <row r="27">
          <cell r="A27">
            <v>22</v>
          </cell>
          <cell r="C27" t="str">
            <v>김성희</v>
          </cell>
          <cell r="G27">
            <v>285</v>
          </cell>
          <cell r="H27">
            <v>50</v>
          </cell>
        </row>
        <row r="28">
          <cell r="A28">
            <v>23</v>
          </cell>
          <cell r="C28" t="str">
            <v>일광주택건설㈜</v>
          </cell>
          <cell r="G28">
            <v>1050</v>
          </cell>
        </row>
        <row r="29">
          <cell r="A29">
            <v>24</v>
          </cell>
          <cell r="C29" t="str">
            <v>김기선</v>
          </cell>
          <cell r="G29">
            <v>570</v>
          </cell>
          <cell r="H29">
            <v>974</v>
          </cell>
        </row>
        <row r="30">
          <cell r="A30">
            <v>25</v>
          </cell>
          <cell r="C30" t="str">
            <v>진창삼</v>
          </cell>
          <cell r="H30">
            <v>1342</v>
          </cell>
        </row>
        <row r="31">
          <cell r="A31">
            <v>26</v>
          </cell>
          <cell r="C31" t="str">
            <v>김주혁</v>
          </cell>
          <cell r="G31">
            <v>733</v>
          </cell>
        </row>
        <row r="32">
          <cell r="A32">
            <v>27</v>
          </cell>
          <cell r="C32" t="str">
            <v>김춘년</v>
          </cell>
          <cell r="G32">
            <v>892</v>
          </cell>
        </row>
        <row r="33">
          <cell r="A33">
            <v>28</v>
          </cell>
          <cell r="C33" t="str">
            <v>황분남</v>
          </cell>
          <cell r="G33">
            <v>120</v>
          </cell>
          <cell r="H33">
            <v>50</v>
          </cell>
        </row>
        <row r="34">
          <cell r="A34">
            <v>29</v>
          </cell>
          <cell r="C34" t="str">
            <v>㈜세현주택</v>
          </cell>
          <cell r="H34">
            <v>500</v>
          </cell>
        </row>
        <row r="35">
          <cell r="A35">
            <v>30</v>
          </cell>
          <cell r="C35" t="str">
            <v>태정주택건설㈜</v>
          </cell>
          <cell r="G35">
            <v>1230</v>
          </cell>
          <cell r="H35">
            <v>390</v>
          </cell>
        </row>
        <row r="36">
          <cell r="A36">
            <v>31</v>
          </cell>
          <cell r="C36" t="str">
            <v>김상극</v>
          </cell>
          <cell r="G36">
            <v>550</v>
          </cell>
        </row>
        <row r="37">
          <cell r="A37">
            <v>32</v>
          </cell>
          <cell r="C37" t="str">
            <v>안옥주</v>
          </cell>
          <cell r="H37">
            <v>350</v>
          </cell>
          <cell r="J37">
            <v>340</v>
          </cell>
        </row>
        <row r="38">
          <cell r="A38">
            <v>33</v>
          </cell>
          <cell r="C38" t="str">
            <v>박재청</v>
          </cell>
          <cell r="G38">
            <v>880</v>
          </cell>
        </row>
        <row r="39">
          <cell r="A39">
            <v>34</v>
          </cell>
          <cell r="C39" t="str">
            <v>㈜대진식품</v>
          </cell>
          <cell r="G39">
            <v>930</v>
          </cell>
        </row>
        <row r="40">
          <cell r="A40">
            <v>35</v>
          </cell>
          <cell r="C40" t="str">
            <v>제일경동요업㈜</v>
          </cell>
          <cell r="G40">
            <v>930</v>
          </cell>
        </row>
        <row r="41">
          <cell r="A41">
            <v>36</v>
          </cell>
          <cell r="C41" t="str">
            <v>이기섭</v>
          </cell>
          <cell r="H41">
            <v>600</v>
          </cell>
          <cell r="J41">
            <v>187</v>
          </cell>
        </row>
        <row r="42">
          <cell r="A42">
            <v>37</v>
          </cell>
          <cell r="C42" t="str">
            <v>㈜진영</v>
          </cell>
          <cell r="H42">
            <v>1190</v>
          </cell>
        </row>
        <row r="43">
          <cell r="A43">
            <v>38</v>
          </cell>
          <cell r="C43" t="str">
            <v>범호건설㈜</v>
          </cell>
          <cell r="G43">
            <v>450</v>
          </cell>
          <cell r="J43">
            <v>56</v>
          </cell>
        </row>
        <row r="44">
          <cell r="A44">
            <v>39</v>
          </cell>
          <cell r="C44" t="str">
            <v>김애정</v>
          </cell>
          <cell r="H44">
            <v>400</v>
          </cell>
        </row>
        <row r="45">
          <cell r="A45">
            <v>40</v>
          </cell>
          <cell r="C45" t="str">
            <v>천광기업㈜</v>
          </cell>
          <cell r="G45">
            <v>340</v>
          </cell>
          <cell r="H45">
            <v>750</v>
          </cell>
        </row>
        <row r="46">
          <cell r="A46">
            <v>41</v>
          </cell>
          <cell r="C46" t="str">
            <v>박판수</v>
          </cell>
          <cell r="H46">
            <v>1200</v>
          </cell>
        </row>
        <row r="47">
          <cell r="A47">
            <v>42</v>
          </cell>
          <cell r="C47" t="str">
            <v>후포수산물㈜</v>
          </cell>
          <cell r="G47">
            <v>1250</v>
          </cell>
        </row>
        <row r="48">
          <cell r="A48">
            <v>43</v>
          </cell>
          <cell r="C48" t="str">
            <v>최문철</v>
          </cell>
          <cell r="G48">
            <v>1100</v>
          </cell>
          <cell r="J48">
            <v>16</v>
          </cell>
        </row>
        <row r="49">
          <cell r="A49">
            <v>44</v>
          </cell>
          <cell r="C49" t="str">
            <v>이창호</v>
          </cell>
          <cell r="G49">
            <v>100</v>
          </cell>
          <cell r="H49">
            <v>600</v>
          </cell>
        </row>
        <row r="50">
          <cell r="A50">
            <v>45</v>
          </cell>
          <cell r="C50" t="str">
            <v>대진산업㈜</v>
          </cell>
          <cell r="H50">
            <v>799</v>
          </cell>
          <cell r="J50">
            <v>338</v>
          </cell>
        </row>
        <row r="51">
          <cell r="A51">
            <v>46</v>
          </cell>
          <cell r="C51" t="str">
            <v>마로종합건설㈜</v>
          </cell>
          <cell r="G51">
            <v>1100</v>
          </cell>
          <cell r="H51">
            <v>350</v>
          </cell>
        </row>
        <row r="52">
          <cell r="A52">
            <v>47</v>
          </cell>
          <cell r="C52" t="str">
            <v>고목훈</v>
          </cell>
          <cell r="G52">
            <v>1000</v>
          </cell>
        </row>
        <row r="53">
          <cell r="A53">
            <v>48</v>
          </cell>
          <cell r="C53" t="str">
            <v>계몽도서경판㈜</v>
          </cell>
          <cell r="H53">
            <v>500</v>
          </cell>
          <cell r="J53">
            <v>550</v>
          </cell>
        </row>
        <row r="54">
          <cell r="A54">
            <v>49</v>
          </cell>
          <cell r="C54" t="str">
            <v>양승찬</v>
          </cell>
          <cell r="H54">
            <v>1043</v>
          </cell>
        </row>
        <row r="55">
          <cell r="A55">
            <v>50</v>
          </cell>
          <cell r="C55" t="str">
            <v>최성훈</v>
          </cell>
          <cell r="H55">
            <v>150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"/>
      <sheetName val="admin"/>
      <sheetName val="assign"/>
      <sheetName val="예금"/>
      <sheetName val="3350 선급금"/>
      <sheetName val="3350-10 명세"/>
      <sheetName val="3350-20 정리내역"/>
      <sheetName val="3300-42 제품"/>
      <sheetName val="재고자산"/>
      <sheetName val="3700 투자자산"/>
      <sheetName val="투자유가증권"/>
      <sheetName val="3900 무형자산"/>
      <sheetName val="3900-10 명세"/>
      <sheetName val="3900-20 상각"/>
      <sheetName val="4400기타고정부채"/>
      <sheetName val="4700 장단기차입금"/>
      <sheetName val="4800퇴직급여충당금"/>
      <sheetName val="급여"/>
      <sheetName val="4800-20퇴충"/>
      <sheetName val="4800-30 대상"/>
      <sheetName val="직원 (2)"/>
      <sheetName val="Sheet1"/>
      <sheetName val="6300-10 월별 판관비"/>
      <sheetName val="6300-1판관비변동분석"/>
      <sheetName val="AJE&amp;RJE"/>
      <sheetName val="Sheet3"/>
      <sheetName val="FN"/>
      <sheetName val="controll"/>
      <sheetName val="회사정보"/>
      <sheetName val="완성차 미수금"/>
    </sheetNames>
    <sheetDataSet>
      <sheetData sheetId="0"/>
      <sheetData sheetId="1" refreshError="1">
        <row r="17">
          <cell r="C17">
            <v>1000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가을판매현황"/>
      <sheetName val="3.겨울판매현황"/>
      <sheetName val="3.기획상품판매현황"/>
      <sheetName val="4.판매베스트20"/>
      <sheetName val="5. FW 입고"/>
      <sheetName val="5.봄 입고"/>
      <sheetName val="5.여름 입고"/>
      <sheetName val="5.스팟리오더"/>
      <sheetName val="9. 상품기획팀 추진업무"/>
      <sheetName val="6.샘플투입현황"/>
      <sheetName val="DB 2018 SS 1"/>
      <sheetName val="DB 2017 SS 2"/>
      <sheetName val="2018 금주 판매"/>
      <sheetName val="2018 전주 판매"/>
      <sheetName val="2017 주간 4"/>
      <sheetName val="입고일자 9"/>
      <sheetName val="예상판매율 10"/>
      <sheetName val="참조"/>
      <sheetName val="Sheet1"/>
      <sheetName val="adm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D2" t="str">
            <v>I0Y1301</v>
          </cell>
          <cell r="AA2">
            <v>43329</v>
          </cell>
        </row>
        <row r="3">
          <cell r="AA3">
            <v>43329</v>
          </cell>
        </row>
        <row r="4">
          <cell r="AA4">
            <v>43329</v>
          </cell>
        </row>
        <row r="5">
          <cell r="AA5">
            <v>43329</v>
          </cell>
        </row>
        <row r="6">
          <cell r="AA6">
            <v>43329</v>
          </cell>
        </row>
        <row r="7">
          <cell r="AA7">
            <v>43329</v>
          </cell>
        </row>
        <row r="11">
          <cell r="AA11">
            <v>43329</v>
          </cell>
        </row>
        <row r="12">
          <cell r="AA12">
            <v>43329</v>
          </cell>
        </row>
        <row r="16">
          <cell r="AA16">
            <v>43343</v>
          </cell>
        </row>
        <row r="17">
          <cell r="AA17">
            <v>43343</v>
          </cell>
        </row>
        <row r="21">
          <cell r="AA21">
            <v>43362</v>
          </cell>
        </row>
        <row r="22">
          <cell r="AA22">
            <v>43362</v>
          </cell>
        </row>
        <row r="26">
          <cell r="AA26">
            <v>43329</v>
          </cell>
        </row>
        <row r="27">
          <cell r="AA27">
            <v>43329</v>
          </cell>
        </row>
        <row r="31">
          <cell r="AA31">
            <v>43341</v>
          </cell>
        </row>
        <row r="32">
          <cell r="AA32">
            <v>43341</v>
          </cell>
        </row>
        <row r="36">
          <cell r="AA36">
            <v>43294</v>
          </cell>
        </row>
        <row r="40">
          <cell r="AA40">
            <v>43343</v>
          </cell>
        </row>
        <row r="41">
          <cell r="AA41">
            <v>43343</v>
          </cell>
        </row>
        <row r="42">
          <cell r="AA42">
            <v>43343</v>
          </cell>
        </row>
        <row r="43">
          <cell r="AA43">
            <v>43343</v>
          </cell>
        </row>
        <row r="44">
          <cell r="AA44">
            <v>43343</v>
          </cell>
        </row>
        <row r="48">
          <cell r="AA48">
            <v>43364</v>
          </cell>
        </row>
        <row r="49">
          <cell r="AA49">
            <v>43364</v>
          </cell>
        </row>
        <row r="50">
          <cell r="AA50">
            <v>43364</v>
          </cell>
        </row>
        <row r="54">
          <cell r="AA54">
            <v>43343</v>
          </cell>
        </row>
        <row r="55">
          <cell r="AA55">
            <v>43343</v>
          </cell>
        </row>
        <row r="59">
          <cell r="AA59">
            <v>43364</v>
          </cell>
        </row>
        <row r="60">
          <cell r="AA60">
            <v>43364</v>
          </cell>
        </row>
        <row r="64">
          <cell r="AA64">
            <v>43384</v>
          </cell>
        </row>
        <row r="65">
          <cell r="AA65">
            <v>43384</v>
          </cell>
        </row>
        <row r="69">
          <cell r="AA69">
            <v>43370</v>
          </cell>
        </row>
        <row r="70">
          <cell r="AA70">
            <v>43370</v>
          </cell>
        </row>
        <row r="74">
          <cell r="AA74">
            <v>43370</v>
          </cell>
        </row>
        <row r="75">
          <cell r="AA75">
            <v>43370</v>
          </cell>
        </row>
        <row r="76">
          <cell r="AA76">
            <v>43370</v>
          </cell>
        </row>
        <row r="83">
          <cell r="AA83">
            <v>43332</v>
          </cell>
        </row>
        <row r="84">
          <cell r="AA84">
            <v>43332</v>
          </cell>
        </row>
        <row r="88">
          <cell r="AA88">
            <v>43298</v>
          </cell>
        </row>
        <row r="89">
          <cell r="AA89">
            <v>43298</v>
          </cell>
        </row>
        <row r="93">
          <cell r="AA93">
            <v>43307</v>
          </cell>
        </row>
        <row r="94">
          <cell r="AA94">
            <v>43307</v>
          </cell>
        </row>
        <row r="101">
          <cell r="AA101">
            <v>43349</v>
          </cell>
        </row>
        <row r="102">
          <cell r="AA102">
            <v>43349</v>
          </cell>
        </row>
        <row r="106">
          <cell r="AA106">
            <v>43364</v>
          </cell>
        </row>
        <row r="118">
          <cell r="AA118">
            <v>43381</v>
          </cell>
        </row>
        <row r="119">
          <cell r="AA119">
            <v>43381</v>
          </cell>
        </row>
        <row r="126">
          <cell r="AA126">
            <v>43326</v>
          </cell>
        </row>
        <row r="127">
          <cell r="AA127">
            <v>43326</v>
          </cell>
        </row>
        <row r="128">
          <cell r="AA128">
            <v>43326</v>
          </cell>
        </row>
        <row r="132">
          <cell r="AA132">
            <v>43291</v>
          </cell>
        </row>
        <row r="133">
          <cell r="AA133">
            <v>43291</v>
          </cell>
        </row>
        <row r="137">
          <cell r="AA137">
            <v>43339</v>
          </cell>
        </row>
        <row r="138">
          <cell r="AA138">
            <v>43339</v>
          </cell>
        </row>
        <row r="142">
          <cell r="AA142">
            <v>43385</v>
          </cell>
        </row>
        <row r="144">
          <cell r="AA144">
            <v>43385</v>
          </cell>
        </row>
        <row r="148">
          <cell r="AA148">
            <v>43385</v>
          </cell>
        </row>
        <row r="149">
          <cell r="AA149">
            <v>43385</v>
          </cell>
        </row>
        <row r="156">
          <cell r="AA156">
            <v>43321</v>
          </cell>
        </row>
        <row r="157">
          <cell r="AA157">
            <v>43321</v>
          </cell>
        </row>
        <row r="158">
          <cell r="AA158">
            <v>43321</v>
          </cell>
        </row>
        <row r="162">
          <cell r="AA162">
            <v>43306</v>
          </cell>
        </row>
        <row r="163">
          <cell r="AA163">
            <v>43306</v>
          </cell>
        </row>
        <row r="167">
          <cell r="AA167">
            <v>43342</v>
          </cell>
        </row>
        <row r="168">
          <cell r="AA168">
            <v>43342</v>
          </cell>
        </row>
        <row r="172">
          <cell r="AA172">
            <v>43370</v>
          </cell>
        </row>
        <row r="173">
          <cell r="AA173">
            <v>43370</v>
          </cell>
        </row>
        <row r="174">
          <cell r="AA174">
            <v>43370</v>
          </cell>
        </row>
        <row r="178">
          <cell r="AA178">
            <v>43370</v>
          </cell>
        </row>
        <row r="182">
          <cell r="AA182">
            <v>43362</v>
          </cell>
        </row>
        <row r="183">
          <cell r="AA183">
            <v>43362</v>
          </cell>
        </row>
        <row r="187">
          <cell r="AA187">
            <v>43362</v>
          </cell>
        </row>
        <row r="188">
          <cell r="AA188">
            <v>43362</v>
          </cell>
        </row>
        <row r="195">
          <cell r="AA195">
            <v>43326</v>
          </cell>
        </row>
        <row r="196">
          <cell r="AA196">
            <v>43326</v>
          </cell>
        </row>
        <row r="197">
          <cell r="AA197">
            <v>43326</v>
          </cell>
        </row>
        <row r="207">
          <cell r="AA207">
            <v>43362</v>
          </cell>
        </row>
        <row r="211">
          <cell r="AA211">
            <v>43362</v>
          </cell>
        </row>
        <row r="218">
          <cell r="AA218">
            <v>43339</v>
          </cell>
        </row>
        <row r="222">
          <cell r="AA222">
            <v>43339</v>
          </cell>
        </row>
        <row r="229">
          <cell r="AA229">
            <v>43329</v>
          </cell>
        </row>
        <row r="230">
          <cell r="AA230">
            <v>43329</v>
          </cell>
        </row>
        <row r="234">
          <cell r="AA234">
            <v>43346</v>
          </cell>
        </row>
        <row r="235">
          <cell r="AA235">
            <v>43346</v>
          </cell>
        </row>
        <row r="239">
          <cell r="AA239">
            <v>43363</v>
          </cell>
        </row>
        <row r="243">
          <cell r="AA243">
            <v>43329</v>
          </cell>
        </row>
        <row r="244">
          <cell r="AA244">
            <v>43329</v>
          </cell>
        </row>
        <row r="248">
          <cell r="AA248">
            <v>43361</v>
          </cell>
        </row>
        <row r="252">
          <cell r="AA252">
            <v>43363</v>
          </cell>
        </row>
        <row r="275">
          <cell r="AA275">
            <v>43371</v>
          </cell>
        </row>
        <row r="276">
          <cell r="AA276">
            <v>43371</v>
          </cell>
        </row>
        <row r="310">
          <cell r="AA310">
            <v>43335</v>
          </cell>
        </row>
        <row r="320">
          <cell r="AA320">
            <v>43333</v>
          </cell>
        </row>
        <row r="321">
          <cell r="AA321">
            <v>43333</v>
          </cell>
        </row>
        <row r="325">
          <cell r="AA325">
            <v>43364</v>
          </cell>
        </row>
        <row r="329">
          <cell r="AA329">
            <v>43364</v>
          </cell>
        </row>
        <row r="330">
          <cell r="AA330">
            <v>43364</v>
          </cell>
        </row>
        <row r="337">
          <cell r="AA337">
            <v>43375</v>
          </cell>
        </row>
        <row r="338">
          <cell r="AA338">
            <v>43375</v>
          </cell>
        </row>
        <row r="348">
          <cell r="AA348">
            <v>43357</v>
          </cell>
        </row>
        <row r="349">
          <cell r="AA349">
            <v>43361</v>
          </cell>
        </row>
        <row r="359">
          <cell r="AA359">
            <v>43308</v>
          </cell>
        </row>
        <row r="360">
          <cell r="AA360">
            <v>43308</v>
          </cell>
        </row>
        <row r="364">
          <cell r="AA364">
            <v>43364</v>
          </cell>
        </row>
        <row r="365">
          <cell r="AA365">
            <v>43364</v>
          </cell>
        </row>
        <row r="369">
          <cell r="AA369">
            <v>43343</v>
          </cell>
        </row>
        <row r="370">
          <cell r="AA370">
            <v>43343</v>
          </cell>
        </row>
        <row r="374">
          <cell r="AA374">
            <v>43370</v>
          </cell>
        </row>
        <row r="375">
          <cell r="AA375">
            <v>43370</v>
          </cell>
        </row>
        <row r="379">
          <cell r="AA379">
            <v>43377</v>
          </cell>
        </row>
        <row r="380">
          <cell r="AA380">
            <v>43377</v>
          </cell>
        </row>
        <row r="387">
          <cell r="AA387">
            <v>43339</v>
          </cell>
        </row>
        <row r="388">
          <cell r="AA388">
            <v>43339</v>
          </cell>
        </row>
        <row r="400">
          <cell r="AA400">
            <v>43340</v>
          </cell>
        </row>
        <row r="401">
          <cell r="AA401">
            <v>43340</v>
          </cell>
        </row>
        <row r="405">
          <cell r="AA405">
            <v>43362</v>
          </cell>
        </row>
        <row r="406">
          <cell r="AA406">
            <v>43362</v>
          </cell>
        </row>
        <row r="426">
          <cell r="AA426">
            <v>43371</v>
          </cell>
        </row>
        <row r="427">
          <cell r="AA427">
            <v>43371</v>
          </cell>
        </row>
        <row r="437">
          <cell r="AA437">
            <v>43377</v>
          </cell>
        </row>
        <row r="441">
          <cell r="AA441">
            <v>43377</v>
          </cell>
        </row>
        <row r="445">
          <cell r="AA445">
            <v>43377</v>
          </cell>
        </row>
        <row r="470">
          <cell r="AA470">
            <v>43329</v>
          </cell>
        </row>
        <row r="471">
          <cell r="AA471">
            <v>43329</v>
          </cell>
        </row>
        <row r="472">
          <cell r="AA472">
            <v>43329</v>
          </cell>
        </row>
        <row r="476">
          <cell r="AA476">
            <v>43308</v>
          </cell>
        </row>
        <row r="477">
          <cell r="AA477">
            <v>43308</v>
          </cell>
        </row>
        <row r="481">
          <cell r="AA481">
            <v>43343</v>
          </cell>
        </row>
        <row r="482">
          <cell r="AA482">
            <v>43343</v>
          </cell>
        </row>
        <row r="483">
          <cell r="AA483">
            <v>43343</v>
          </cell>
        </row>
        <row r="487">
          <cell r="AA487">
            <v>43364</v>
          </cell>
        </row>
        <row r="488">
          <cell r="AA488">
            <v>43364</v>
          </cell>
        </row>
        <row r="492">
          <cell r="AA492">
            <v>43332</v>
          </cell>
        </row>
        <row r="493">
          <cell r="AA493">
            <v>43332</v>
          </cell>
        </row>
        <row r="497">
          <cell r="AA497">
            <v>43294</v>
          </cell>
        </row>
        <row r="498">
          <cell r="AA498">
            <v>43294</v>
          </cell>
        </row>
        <row r="502">
          <cell r="AA502">
            <v>43308</v>
          </cell>
        </row>
        <row r="506">
          <cell r="AA506">
            <v>43341</v>
          </cell>
        </row>
        <row r="507">
          <cell r="AA507">
            <v>43341</v>
          </cell>
        </row>
        <row r="511">
          <cell r="AA511">
            <v>43385</v>
          </cell>
        </row>
        <row r="512">
          <cell r="AA512">
            <v>43385</v>
          </cell>
        </row>
        <row r="516">
          <cell r="AA516">
            <v>43343</v>
          </cell>
        </row>
        <row r="517">
          <cell r="AA517">
            <v>43343</v>
          </cell>
        </row>
        <row r="521">
          <cell r="AA521">
            <v>43385</v>
          </cell>
        </row>
        <row r="522">
          <cell r="AA522">
            <v>43385</v>
          </cell>
        </row>
        <row r="523">
          <cell r="AA523">
            <v>43385</v>
          </cell>
        </row>
        <row r="532">
          <cell r="AA532">
            <v>43370</v>
          </cell>
        </row>
        <row r="533">
          <cell r="AA533">
            <v>43370</v>
          </cell>
        </row>
        <row r="540">
          <cell r="AA540">
            <v>43262</v>
          </cell>
        </row>
        <row r="541">
          <cell r="AA541">
            <v>43262</v>
          </cell>
        </row>
        <row r="542">
          <cell r="AA542">
            <v>43262</v>
          </cell>
        </row>
        <row r="543">
          <cell r="AA543">
            <v>43262</v>
          </cell>
        </row>
        <row r="547">
          <cell r="AA547">
            <v>43252</v>
          </cell>
        </row>
        <row r="548">
          <cell r="AA548">
            <v>43252</v>
          </cell>
        </row>
        <row r="549">
          <cell r="AA549">
            <v>43252</v>
          </cell>
        </row>
        <row r="553">
          <cell r="AA553">
            <v>43381</v>
          </cell>
        </row>
        <row r="554">
          <cell r="AA554">
            <v>43381</v>
          </cell>
        </row>
        <row r="563">
          <cell r="AA563">
            <v>43385</v>
          </cell>
        </row>
        <row r="564">
          <cell r="AA564">
            <v>43385</v>
          </cell>
        </row>
        <row r="571">
          <cell r="AA571">
            <v>43244</v>
          </cell>
        </row>
        <row r="572">
          <cell r="AA572">
            <v>43244</v>
          </cell>
        </row>
        <row r="576">
          <cell r="AA576">
            <v>43234</v>
          </cell>
        </row>
        <row r="577">
          <cell r="AA577">
            <v>43234</v>
          </cell>
        </row>
        <row r="584">
          <cell r="AA584">
            <v>43360</v>
          </cell>
        </row>
        <row r="588">
          <cell r="AA588">
            <v>43234</v>
          </cell>
        </row>
        <row r="589">
          <cell r="AA589">
            <v>43234</v>
          </cell>
        </row>
        <row r="593">
          <cell r="AA593">
            <v>43321</v>
          </cell>
        </row>
        <row r="594">
          <cell r="AA594">
            <v>43321</v>
          </cell>
        </row>
        <row r="601">
          <cell r="AA601">
            <v>43361</v>
          </cell>
        </row>
        <row r="602">
          <cell r="AA602">
            <v>43361</v>
          </cell>
        </row>
        <row r="606">
          <cell r="AA606">
            <v>43291</v>
          </cell>
        </row>
        <row r="607">
          <cell r="AA607">
            <v>43291</v>
          </cell>
        </row>
        <row r="611">
          <cell r="AA611">
            <v>43353</v>
          </cell>
        </row>
        <row r="615">
          <cell r="AA615">
            <v>43339</v>
          </cell>
        </row>
        <row r="616">
          <cell r="AA616">
            <v>43339</v>
          </cell>
        </row>
        <row r="620">
          <cell r="AA620">
            <v>43360</v>
          </cell>
        </row>
        <row r="621">
          <cell r="AA621">
            <v>43360</v>
          </cell>
        </row>
        <row r="630">
          <cell r="AA630">
            <v>43381</v>
          </cell>
        </row>
        <row r="631">
          <cell r="AA631">
            <v>43381</v>
          </cell>
        </row>
        <row r="646">
          <cell r="AA646">
            <v>43287</v>
          </cell>
        </row>
        <row r="647">
          <cell r="AA647">
            <v>43287</v>
          </cell>
        </row>
        <row r="651">
          <cell r="AA651">
            <v>43335</v>
          </cell>
        </row>
        <row r="652">
          <cell r="AA652">
            <v>43335</v>
          </cell>
        </row>
        <row r="656">
          <cell r="AA656">
            <v>43321</v>
          </cell>
        </row>
        <row r="657">
          <cell r="AA657">
            <v>43321</v>
          </cell>
        </row>
        <row r="661">
          <cell r="AA661">
            <v>43343</v>
          </cell>
        </row>
        <row r="662">
          <cell r="AA662">
            <v>43343</v>
          </cell>
        </row>
        <row r="666">
          <cell r="AA666">
            <v>43335</v>
          </cell>
        </row>
        <row r="667">
          <cell r="AA667">
            <v>43335</v>
          </cell>
        </row>
        <row r="671">
          <cell r="AA671">
            <v>43306</v>
          </cell>
        </row>
        <row r="672">
          <cell r="AA672">
            <v>43306</v>
          </cell>
        </row>
        <row r="676">
          <cell r="AA676">
            <v>43381</v>
          </cell>
        </row>
        <row r="677">
          <cell r="AA677">
            <v>43381</v>
          </cell>
        </row>
        <row r="686">
          <cell r="AA686">
            <v>43370</v>
          </cell>
        </row>
        <row r="690">
          <cell r="AA690">
            <v>43354</v>
          </cell>
        </row>
        <row r="697">
          <cell r="AA697">
            <v>43339</v>
          </cell>
        </row>
        <row r="701">
          <cell r="AA701">
            <v>43342</v>
          </cell>
        </row>
        <row r="705">
          <cell r="AA705">
            <v>43342</v>
          </cell>
        </row>
        <row r="709">
          <cell r="AA709">
            <v>43342</v>
          </cell>
        </row>
        <row r="713">
          <cell r="AA713">
            <v>43342</v>
          </cell>
        </row>
        <row r="717">
          <cell r="AA717">
            <v>43360</v>
          </cell>
        </row>
        <row r="721">
          <cell r="AA721">
            <v>43360</v>
          </cell>
        </row>
        <row r="725">
          <cell r="AA725">
            <v>43360</v>
          </cell>
        </row>
        <row r="729">
          <cell r="AA729">
            <v>43360</v>
          </cell>
        </row>
        <row r="736">
          <cell r="AA736">
            <v>43343</v>
          </cell>
        </row>
        <row r="737">
          <cell r="AA737">
            <v>43343</v>
          </cell>
        </row>
        <row r="741">
          <cell r="AA741">
            <v>43343</v>
          </cell>
        </row>
        <row r="745">
          <cell r="AA745">
            <v>43343</v>
          </cell>
        </row>
        <row r="749">
          <cell r="AA749">
            <v>43370</v>
          </cell>
        </row>
        <row r="753">
          <cell r="AA753">
            <v>43385</v>
          </cell>
        </row>
        <row r="757">
          <cell r="AA757">
            <v>43385</v>
          </cell>
        </row>
        <row r="769">
          <cell r="AA769">
            <v>43343</v>
          </cell>
        </row>
        <row r="770">
          <cell r="AA770">
            <v>43343</v>
          </cell>
        </row>
        <row r="777">
          <cell r="AA777">
            <v>43360</v>
          </cell>
        </row>
        <row r="778">
          <cell r="AA778">
            <v>43360</v>
          </cell>
        </row>
        <row r="812">
          <cell r="AA812">
            <v>43374</v>
          </cell>
        </row>
        <row r="813">
          <cell r="AA813">
            <v>43374</v>
          </cell>
        </row>
        <row r="826">
          <cell r="AA826">
            <v>43336</v>
          </cell>
        </row>
        <row r="827">
          <cell r="AA827">
            <v>43336</v>
          </cell>
        </row>
        <row r="828">
          <cell r="AA828">
            <v>43336</v>
          </cell>
        </row>
        <row r="829">
          <cell r="AA829">
            <v>43336</v>
          </cell>
        </row>
        <row r="830">
          <cell r="AA830">
            <v>43336</v>
          </cell>
        </row>
        <row r="834">
          <cell r="AA834">
            <v>43349</v>
          </cell>
        </row>
        <row r="835">
          <cell r="AA835">
            <v>43349</v>
          </cell>
        </row>
        <row r="839">
          <cell r="AA839">
            <v>43346</v>
          </cell>
        </row>
        <row r="840">
          <cell r="AA840">
            <v>43346</v>
          </cell>
        </row>
        <row r="844">
          <cell r="AA844">
            <v>43341</v>
          </cell>
        </row>
        <row r="845">
          <cell r="AA845">
            <v>43349</v>
          </cell>
        </row>
        <row r="849">
          <cell r="AA849">
            <v>43329</v>
          </cell>
        </row>
        <row r="853">
          <cell r="AA853">
            <v>43332</v>
          </cell>
        </row>
        <row r="854">
          <cell r="AA854">
            <v>43332</v>
          </cell>
        </row>
        <row r="858">
          <cell r="AA858">
            <v>43332</v>
          </cell>
        </row>
        <row r="859">
          <cell r="AA859">
            <v>43332</v>
          </cell>
        </row>
        <row r="863">
          <cell r="AA863">
            <v>43362</v>
          </cell>
        </row>
        <row r="864">
          <cell r="AA864">
            <v>43362</v>
          </cell>
        </row>
        <row r="868">
          <cell r="AA868">
            <v>43357</v>
          </cell>
        </row>
        <row r="869">
          <cell r="AA869">
            <v>43357</v>
          </cell>
        </row>
        <row r="873">
          <cell r="AA873">
            <v>43294</v>
          </cell>
        </row>
        <row r="877">
          <cell r="AA877">
            <v>43349</v>
          </cell>
        </row>
        <row r="878">
          <cell r="AA878">
            <v>43349</v>
          </cell>
        </row>
        <row r="882">
          <cell r="AA882">
            <v>43329</v>
          </cell>
        </row>
        <row r="886">
          <cell r="AA886">
            <v>43343</v>
          </cell>
        </row>
        <row r="887">
          <cell r="AA887">
            <v>43343</v>
          </cell>
        </row>
        <row r="888">
          <cell r="AA888">
            <v>43343</v>
          </cell>
        </row>
        <row r="889">
          <cell r="AA889">
            <v>43343</v>
          </cell>
        </row>
        <row r="893">
          <cell r="AA893">
            <v>43364</v>
          </cell>
        </row>
        <row r="894">
          <cell r="AA894">
            <v>43364</v>
          </cell>
        </row>
        <row r="898">
          <cell r="AA898">
            <v>43371</v>
          </cell>
        </row>
        <row r="899">
          <cell r="AA899">
            <v>43371</v>
          </cell>
        </row>
        <row r="903">
          <cell r="AA903">
            <v>43377</v>
          </cell>
        </row>
        <row r="904">
          <cell r="AA904">
            <v>43377</v>
          </cell>
        </row>
        <row r="908">
          <cell r="AA908">
            <v>43370</v>
          </cell>
        </row>
        <row r="909">
          <cell r="AA909">
            <v>43370</v>
          </cell>
        </row>
        <row r="913">
          <cell r="AA913">
            <v>43370</v>
          </cell>
        </row>
        <row r="914">
          <cell r="AA914">
            <v>43370</v>
          </cell>
        </row>
        <row r="915">
          <cell r="AA915">
            <v>43370</v>
          </cell>
        </row>
        <row r="919">
          <cell r="AA919">
            <v>43384</v>
          </cell>
        </row>
        <row r="920">
          <cell r="AA920">
            <v>43384</v>
          </cell>
        </row>
        <row r="927">
          <cell r="AA927">
            <v>43383</v>
          </cell>
        </row>
        <row r="928">
          <cell r="AA928">
            <v>43383</v>
          </cell>
        </row>
        <row r="932">
          <cell r="AA932">
            <v>43308</v>
          </cell>
        </row>
        <row r="933">
          <cell r="AA933">
            <v>43308</v>
          </cell>
        </row>
        <row r="940">
          <cell r="AA940">
            <v>43297</v>
          </cell>
        </row>
        <row r="941">
          <cell r="AA941">
            <v>43297</v>
          </cell>
        </row>
        <row r="945">
          <cell r="AA945">
            <v>43341</v>
          </cell>
        </row>
        <row r="946">
          <cell r="AA946">
            <v>43341</v>
          </cell>
        </row>
        <row r="950">
          <cell r="AA950">
            <v>43318</v>
          </cell>
        </row>
        <row r="951">
          <cell r="AA951">
            <v>43318</v>
          </cell>
        </row>
        <row r="958">
          <cell r="AA958">
            <v>43353</v>
          </cell>
        </row>
        <row r="970">
          <cell r="AA970">
            <v>43319</v>
          </cell>
        </row>
        <row r="971">
          <cell r="AA971">
            <v>43319</v>
          </cell>
        </row>
        <row r="972">
          <cell r="AA972">
            <v>43319</v>
          </cell>
        </row>
        <row r="976">
          <cell r="AA976">
            <v>43266</v>
          </cell>
        </row>
        <row r="977">
          <cell r="AA977">
            <v>43266</v>
          </cell>
        </row>
        <row r="981">
          <cell r="AA981">
            <v>43341</v>
          </cell>
        </row>
        <row r="985">
          <cell r="AA985">
            <v>43343</v>
          </cell>
        </row>
        <row r="986">
          <cell r="AA986">
            <v>43343</v>
          </cell>
        </row>
        <row r="990">
          <cell r="AA990">
            <v>43363</v>
          </cell>
        </row>
        <row r="991">
          <cell r="AA991">
            <v>43363</v>
          </cell>
        </row>
        <row r="992">
          <cell r="AA992">
            <v>43363</v>
          </cell>
        </row>
        <row r="993">
          <cell r="AA993">
            <v>43363</v>
          </cell>
        </row>
        <row r="1000">
          <cell r="AA1000">
            <v>43321</v>
          </cell>
        </row>
        <row r="1001">
          <cell r="AA1001">
            <v>43321</v>
          </cell>
        </row>
        <row r="1002">
          <cell r="AA1002">
            <v>43321</v>
          </cell>
        </row>
        <row r="1006">
          <cell r="AA1006">
            <v>43342</v>
          </cell>
        </row>
        <row r="1007">
          <cell r="AA1007">
            <v>43342</v>
          </cell>
        </row>
        <row r="1011">
          <cell r="AA1011">
            <v>43370</v>
          </cell>
        </row>
        <row r="1012">
          <cell r="AA1012">
            <v>43370</v>
          </cell>
        </row>
        <row r="1013">
          <cell r="AA1013">
            <v>43370</v>
          </cell>
        </row>
        <row r="1022">
          <cell r="AA1022">
            <v>43383</v>
          </cell>
        </row>
        <row r="1023">
          <cell r="AA1023">
            <v>43383</v>
          </cell>
        </row>
        <row r="1035">
          <cell r="AA1035">
            <v>43349</v>
          </cell>
        </row>
        <row r="1036">
          <cell r="AA1036">
            <v>43349</v>
          </cell>
        </row>
        <row r="1037">
          <cell r="AA1037">
            <v>43349</v>
          </cell>
        </row>
        <row r="1041">
          <cell r="AA1041">
            <v>43349</v>
          </cell>
        </row>
        <row r="1042">
          <cell r="AA1042">
            <v>43349</v>
          </cell>
        </row>
        <row r="1049">
          <cell r="AA1049">
            <v>43343</v>
          </cell>
        </row>
        <row r="1050">
          <cell r="AA1050">
            <v>43343</v>
          </cell>
        </row>
        <row r="1054">
          <cell r="AA1054">
            <v>43363</v>
          </cell>
        </row>
        <row r="1055">
          <cell r="AA1055">
            <v>43363</v>
          </cell>
        </row>
        <row r="1056">
          <cell r="AA1056">
            <v>43363</v>
          </cell>
        </row>
        <row r="1066">
          <cell r="AA1066">
            <v>43370</v>
          </cell>
        </row>
        <row r="1067">
          <cell r="AA1067">
            <v>43370</v>
          </cell>
        </row>
        <row r="1074">
          <cell r="AA1074">
            <v>43362</v>
          </cell>
        </row>
        <row r="1081">
          <cell r="AA1081">
            <v>43325</v>
          </cell>
        </row>
        <row r="1085">
          <cell r="AA1085">
            <v>43325</v>
          </cell>
        </row>
        <row r="1089">
          <cell r="AA1089">
            <v>43381</v>
          </cell>
        </row>
        <row r="1090">
          <cell r="AA1090">
            <v>43381</v>
          </cell>
        </row>
        <row r="1091">
          <cell r="AA1091">
            <v>43381</v>
          </cell>
        </row>
        <row r="1095">
          <cell r="AA1095">
            <v>43383</v>
          </cell>
        </row>
        <row r="1096">
          <cell r="AA1096">
            <v>43383</v>
          </cell>
        </row>
        <row r="1105">
          <cell r="AA1105">
            <v>43342</v>
          </cell>
        </row>
        <row r="1106">
          <cell r="AA1106">
            <v>43342</v>
          </cell>
        </row>
        <row r="1113">
          <cell r="AA1113">
            <v>43353</v>
          </cell>
        </row>
        <row r="1114">
          <cell r="AA1114">
            <v>43353</v>
          </cell>
        </row>
        <row r="1118">
          <cell r="AA1118">
            <v>43339</v>
          </cell>
        </row>
        <row r="1119">
          <cell r="AA1119">
            <v>43339</v>
          </cell>
        </row>
        <row r="1123">
          <cell r="AA1123">
            <v>43343</v>
          </cell>
        </row>
        <row r="1124">
          <cell r="AA1124">
            <v>43343</v>
          </cell>
        </row>
        <row r="1128">
          <cell r="AA1128">
            <v>43361</v>
          </cell>
        </row>
        <row r="1132">
          <cell r="AA1132">
            <v>43332</v>
          </cell>
        </row>
        <row r="1133">
          <cell r="AA1133">
            <v>43332</v>
          </cell>
        </row>
        <row r="1137">
          <cell r="AA1137">
            <v>43334</v>
          </cell>
        </row>
        <row r="1138">
          <cell r="AA1138">
            <v>43334</v>
          </cell>
        </row>
        <row r="1142">
          <cell r="AA1142">
            <v>43332</v>
          </cell>
        </row>
        <row r="1146">
          <cell r="AA1146">
            <v>43361</v>
          </cell>
        </row>
        <row r="1147">
          <cell r="AA1147">
            <v>43361</v>
          </cell>
        </row>
        <row r="1161">
          <cell r="AA1161">
            <v>43364</v>
          </cell>
        </row>
        <row r="1162">
          <cell r="AA1162">
            <v>43364</v>
          </cell>
        </row>
        <row r="1181">
          <cell r="AA1181">
            <v>43364</v>
          </cell>
        </row>
        <row r="1182">
          <cell r="AA1182">
            <v>43364</v>
          </cell>
        </row>
        <row r="1191">
          <cell r="AA1191">
            <v>43371</v>
          </cell>
        </row>
        <row r="1192">
          <cell r="AA1192">
            <v>43371</v>
          </cell>
        </row>
        <row r="1207">
          <cell r="AA1207">
            <v>43375</v>
          </cell>
        </row>
        <row r="1208">
          <cell r="AA1208">
            <v>43375</v>
          </cell>
        </row>
        <row r="1218">
          <cell r="AA1218">
            <v>43364</v>
          </cell>
        </row>
        <row r="1219">
          <cell r="AA1219">
            <v>43364</v>
          </cell>
        </row>
        <row r="1223">
          <cell r="AA1223">
            <v>43308</v>
          </cell>
        </row>
        <row r="1224">
          <cell r="AA1224">
            <v>43308</v>
          </cell>
        </row>
        <row r="1228">
          <cell r="AA1228">
            <v>43343</v>
          </cell>
        </row>
        <row r="1229">
          <cell r="AA1229">
            <v>43343</v>
          </cell>
        </row>
        <row r="1233">
          <cell r="AA1233">
            <v>43377</v>
          </cell>
        </row>
        <row r="1234">
          <cell r="AA1234">
            <v>43377</v>
          </cell>
        </row>
        <row r="1241">
          <cell r="AA1241">
            <v>43304</v>
          </cell>
        </row>
        <row r="1242">
          <cell r="AA1242">
            <v>43304</v>
          </cell>
        </row>
        <row r="1249">
          <cell r="AA1249">
            <v>43357</v>
          </cell>
        </row>
        <row r="1250">
          <cell r="AA1250">
            <v>43357</v>
          </cell>
        </row>
        <row r="1254">
          <cell r="AA1254">
            <v>43363</v>
          </cell>
        </row>
        <row r="1255">
          <cell r="AA1255">
            <v>43363</v>
          </cell>
        </row>
        <row r="1262">
          <cell r="AA1262">
            <v>43321</v>
          </cell>
        </row>
        <row r="1263">
          <cell r="AA1263">
            <v>43321</v>
          </cell>
        </row>
        <row r="1267">
          <cell r="AA1267">
            <v>43371</v>
          </cell>
        </row>
        <row r="1274">
          <cell r="AA1274">
            <v>43349</v>
          </cell>
        </row>
        <row r="1275">
          <cell r="AA1275">
            <v>43349</v>
          </cell>
        </row>
        <row r="1282">
          <cell r="AA1282">
            <v>43343</v>
          </cell>
        </row>
        <row r="1283">
          <cell r="AA1283">
            <v>43343</v>
          </cell>
        </row>
        <row r="1293">
          <cell r="AA1293">
            <v>43377</v>
          </cell>
        </row>
        <row r="1297">
          <cell r="AA1297">
            <v>43377</v>
          </cell>
        </row>
        <row r="1301">
          <cell r="AA1301">
            <v>43377</v>
          </cell>
        </row>
        <row r="1326">
          <cell r="AA1326">
            <v>43308</v>
          </cell>
        </row>
        <row r="1327">
          <cell r="AA1327">
            <v>43308</v>
          </cell>
        </row>
        <row r="1328">
          <cell r="AA1328">
            <v>43308</v>
          </cell>
        </row>
        <row r="1329">
          <cell r="AA1329">
            <v>43308</v>
          </cell>
        </row>
        <row r="1330">
          <cell r="AA1330">
            <v>43308</v>
          </cell>
        </row>
        <row r="1334">
          <cell r="AA1334">
            <v>43346</v>
          </cell>
        </row>
        <row r="1338">
          <cell r="AA1338">
            <v>43294</v>
          </cell>
        </row>
        <row r="1342">
          <cell r="AA1342">
            <v>43308</v>
          </cell>
        </row>
        <row r="1343">
          <cell r="AA1343">
            <v>43308</v>
          </cell>
        </row>
        <row r="1347">
          <cell r="AA1347">
            <v>43343</v>
          </cell>
        </row>
        <row r="1348">
          <cell r="AA1348">
            <v>43343</v>
          </cell>
        </row>
        <row r="1352">
          <cell r="AA1352">
            <v>43374</v>
          </cell>
        </row>
        <row r="1353">
          <cell r="AA1353">
            <v>43374</v>
          </cell>
        </row>
        <row r="1357">
          <cell r="AA1357">
            <v>43377</v>
          </cell>
        </row>
        <row r="1358">
          <cell r="AA1358">
            <v>43377</v>
          </cell>
        </row>
        <row r="1362">
          <cell r="AA1362">
            <v>43354</v>
          </cell>
        </row>
        <row r="1363">
          <cell r="AA1363">
            <v>43354</v>
          </cell>
        </row>
        <row r="1367">
          <cell r="AA1367">
            <v>43384</v>
          </cell>
        </row>
        <row r="1374">
          <cell r="AA1374">
            <v>43341</v>
          </cell>
        </row>
        <row r="1375">
          <cell r="AA1375">
            <v>43341</v>
          </cell>
        </row>
        <row r="1376">
          <cell r="AA1376">
            <v>43341</v>
          </cell>
        </row>
        <row r="1380">
          <cell r="AA1380">
            <v>43341</v>
          </cell>
        </row>
        <row r="1381">
          <cell r="AA1381">
            <v>43341</v>
          </cell>
        </row>
        <row r="1382">
          <cell r="AA1382">
            <v>43341</v>
          </cell>
        </row>
        <row r="1386">
          <cell r="AA1386">
            <v>43375</v>
          </cell>
        </row>
        <row r="1387">
          <cell r="AA1387">
            <v>43375</v>
          </cell>
        </row>
        <row r="1391">
          <cell r="AA1391">
            <v>43371</v>
          </cell>
        </row>
        <row r="1392">
          <cell r="AA1392">
            <v>43371</v>
          </cell>
        </row>
        <row r="1396">
          <cell r="AA1396">
            <v>43322</v>
          </cell>
        </row>
        <row r="1400">
          <cell r="AA1400">
            <v>43356</v>
          </cell>
        </row>
        <row r="1401">
          <cell r="AA1401">
            <v>43356</v>
          </cell>
        </row>
        <row r="1413">
          <cell r="AA1413">
            <v>43356</v>
          </cell>
        </row>
        <row r="1414">
          <cell r="AA1414">
            <v>43356</v>
          </cell>
        </row>
        <row r="1418">
          <cell r="AA1418">
            <v>43269</v>
          </cell>
        </row>
        <row r="1419">
          <cell r="AA1419">
            <v>43269</v>
          </cell>
        </row>
        <row r="1420">
          <cell r="AA1420">
            <v>43269</v>
          </cell>
        </row>
        <row r="1427">
          <cell r="AA1427">
            <v>43363</v>
          </cell>
        </row>
        <row r="1428">
          <cell r="AA1428">
            <v>43363</v>
          </cell>
        </row>
        <row r="1432">
          <cell r="AA1432">
            <v>43375</v>
          </cell>
        </row>
        <row r="1433">
          <cell r="AA1433">
            <v>43375</v>
          </cell>
        </row>
        <row r="1450">
          <cell r="AA1450">
            <v>43328</v>
          </cell>
        </row>
        <row r="1451">
          <cell r="AA1451">
            <v>43328</v>
          </cell>
        </row>
        <row r="1455">
          <cell r="AA1455">
            <v>43354</v>
          </cell>
        </row>
        <row r="1456">
          <cell r="AA1456">
            <v>43354</v>
          </cell>
        </row>
        <row r="1457">
          <cell r="AA1457">
            <v>43354</v>
          </cell>
        </row>
        <row r="1464">
          <cell r="AA1464">
            <v>43334</v>
          </cell>
        </row>
        <row r="1465">
          <cell r="AA1465">
            <v>43334</v>
          </cell>
        </row>
        <row r="1466">
          <cell r="AA1466">
            <v>43334</v>
          </cell>
        </row>
        <row r="1470">
          <cell r="AA1470">
            <v>43346</v>
          </cell>
        </row>
        <row r="1471">
          <cell r="AA1471">
            <v>43346</v>
          </cell>
        </row>
        <row r="1475">
          <cell r="AA1475">
            <v>43349</v>
          </cell>
        </row>
        <row r="1476">
          <cell r="AA1476">
            <v>43349</v>
          </cell>
        </row>
        <row r="1480">
          <cell r="AA1480">
            <v>43347</v>
          </cell>
        </row>
        <row r="1481">
          <cell r="AA1481">
            <v>43347</v>
          </cell>
        </row>
        <row r="1485">
          <cell r="AA1485">
            <v>43347</v>
          </cell>
        </row>
        <row r="1489">
          <cell r="AA1489">
            <v>43332</v>
          </cell>
        </row>
        <row r="1493">
          <cell r="AA1493">
            <v>43332</v>
          </cell>
        </row>
        <row r="1497">
          <cell r="AA1497">
            <v>43383</v>
          </cell>
        </row>
        <row r="1498">
          <cell r="AA1498">
            <v>43383</v>
          </cell>
        </row>
        <row r="1499">
          <cell r="AA1499">
            <v>43383</v>
          </cell>
        </row>
        <row r="1503">
          <cell r="AA1503">
            <v>43362</v>
          </cell>
        </row>
        <row r="1504">
          <cell r="AA1504">
            <v>43362</v>
          </cell>
        </row>
        <row r="1508">
          <cell r="AA1508">
            <v>43383</v>
          </cell>
        </row>
        <row r="1509">
          <cell r="AA1509">
            <v>43383</v>
          </cell>
        </row>
        <row r="1513">
          <cell r="AA1513">
            <v>43370</v>
          </cell>
        </row>
        <row r="1514">
          <cell r="AA1514">
            <v>43370</v>
          </cell>
        </row>
        <row r="1522">
          <cell r="AA1522">
            <v>43371</v>
          </cell>
        </row>
        <row r="1529">
          <cell r="AA1529">
            <v>43306</v>
          </cell>
        </row>
        <row r="1530">
          <cell r="AA1530">
            <v>43306</v>
          </cell>
        </row>
        <row r="1534">
          <cell r="AA1534">
            <v>43306</v>
          </cell>
        </row>
        <row r="1538">
          <cell r="AA1538">
            <v>43306</v>
          </cell>
        </row>
        <row r="1542">
          <cell r="AA1542">
            <v>43346</v>
          </cell>
        </row>
        <row r="1546">
          <cell r="AA1546">
            <v>43353</v>
          </cell>
        </row>
        <row r="1550">
          <cell r="AA1550">
            <v>43350</v>
          </cell>
        </row>
        <row r="1554">
          <cell r="AA1554">
            <v>43350</v>
          </cell>
        </row>
        <row r="1555">
          <cell r="AA1555">
            <v>43350</v>
          </cell>
        </row>
        <row r="1562">
          <cell r="AA1562">
            <v>43334</v>
          </cell>
        </row>
        <row r="1563">
          <cell r="AA1563">
            <v>43334</v>
          </cell>
        </row>
        <row r="1573">
          <cell r="AA1573">
            <v>43361</v>
          </cell>
        </row>
        <row r="1574">
          <cell r="AA1574">
            <v>43361</v>
          </cell>
        </row>
        <row r="1596">
          <cell r="AA1596">
            <v>43350</v>
          </cell>
        </row>
        <row r="1603">
          <cell r="AA1603">
            <v>43298</v>
          </cell>
        </row>
        <row r="1604">
          <cell r="AA1604">
            <v>43298</v>
          </cell>
        </row>
        <row r="1608">
          <cell r="AA1608">
            <v>43333</v>
          </cell>
        </row>
        <row r="1609">
          <cell r="AA1609">
            <v>43333</v>
          </cell>
        </row>
        <row r="1610">
          <cell r="AA1610">
            <v>43333</v>
          </cell>
        </row>
        <row r="1614">
          <cell r="AA1614">
            <v>43363</v>
          </cell>
        </row>
        <row r="1615">
          <cell r="AA1615">
            <v>43363</v>
          </cell>
        </row>
        <row r="1616">
          <cell r="AA1616">
            <v>43363</v>
          </cell>
        </row>
        <row r="1629">
          <cell r="AA1629">
            <v>43371</v>
          </cell>
        </row>
        <row r="1630">
          <cell r="AA1630">
            <v>43371</v>
          </cell>
        </row>
        <row r="1637">
          <cell r="AA1637">
            <v>43328</v>
          </cell>
        </row>
        <row r="1638">
          <cell r="AA1638">
            <v>43328</v>
          </cell>
        </row>
        <row r="1642">
          <cell r="AA1642">
            <v>43371</v>
          </cell>
        </row>
        <row r="1643">
          <cell r="AA1643">
            <v>43371</v>
          </cell>
        </row>
        <row r="1644">
          <cell r="AA1644">
            <v>43371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admin"/>
      <sheetName val="controll"/>
      <sheetName val="입고일자 9"/>
      <sheetName val="오더분석"/>
    </sheetNames>
    <sheetDataSet>
      <sheetData sheetId="0">
        <row r="6">
          <cell r="C6" t="str">
            <v>시대종합건설㈜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목차"/>
      <sheetName val="0.0ControlSheet"/>
      <sheetName val="0.1keyAssumption"/>
      <sheetName val="1.점포분석"/>
      <sheetName val="▶종합"/>
      <sheetName val="▶아울렛영업"/>
      <sheetName val="▶뉴코아영업"/>
      <sheetName val="▶제외 (3)"/>
      <sheetName val="▶제외 (2)"/>
      <sheetName val="▶제외"/>
      <sheetName val="강남1"/>
      <sheetName val="강남킴스"/>
      <sheetName val="평촌아울렛"/>
      <sheetName val="야탑"/>
      <sheetName val="동수원"/>
      <sheetName val="일산"/>
      <sheetName val="본사"/>
      <sheetName val="강남2"/>
      <sheetName val="순천"/>
      <sheetName val="순천킴스"/>
      <sheetName val="평택"/>
      <sheetName val="평촌"/>
      <sheetName val="평촌킴스"/>
      <sheetName val="과천"/>
      <sheetName val="구월킴스"/>
      <sheetName val="수원"/>
      <sheetName val="수원킴스"/>
      <sheetName val="남산킴스"/>
      <sheetName val="곤지암"/>
      <sheetName val="동관"/>
      <sheetName val="비전"/>
      <sheetName val="포항"/>
      <sheetName val="본관"/>
      <sheetName val="오대산"/>
      <sheetName val="인천"/>
      <sheetName val="서현킴스"/>
      <sheetName val="진부"/>
      <sheetName val="건설본부"/>
      <sheetName val="기타매각점"/>
      <sheetName val="▶주력"/>
      <sheetName val="▶기타"/>
      <sheetName val="0_0ControlSheet"/>
      <sheetName val="0_1keyAssumption"/>
      <sheetName val="Ctrl"/>
      <sheetName val="데이타"/>
      <sheetName val="회사정보"/>
      <sheetName val="ADMIN"/>
      <sheetName val="현장관리비"/>
    </sheetNames>
    <sheetDataSet>
      <sheetData sheetId="0" refreshError="1"/>
      <sheetData sheetId="1" refreshError="1">
        <row r="28">
          <cell r="F28">
            <v>1</v>
          </cell>
        </row>
        <row r="30">
          <cell r="F30">
            <v>1</v>
          </cell>
        </row>
      </sheetData>
      <sheetData sheetId="2" refreshError="1">
        <row r="24">
          <cell r="E24">
            <v>1000000</v>
          </cell>
        </row>
        <row r="28">
          <cell r="H28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admin"/>
      <sheetName val="0.0ControlSheet"/>
    </sheetNames>
    <sheetDataSet>
      <sheetData sheetId="0" refreshError="1">
        <row r="8">
          <cell r="C8" t="str">
            <v>114-81-33298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검토요지"/>
      <sheetName val="원가계산서"/>
      <sheetName val="원가집계"/>
      <sheetName val="공사비총괄표"/>
      <sheetName val="청사"/>
      <sheetName val="철거공사1"/>
      <sheetName val="토목+흙막이"/>
      <sheetName val="조경"/>
      <sheetName val="공통가설공사"/>
      <sheetName val="공사개요"/>
      <sheetName val=" 견적서"/>
      <sheetName val="회사정보"/>
      <sheetName val="자료입력"/>
      <sheetName val="내역조적"/>
      <sheetName val="고지검"/>
      <sheetName val="토공사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14">
          <cell r="E14">
            <v>10105.97445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이자율"/>
      <sheetName val="소트"/>
      <sheetName val="쏘트자료"/>
      <sheetName val="환율이자율"/>
      <sheetName val="44소트"/>
      <sheetName val="34쏘트"/>
      <sheetName val="24쏘트"/>
      <sheetName val="44이자율"/>
      <sheetName val="34이자율"/>
      <sheetName val="44쏘트자료"/>
      <sheetName val="34쏘트자료"/>
      <sheetName val="24쏘트자료"/>
      <sheetName val="24이자율"/>
      <sheetName val="인건비(010330)"/>
      <sheetName val="월간"/>
      <sheetName val="공사개요"/>
      <sheetName val="T48a"/>
      <sheetName val="97년"/>
      <sheetName val="수정시산표"/>
      <sheetName val="98년간분기"/>
      <sheetName val="견"/>
      <sheetName val="투자예산"/>
      <sheetName val="산출근거"/>
      <sheetName val="비주거용"/>
      <sheetName val="집계표"/>
      <sheetName val="표지"/>
      <sheetName val="회사정보"/>
      <sheetName val="품의서취합"/>
      <sheetName val="요약BS"/>
      <sheetName val="총원"/>
      <sheetName val="견적대비"/>
      <sheetName val="대리이하_상신양식"/>
      <sheetName val="관계주식"/>
      <sheetName val="세금계산서유"/>
      <sheetName val="본사감가상각대장(비품)"/>
      <sheetName val="Menu_Link"/>
      <sheetName val="퇴충98"/>
      <sheetName val="외화평가"/>
      <sheetName val="평가결과_사본"/>
      <sheetName val="98실적"/>
      <sheetName val="현장"/>
      <sheetName val="이름"/>
      <sheetName val="Convert"/>
      <sheetName val="1-7(재가공내역)"/>
      <sheetName val="연구인원내역"/>
      <sheetName val="현장별미수"/>
      <sheetName val="외화계약"/>
      <sheetName val="AIR SHOWER(3인용)"/>
      <sheetName val="상품입고집계"/>
      <sheetName val="매입현황"/>
      <sheetName val="수입"/>
      <sheetName val="상정안건"/>
      <sheetName val="보험금"/>
      <sheetName val="매출원가"/>
      <sheetName val="판매량"/>
      <sheetName val="업종코드"/>
      <sheetName val="임대손익"/>
      <sheetName val="XREF"/>
      <sheetName val="조정전"/>
      <sheetName val="1월"/>
      <sheetName val="집연95"/>
      <sheetName val="평가금액"/>
      <sheetName val="WorldQuest"/>
      <sheetName val="admin"/>
      <sheetName val="자료"/>
      <sheetName val="코드"/>
      <sheetName val="매매손실준비금"/>
      <sheetName val="특수직호봉표"/>
      <sheetName val="Asset98-CAK"/>
      <sheetName val="Intro2"/>
      <sheetName val="Id"/>
      <sheetName val="노임단가"/>
      <sheetName val="판매용03"/>
      <sheetName val="서식시트"/>
      <sheetName val="종합2"/>
      <sheetName val="118.세금과공과"/>
      <sheetName val="신구계정대사표"/>
      <sheetName val="Sheet1"/>
      <sheetName val="1.취수장"/>
      <sheetName val="출자한도"/>
      <sheetName val="CODE"/>
      <sheetName val="명세표"/>
      <sheetName val="표준지"/>
      <sheetName val="시산표"/>
      <sheetName val="보정사항"/>
      <sheetName val="공정가치"/>
      <sheetName val="PMP등급_9월"/>
      <sheetName val="지급이자"/>
      <sheetName val="Project_CF"/>
      <sheetName val="Initial Input Variable"/>
      <sheetName val="1Month+Sheet2!"/>
      <sheetName val="8월차잔"/>
      <sheetName val="機器明細(MC)"/>
      <sheetName val="인원_20001101"/>
      <sheetName val="단가비교"/>
      <sheetName val="투자2"/>
      <sheetName val="부재예실1월"/>
      <sheetName val="입찰안"/>
      <sheetName val="#REF"/>
      <sheetName val="04_도료_전체_하순"/>
      <sheetName val="실적"/>
      <sheetName val="단가"/>
      <sheetName val="울산자금"/>
      <sheetName val="설계내역서"/>
      <sheetName val="자금청구"/>
      <sheetName val="금강투자2000"/>
      <sheetName val="당좌개설보증용"/>
      <sheetName val="신림자금"/>
      <sheetName val="GC산출"/>
      <sheetName val="당초"/>
      <sheetName val="Sheet4"/>
      <sheetName val="BASE"/>
      <sheetName val="상여 (2)"/>
      <sheetName val="생산직"/>
      <sheetName val="9-1차이내역"/>
      <sheetName val="조경내역"/>
      <sheetName val="건축비목군분류"/>
      <sheetName val="두께별"/>
      <sheetName val="승용"/>
      <sheetName val="상용"/>
      <sheetName val="준검 내역서"/>
      <sheetName val="실행내역"/>
      <sheetName val="총괄"/>
      <sheetName val="건재양식"/>
      <sheetName val="00실적"/>
      <sheetName val="판촉계획(고정)"/>
      <sheetName val="배수통관(좌)"/>
      <sheetName val="CAUDIT"/>
      <sheetName val="99선급비용"/>
      <sheetName val="집계"/>
      <sheetName val="퇴직기초"/>
      <sheetName val="산출내역(1)"/>
      <sheetName val="하수급견적대비"/>
      <sheetName val="3월연장근무"/>
      <sheetName val="FAB별"/>
      <sheetName val="Sheet3"/>
      <sheetName val="내역"/>
      <sheetName val="외화가수금"/>
      <sheetName val="2001Org"/>
      <sheetName val="소계정"/>
      <sheetName val="본부96(1차)"/>
      <sheetName val="월소계정(최종)"/>
      <sheetName val="본부증가(최종)"/>
      <sheetName val="배부기준별비용"/>
      <sheetName val="unit배부표"/>
      <sheetName val="비교표"/>
      <sheetName val="초고압제조원가계획"/>
      <sheetName val="고압제조원가계획"/>
      <sheetName val="Mark"/>
      <sheetName val="1. Svc_Sales"/>
      <sheetName val="2. Portfolio"/>
      <sheetName val="3. SVC_Price(Avg)"/>
      <sheetName val="4.  Net Gain"/>
      <sheetName val="5.1Q_SVC(callback)"/>
      <sheetName val="5.2 Q_SVC(Response)"/>
      <sheetName val="5.3 Q_SVC(all)"/>
      <sheetName val="SVC_Portfolio(1)"/>
      <sheetName val="변동"/>
      <sheetName val="2008년판매현황 (조정)"/>
      <sheetName val="참고_장르별매출"/>
      <sheetName val="내외국인총괄"/>
      <sheetName val="3월"/>
      <sheetName val="그래프 (2)"/>
      <sheetName val="2.대상자"/>
      <sheetName val="정보"/>
      <sheetName val="데이터베이스"/>
      <sheetName val="9903말 현재"/>
      <sheetName val="당월금액"/>
      <sheetName val="ATM기초철가"/>
      <sheetName val="Control Sheet"/>
      <sheetName val="인사자료총집계"/>
      <sheetName val="AIR_SHOWER(3인용)"/>
      <sheetName val="그래프_(2)"/>
      <sheetName val="2_대상자"/>
      <sheetName val="9903말_현재"/>
      <sheetName val="Control_Sheet"/>
      <sheetName val="AIR_SHOWER(3인용)1"/>
      <sheetName val="그래프_(2)1"/>
      <sheetName val="2_대상자1"/>
      <sheetName val="9903말_현재1"/>
      <sheetName val="Control_Sheet1"/>
      <sheetName val="경영비율 "/>
      <sheetName val="재고자산명세"/>
      <sheetName val="적격심사표"/>
      <sheetName val="이익잉여금처분계산서"/>
      <sheetName val="재무상태변동표"/>
      <sheetName val="제조원가명세서"/>
      <sheetName val="현금흐름표"/>
      <sheetName val="무형자산명세서"/>
      <sheetName val="지역개발"/>
      <sheetName val="Macro1"/>
      <sheetName val="EJ"/>
      <sheetName val="Ⅱ1-0타"/>
      <sheetName val="Cover"/>
      <sheetName val="제품단가"/>
      <sheetName val="급여인상효과-연간부담분"/>
      <sheetName val="주요품목별판매실적"/>
      <sheetName val="입력_판매"/>
      <sheetName val="#3_일위대가목록"/>
      <sheetName val="#2_일위대가목록"/>
      <sheetName val="BTS-시범물량"/>
      <sheetName val="KA011205"/>
      <sheetName val="5사남"/>
      <sheetName val="손익"/>
      <sheetName val="STROKE별 단가"/>
      <sheetName val="지점_가격정보보고양식(면목지점)"/>
      <sheetName val="09년지점목표"/>
      <sheetName val="SQL Statement"/>
      <sheetName val="MAIN"/>
      <sheetName val="효용적수"/>
      <sheetName val="노무비"/>
      <sheetName val="인원계획-미화"/>
      <sheetName val="OPREV(대한)"/>
      <sheetName val="98지급계획"/>
      <sheetName val="산출근거1"/>
      <sheetName val="수익성분석2"/>
      <sheetName val="이코스"/>
      <sheetName val="건설성적"/>
      <sheetName val="세부(종합)"/>
      <sheetName val="2. 2012년 실행계획 수립 및 대상선정용 SHEET."/>
      <sheetName val="FG"/>
      <sheetName val="부서"/>
      <sheetName val="보통예금"/>
      <sheetName val="당좌차월"/>
      <sheetName val="가격표"/>
      <sheetName val="합천내역"/>
      <sheetName val="대리이하_승진"/>
      <sheetName val="이자수익보조부"/>
      <sheetName val="SIL98"/>
      <sheetName val="2012년 하반기 승진안 및 상신양식_디자인 파트.xls"/>
      <sheetName val="등록자료"/>
      <sheetName val="GRAPH"/>
      <sheetName val="단말기누계"/>
      <sheetName val="현장코드"/>
      <sheetName val="협조전"/>
      <sheetName val="주소 작성"/>
      <sheetName val="대차대조표"/>
      <sheetName val="3-31"/>
      <sheetName val="금융"/>
      <sheetName val="은행"/>
      <sheetName val="리스"/>
      <sheetName val="보험"/>
      <sheetName val="24.보증금(전신전화가입권)"/>
      <sheetName val="일별자금"/>
      <sheetName val="인건비"/>
      <sheetName val="04년 투자전망"/>
      <sheetName val="가중평균 보통주식02"/>
      <sheetName val="가중평균 보통주식01"/>
      <sheetName val="T6-6(2)"/>
      <sheetName val="제조원가"/>
      <sheetName val="손익분석"/>
      <sheetName val="하조서"/>
      <sheetName val="정산표"/>
      <sheetName val="tsuga"/>
      <sheetName val="진천"/>
      <sheetName val="S&amp;R"/>
      <sheetName val="수지차(년)"/>
      <sheetName val="증감내역서"/>
      <sheetName val="민감도"/>
      <sheetName val="내역서"/>
      <sheetName val="타계정에서 명세서(PL상)"/>
      <sheetName val="상품수불"/>
      <sheetName val="95TOTREV"/>
      <sheetName val="sw1"/>
      <sheetName val="입찰보고"/>
      <sheetName val="총괄-1"/>
      <sheetName val="DATA"/>
      <sheetName val="콘센트신설"/>
      <sheetName val="FILE1"/>
      <sheetName val="유형분류"/>
      <sheetName val="예산실적전체당월"/>
      <sheetName val="배합비(2,3.4분기)"/>
      <sheetName val="부재예실"/>
      <sheetName val="A4공장"/>
      <sheetName val="Initial_Input_Variable"/>
      <sheetName val="경영비율_"/>
      <sheetName val="상여_(2)"/>
      <sheetName val="118_세금과공과"/>
      <sheetName val="1_취수장"/>
      <sheetName val="LIST"/>
      <sheetName val="ELECTRIC"/>
      <sheetName val="현장기성(공사)"/>
      <sheetName val="내역서변경성원"/>
      <sheetName val="별첨3.실패원팀"/>
      <sheetName val="매출액월별가중치"/>
      <sheetName val="외주정비"/>
      <sheetName val="매장판(BR)"/>
      <sheetName val="5907"/>
      <sheetName val="편성절차"/>
      <sheetName val="자료입력"/>
      <sheetName val="외화금융(97-03)"/>
      <sheetName val="ls"/>
      <sheetName val="재공품(3)"/>
      <sheetName val="표준원가표(2)"/>
      <sheetName val="공통"/>
      <sheetName val="03中"/>
      <sheetName val="재무제표"/>
      <sheetName val="당기추가완료"/>
      <sheetName val="주요재무비율"/>
      <sheetName val="완성차 미수금"/>
      <sheetName val="96"/>
      <sheetName val="재료비집계표"/>
      <sheetName val="투자자산명세서"/>
      <sheetName val="종합표"/>
      <sheetName val="도급"/>
      <sheetName val="15"/>
      <sheetName val="入力用(家賃)"/>
      <sheetName val="入力用(駐車)"/>
      <sheetName val="건물대사"/>
      <sheetName val="PHTC"/>
      <sheetName val="용소리교"/>
      <sheetName val="제조원가조정"/>
      <sheetName val="97년 추정"/>
      <sheetName val="경비세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/>
      <sheetData sheetId="190" refreshError="1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사비예산서 (2)"/>
      <sheetName val="설계 내역서 (2)"/>
      <sheetName val="공사비예산서"/>
      <sheetName val="설계 내역서"/>
      <sheetName val="품셈총괄표"/>
      <sheetName val=" 품셈"/>
      <sheetName val="장비부표총괄표"/>
      <sheetName val="부표총괄표"/>
      <sheetName val="일반부표"/>
      <sheetName val="별표총괄표"/>
      <sheetName val="별표 (2)"/>
      <sheetName val="사급자재"/>
      <sheetName val="지입자재"/>
      <sheetName val="자재수량"/>
      <sheetName val="토량총괄"/>
      <sheetName val="토적계산"/>
      <sheetName val="구조물토량"/>
      <sheetName val="우수평균깊이"/>
      <sheetName val="구조물수량산출"/>
      <sheetName val="자료"/>
      <sheetName val="단가"/>
      <sheetName val="Sheet11"/>
      <sheetName val="Sheet12"/>
      <sheetName val="Sheet13"/>
      <sheetName val="Sheet14"/>
      <sheetName val="Sheet15"/>
      <sheetName val="Sheet16"/>
      <sheetName val="일반부표총괄"/>
      <sheetName val="별 표"/>
      <sheetName val="별표총괄"/>
      <sheetName val="품셈TABLE"/>
      <sheetName val="견적 조건 변경사항"/>
      <sheetName val="단지내-공내역"/>
      <sheetName val="Sheet2"/>
      <sheetName val="Sheet3"/>
      <sheetName val="내역표지"/>
      <sheetName val="원가계산서(총괄)"/>
      <sheetName val="산출내역집계"/>
      <sheetName val="건축집계"/>
      <sheetName val="건축내역"/>
      <sheetName val="토목집계"/>
      <sheetName val="토목내역"/>
      <sheetName val="설비집계"/>
      <sheetName val="설비내역"/>
      <sheetName val="이자율"/>
      <sheetName val="별표내역"/>
      <sheetName val="우,오수"/>
      <sheetName val="견적서"/>
      <sheetName val="도급"/>
      <sheetName val="총괄-1"/>
      <sheetName val="공사개요"/>
      <sheetName val="표지"/>
      <sheetName val="금액내역서"/>
      <sheetName val="원가계산서(남측)"/>
      <sheetName val="공통가설(현장검토안)"/>
      <sheetName val="별표 "/>
      <sheetName val="품셈표"/>
      <sheetName val="품 셈"/>
      <sheetName val="부표"/>
      <sheetName val="부표 TABLE"/>
      <sheetName val="Sheet4"/>
      <sheetName val="Sheet5"/>
      <sheetName val="Sheet6"/>
      <sheetName val="자료입력"/>
      <sheetName val="노임단가"/>
      <sheetName val="3BL공동구 수량"/>
      <sheetName val="자재집계표"/>
      <sheetName val="실행내역"/>
      <sheetName val="일위대가표"/>
      <sheetName val="일위대가"/>
      <sheetName val="원가계산"/>
      <sheetName val="간접경상비"/>
      <sheetName val="EJ"/>
      <sheetName val="토목"/>
      <sheetName val="TB-내역서"/>
      <sheetName val="PIPE(UG)내역"/>
      <sheetName val="시설물기초"/>
      <sheetName val="단가표"/>
      <sheetName val="별총"/>
      <sheetName val="종단계산"/>
      <sheetName val="부표총괄"/>
      <sheetName val="품셈1-"/>
      <sheetName val="중기"/>
      <sheetName val="정렬"/>
      <sheetName val="을지"/>
      <sheetName val="플랜트 설치"/>
      <sheetName val="6-1. 관개량조서"/>
      <sheetName val="구조물"/>
      <sheetName val="총물량"/>
      <sheetName val="JOIN(2span)"/>
      <sheetName val="접속도로"/>
      <sheetName val="품셈"/>
      <sheetName val="소방"/>
      <sheetName val="일위대가목록"/>
      <sheetName val="이익영"/>
      <sheetName val="2000년1차"/>
      <sheetName val="AABS내역"/>
      <sheetName val="오억미만"/>
      <sheetName val="단중"/>
      <sheetName val="갑지"/>
      <sheetName val="보차도경계석"/>
      <sheetName val="시멘트"/>
      <sheetName val="Ⅴ-2.공종별내역"/>
      <sheetName val="부대내역"/>
      <sheetName val="값"/>
      <sheetName val="내역"/>
      <sheetName val="내역서"/>
      <sheetName val="토목내역서"/>
      <sheetName val="접속도로1"/>
      <sheetName val="노임"/>
      <sheetName val="PUMP"/>
      <sheetName val="VENDOR LIST"/>
      <sheetName val="공통비"/>
      <sheetName val="6동"/>
      <sheetName val="경비_원본"/>
      <sheetName val="DATE"/>
      <sheetName val="가시설(TYPE-A)"/>
      <sheetName val="1-1평균터파기고(1)"/>
      <sheetName val="외주비"/>
      <sheetName val="BID"/>
      <sheetName val="대구칠곡5전기"/>
      <sheetName val="별표집계"/>
      <sheetName val="건축"/>
      <sheetName val="일위"/>
      <sheetName val="sw1"/>
      <sheetName val="NOMUBI"/>
      <sheetName val="LIST"/>
      <sheetName val="투찰(하수)"/>
      <sheetName val="실행"/>
      <sheetName val="포장(수량)-관로부"/>
      <sheetName val="프랜트면허"/>
      <sheetName val="인건비"/>
      <sheetName val="#REF"/>
      <sheetName val="에너지요금"/>
      <sheetName val="기초일위"/>
      <sheetName val="우수맨홀공제단위수량"/>
      <sheetName val="Sheet1"/>
      <sheetName val="1월"/>
      <sheetName val="지질조사"/>
      <sheetName val="하수급견적대비"/>
      <sheetName val="관계주식"/>
      <sheetName val="평균터파기고(1-2,ASP)"/>
      <sheetName val="국내"/>
      <sheetName val="토공사"/>
      <sheetName val="NYS"/>
      <sheetName val="자재단가조사표-수목"/>
      <sheetName val="참조-(1)"/>
      <sheetName val="기성내역서표지"/>
      <sheetName val="00상노임"/>
      <sheetName val="견적의뢰"/>
      <sheetName val="품목"/>
      <sheetName val="부대공(집계)"/>
      <sheetName val="제품별절단길이-0628"/>
      <sheetName val="절단길이-CODE4"/>
      <sheetName val="색상코드-CODE5,6,7,8"/>
      <sheetName val="일위대가목차"/>
      <sheetName val="집계"/>
      <sheetName val="Macro1"/>
      <sheetName val="I一般比"/>
      <sheetName val="마감"/>
      <sheetName val="공사내역"/>
      <sheetName val="직재"/>
      <sheetName val="명단"/>
      <sheetName val="접속도로집계"/>
      <sheetName val="단중표"/>
      <sheetName val="정부노임"/>
      <sheetName val="예산M2"/>
      <sheetName val="2.품제O호표"/>
      <sheetName val="교통대책내역"/>
      <sheetName val="일위대가표집계표"/>
      <sheetName val="사다리"/>
      <sheetName val="포장공사"/>
      <sheetName val="원본"/>
      <sheetName val="설계예시"/>
      <sheetName val="잡설비내역"/>
      <sheetName val="표준단면수량(출력안함)"/>
      <sheetName val="guard(mac)"/>
      <sheetName val="부대공Ⅱ"/>
      <sheetName val="P.M 별"/>
      <sheetName val="정부노임단가"/>
      <sheetName val="중소기업"/>
      <sheetName val="수량산출서"/>
      <sheetName val="변경총괄표"/>
      <sheetName val="재공품"/>
      <sheetName val="원가계산서"/>
      <sheetName val="물량표"/>
      <sheetName val="장비별표(오거보링)(Ø400)(12M)"/>
      <sheetName val="갑지(요약)"/>
      <sheetName val="입력자료(노무비)"/>
      <sheetName val="청주(철골발주의뢰서)"/>
      <sheetName val="정공공사"/>
      <sheetName val="전기"/>
      <sheetName val="직노"/>
      <sheetName val="A3.공사비 검토"/>
      <sheetName val="내역_ver1.0"/>
      <sheetName val="남양내역"/>
      <sheetName val="대가표(품셈)"/>
      <sheetName val="입고장부 (4)"/>
      <sheetName val="설계예산서"/>
      <sheetName val="200"/>
      <sheetName val="품셈목록"/>
      <sheetName val="제잡비(주공종)"/>
      <sheetName val="별표 (1)"/>
      <sheetName val="건축공사"/>
      <sheetName val="잡비"/>
      <sheetName val="6호기"/>
      <sheetName val="터파기및재료"/>
      <sheetName val="유림골조"/>
      <sheetName val="건축직"/>
      <sheetName val="목차"/>
      <sheetName val="분수장비시설수량"/>
      <sheetName val="밸브설치"/>
      <sheetName val="갑지(추정)"/>
      <sheetName val="자재단가"/>
      <sheetName val="평자재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>
        <row r="2">
          <cell r="C2" t="str">
            <v>철골공</v>
          </cell>
          <cell r="D2">
            <v>58845</v>
          </cell>
        </row>
        <row r="3">
          <cell r="C3" t="str">
            <v>콘크리트공</v>
          </cell>
          <cell r="D3">
            <v>57135</v>
          </cell>
        </row>
        <row r="4">
          <cell r="C4" t="str">
            <v>용 접 공</v>
          </cell>
          <cell r="D4">
            <v>52064</v>
          </cell>
        </row>
        <row r="5">
          <cell r="C5" t="str">
            <v>보통인부</v>
          </cell>
          <cell r="D5">
            <v>29933</v>
          </cell>
        </row>
        <row r="6">
          <cell r="C6" t="str">
            <v>특별인부</v>
          </cell>
          <cell r="D6">
            <v>43490</v>
          </cell>
        </row>
        <row r="7">
          <cell r="C7" t="str">
            <v>형틀목공</v>
          </cell>
          <cell r="D7">
            <v>61835</v>
          </cell>
        </row>
        <row r="8">
          <cell r="C8" t="str">
            <v>철근공</v>
          </cell>
          <cell r="D8">
            <v>61510</v>
          </cell>
        </row>
        <row r="9">
          <cell r="C9" t="str">
            <v>철    공</v>
          </cell>
          <cell r="D9">
            <v>58947</v>
          </cell>
        </row>
        <row r="10">
          <cell r="C10" t="str">
            <v>강판구멍뚫기</v>
          </cell>
          <cell r="D10">
            <v>85339.7</v>
          </cell>
        </row>
        <row r="11">
          <cell r="C11" t="str">
            <v>조   수</v>
          </cell>
          <cell r="D11">
            <v>29933</v>
          </cell>
        </row>
        <row r="12">
          <cell r="C12" t="str">
            <v>풀기</v>
          </cell>
          <cell r="D12">
            <v>609</v>
          </cell>
        </row>
        <row r="13">
          <cell r="C13" t="str">
            <v>보 링 공</v>
          </cell>
          <cell r="D13">
            <v>44584</v>
          </cell>
        </row>
        <row r="14">
          <cell r="C14" t="str">
            <v>비  트</v>
          </cell>
          <cell r="D14">
            <v>627000</v>
          </cell>
        </row>
        <row r="15">
          <cell r="C15" t="str">
            <v>TRACK CRANE</v>
          </cell>
          <cell r="D15">
            <v>2817</v>
          </cell>
        </row>
        <row r="16">
          <cell r="C16" t="str">
            <v>TRACK CRANE(인)</v>
          </cell>
          <cell r="D16">
            <v>15742</v>
          </cell>
        </row>
        <row r="17">
          <cell r="C17" t="str">
            <v>TRACK CRANE(경비)</v>
          </cell>
          <cell r="D17">
            <v>17824</v>
          </cell>
        </row>
        <row r="18">
          <cell r="C18" t="str">
            <v>VIBRO HAMMER</v>
          </cell>
          <cell r="D18">
            <v>11458</v>
          </cell>
        </row>
        <row r="19">
          <cell r="C19" t="str">
            <v>TRUCK CRANE</v>
          </cell>
          <cell r="D19">
            <v>2114</v>
          </cell>
        </row>
        <row r="20">
          <cell r="C20" t="str">
            <v>TRUCK CRANE(인)</v>
          </cell>
          <cell r="D20">
            <v>15742</v>
          </cell>
        </row>
        <row r="21">
          <cell r="C21" t="str">
            <v>TRUCK CRANE(경)</v>
          </cell>
          <cell r="D21">
            <v>22450</v>
          </cell>
        </row>
        <row r="22">
          <cell r="C22" t="str">
            <v>수작업반장</v>
          </cell>
          <cell r="D22">
            <v>57103</v>
          </cell>
        </row>
        <row r="23">
          <cell r="C23" t="str">
            <v>비 계 공</v>
          </cell>
          <cell r="D23">
            <v>65265</v>
          </cell>
        </row>
        <row r="24">
          <cell r="C24" t="str">
            <v>대 장 공</v>
          </cell>
          <cell r="D24">
            <v>47273</v>
          </cell>
        </row>
        <row r="25">
          <cell r="C25" t="str">
            <v>판 재(100×150×1,700m/m)</v>
          </cell>
          <cell r="D25">
            <v>152694</v>
          </cell>
        </row>
        <row r="26">
          <cell r="C26" t="str">
            <v>철    판</v>
          </cell>
        </row>
        <row r="27">
          <cell r="C27" t="str">
            <v>강판절단(수동)</v>
          </cell>
        </row>
        <row r="28">
          <cell r="C28" t="str">
            <v>용접(FILLET)</v>
          </cell>
        </row>
        <row r="29">
          <cell r="C29" t="str">
            <v>더블롯드</v>
          </cell>
        </row>
        <row r="30">
          <cell r="C30" t="str">
            <v>특수첨단장치</v>
          </cell>
        </row>
        <row r="31">
          <cell r="C31" t="str">
            <v>크라운비트</v>
          </cell>
        </row>
        <row r="32">
          <cell r="C32" t="str">
            <v>중급기술자</v>
          </cell>
        </row>
        <row r="33">
          <cell r="C33" t="str">
            <v>기 계 공</v>
          </cell>
          <cell r="D33">
            <v>51132</v>
          </cell>
        </row>
        <row r="34">
          <cell r="C34" t="str">
            <v>전    공</v>
          </cell>
          <cell r="D34">
            <v>54702</v>
          </cell>
        </row>
        <row r="35">
          <cell r="C35" t="str">
            <v>배 관 공</v>
          </cell>
        </row>
        <row r="36">
          <cell r="C36" t="str">
            <v>중급기능사</v>
          </cell>
        </row>
        <row r="37">
          <cell r="C37" t="str">
            <v>중기운전사</v>
          </cell>
          <cell r="D37">
            <v>41444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1호2"/>
      <sheetName val="2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6호"/>
      <sheetName val="6호첨부"/>
      <sheetName val="6-1호"/>
      <sheetName val="6-2호"/>
      <sheetName val="6-3(2)호 "/>
      <sheetName val="6-3(3)호"/>
      <sheetName val="대손"/>
      <sheetName val="접대갑"/>
      <sheetName val="접대을"/>
      <sheetName val="6-4호(병)"/>
      <sheetName val="6-5호(갑)"/>
      <sheetName val="6-5(을)"/>
      <sheetName val="6-10호"/>
      <sheetName val="6-13호"/>
      <sheetName val="7호"/>
      <sheetName val="8호"/>
      <sheetName val="9호(갑)"/>
      <sheetName val="9호(을)"/>
      <sheetName val="10(1)호"/>
      <sheetName val="10(2)호"/>
      <sheetName val="10(3)호"/>
      <sheetName val="10(3)부표"/>
      <sheetName val="10(4)호"/>
      <sheetName val="11호"/>
      <sheetName val="12호"/>
      <sheetName val="14(1)(갑)"/>
      <sheetName val="14(1)(을)"/>
      <sheetName val="6-14(갑)"/>
      <sheetName val="6-14호(을)"/>
      <sheetName val="6-14호(병)"/>
      <sheetName val="60호(갑)"/>
      <sheetName val="60호(을)"/>
      <sheetName val="품셈TABLE"/>
      <sheetName val="이자율"/>
      <sheetName val="0.0ControlSheet"/>
      <sheetName val="판매율"/>
    </sheetNames>
    <sheetDataSet>
      <sheetData sheetId="0" refreshError="1">
        <row r="6">
          <cell r="C6" t="str">
            <v>시대종합건설㈜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.목차"/>
      <sheetName val="0.0ControlSheet"/>
      <sheetName val="0.1keyAssumption"/>
      <sheetName val="1.점포분석"/>
      <sheetName val="▶종합"/>
      <sheetName val="▶아울렛영업"/>
      <sheetName val="▶뉴코아영업"/>
      <sheetName val="▶제외 (3)"/>
      <sheetName val="▶제외 (2)"/>
      <sheetName val="▶제외"/>
      <sheetName val="강남1"/>
      <sheetName val="강남킴스"/>
      <sheetName val="평촌아울렛"/>
      <sheetName val="야탑"/>
      <sheetName val="동수원"/>
      <sheetName val="일산"/>
      <sheetName val="본사"/>
      <sheetName val="강남2"/>
      <sheetName val="순천"/>
      <sheetName val="순천킴스"/>
      <sheetName val="평택"/>
      <sheetName val="평촌"/>
      <sheetName val="평촌킴스"/>
      <sheetName val="과천"/>
      <sheetName val="구월킴스"/>
      <sheetName val="수원"/>
      <sheetName val="수원킴스"/>
      <sheetName val="남산킴스"/>
      <sheetName val="곤지암"/>
      <sheetName val="동관"/>
      <sheetName val="비전"/>
      <sheetName val="포항"/>
      <sheetName val="본관"/>
      <sheetName val="오대산"/>
      <sheetName val="인천"/>
      <sheetName val="서현킴스"/>
      <sheetName val="진부"/>
      <sheetName val="건설본부"/>
      <sheetName val="기타매각점"/>
      <sheetName val="▶주력"/>
      <sheetName val="▶기타"/>
      <sheetName val="0_0ControlSheet"/>
      <sheetName val="회사정보"/>
      <sheetName val="품셈TABLE"/>
      <sheetName val="판매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구분LIST" displayName="구분LIST" ref="A1:C29" totalsRowShown="0">
  <autoFilter ref="A1:C29" xr:uid="{00000000-0009-0000-0100-000004000000}"/>
  <tableColumns count="3">
    <tableColumn id="1" xr3:uid="{00000000-0010-0000-0300-000001000000}" name="구분1" dataDxfId="2" dataCellStyle="표준 2"/>
    <tableColumn id="2" xr3:uid="{00000000-0010-0000-0300-000002000000}" name="구분2" dataDxfId="1" dataCellStyle="표준 2"/>
    <tableColumn id="3" xr3:uid="{00000000-0010-0000-0300-000003000000}" name="순서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  <pageSetUpPr fitToPage="1"/>
  </sheetPr>
  <dimension ref="A1:WTU159"/>
  <sheetViews>
    <sheetView tabSelected="1" zoomScale="70" zoomScaleNormal="70" zoomScaleSheetLayoutView="90" workbookViewId="0">
      <pane xSplit="4" ySplit="4" topLeftCell="E5" activePane="bottomRight" state="frozen"/>
      <selection activeCell="F49" sqref="F49"/>
      <selection pane="topRight" activeCell="F49" sqref="F49"/>
      <selection pane="bottomLeft" activeCell="F49" sqref="F49"/>
      <selection pane="bottomRight" activeCell="E11" sqref="E11"/>
    </sheetView>
  </sheetViews>
  <sheetFormatPr defaultRowHeight="15.6" x14ac:dyDescent="0.15"/>
  <cols>
    <col min="1" max="1" width="3.5" style="1" hidden="1" customWidth="1"/>
    <col min="2" max="2" width="13.875" style="1" customWidth="1"/>
    <col min="3" max="3" width="12.5" style="1" customWidth="1"/>
    <col min="4" max="4" width="27.25" style="1" customWidth="1"/>
    <col min="5" max="12" width="17.875" style="1" customWidth="1"/>
    <col min="13" max="13" width="11.75" style="1" customWidth="1"/>
    <col min="14" max="14" width="9" style="1" customWidth="1"/>
    <col min="15" max="15" width="3" style="1" customWidth="1"/>
    <col min="16" max="214" width="9" style="1" customWidth="1"/>
    <col min="215" max="215" width="8.375" style="1" customWidth="1"/>
    <col min="216" max="216" width="18" style="1" customWidth="1"/>
    <col min="217" max="217" width="13" style="1" hidden="1" customWidth="1"/>
    <col min="218" max="218" width="17.375" style="1" bestFit="1" customWidth="1"/>
    <col min="219" max="226" width="13.875" style="1" customWidth="1"/>
    <col min="227" max="227" width="31.125" style="1" customWidth="1"/>
    <col min="228" max="470" width="9" style="1" customWidth="1"/>
    <col min="471" max="471" width="8.375" style="1" customWidth="1"/>
    <col min="472" max="472" width="18" style="1" customWidth="1"/>
    <col min="473" max="473" width="13" style="1" hidden="1" customWidth="1"/>
    <col min="474" max="474" width="17.375" style="1" bestFit="1" customWidth="1"/>
    <col min="475" max="482" width="13.875" style="1" customWidth="1"/>
    <col min="483" max="483" width="31.125" style="1" customWidth="1"/>
    <col min="484" max="726" width="9" style="1" customWidth="1"/>
    <col min="727" max="727" width="8.375" style="1" customWidth="1"/>
    <col min="728" max="728" width="18" style="1" customWidth="1"/>
    <col min="729" max="729" width="13" style="1" hidden="1" customWidth="1"/>
    <col min="730" max="730" width="17.375" style="1" bestFit="1" customWidth="1"/>
    <col min="731" max="738" width="13.875" style="1" customWidth="1"/>
    <col min="739" max="739" width="31.125" style="1" customWidth="1"/>
    <col min="740" max="982" width="9" style="1" customWidth="1"/>
    <col min="983" max="983" width="8.375" style="1" customWidth="1"/>
    <col min="984" max="984" width="18" style="1" customWidth="1"/>
    <col min="985" max="985" width="13" style="1" hidden="1" customWidth="1"/>
    <col min="986" max="986" width="17.375" style="1" bestFit="1" customWidth="1"/>
    <col min="987" max="994" width="13.875" style="1" customWidth="1"/>
    <col min="995" max="995" width="31.125" style="1" customWidth="1"/>
    <col min="996" max="1238" width="9" style="1" customWidth="1"/>
    <col min="1239" max="1239" width="8.375" style="1" customWidth="1"/>
    <col min="1240" max="1240" width="18" style="1" customWidth="1"/>
    <col min="1241" max="1241" width="13" style="1" hidden="1" customWidth="1"/>
    <col min="1242" max="1242" width="17.375" style="1" bestFit="1" customWidth="1"/>
    <col min="1243" max="1250" width="13.875" style="1" customWidth="1"/>
    <col min="1251" max="1251" width="31.125" style="1" customWidth="1"/>
    <col min="1252" max="1494" width="9" style="1" customWidth="1"/>
    <col min="1495" max="1495" width="8.375" style="1" customWidth="1"/>
    <col min="1496" max="1496" width="18" style="1" customWidth="1"/>
    <col min="1497" max="1497" width="13" style="1" hidden="1" customWidth="1"/>
    <col min="1498" max="1498" width="17.375" style="1" bestFit="1" customWidth="1"/>
    <col min="1499" max="1506" width="13.875" style="1" customWidth="1"/>
    <col min="1507" max="1507" width="31.125" style="1" customWidth="1"/>
    <col min="1508" max="1750" width="9" style="1" customWidth="1"/>
    <col min="1751" max="1751" width="8.375" style="1" customWidth="1"/>
    <col min="1752" max="1752" width="18" style="1" customWidth="1"/>
    <col min="1753" max="1753" width="13" style="1" hidden="1" customWidth="1"/>
    <col min="1754" max="1754" width="17.375" style="1" bestFit="1" customWidth="1"/>
    <col min="1755" max="1762" width="13.875" style="1" customWidth="1"/>
    <col min="1763" max="1763" width="31.125" style="1" customWidth="1"/>
    <col min="1764" max="2006" width="9" style="1" customWidth="1"/>
    <col min="2007" max="2007" width="8.375" style="1" customWidth="1"/>
    <col min="2008" max="2008" width="18" style="1" customWidth="1"/>
    <col min="2009" max="2009" width="13" style="1" hidden="1" customWidth="1"/>
    <col min="2010" max="2010" width="17.375" style="1" bestFit="1" customWidth="1"/>
    <col min="2011" max="2018" width="13.875" style="1" customWidth="1"/>
    <col min="2019" max="2019" width="31.125" style="1" customWidth="1"/>
    <col min="2020" max="2262" width="9" style="1" customWidth="1"/>
    <col min="2263" max="2263" width="8.375" style="1" customWidth="1"/>
    <col min="2264" max="2264" width="18" style="1" customWidth="1"/>
    <col min="2265" max="2265" width="13" style="1" hidden="1" customWidth="1"/>
    <col min="2266" max="2266" width="17.375" style="1" bestFit="1" customWidth="1"/>
    <col min="2267" max="2274" width="13.875" style="1" customWidth="1"/>
    <col min="2275" max="2275" width="31.125" style="1" customWidth="1"/>
    <col min="2276" max="2518" width="9" style="1" customWidth="1"/>
    <col min="2519" max="2519" width="8.375" style="1" customWidth="1"/>
    <col min="2520" max="2520" width="18" style="1" customWidth="1"/>
    <col min="2521" max="2521" width="13" style="1" hidden="1" customWidth="1"/>
    <col min="2522" max="2522" width="17.375" style="1" bestFit="1" customWidth="1"/>
    <col min="2523" max="2530" width="13.875" style="1" customWidth="1"/>
    <col min="2531" max="2531" width="31.125" style="1" customWidth="1"/>
    <col min="2532" max="2774" width="9" style="1" customWidth="1"/>
    <col min="2775" max="2775" width="8.375" style="1" customWidth="1"/>
    <col min="2776" max="2776" width="18" style="1" customWidth="1"/>
    <col min="2777" max="2777" width="13" style="1" hidden="1" customWidth="1"/>
    <col min="2778" max="2778" width="17.375" style="1" bestFit="1" customWidth="1"/>
    <col min="2779" max="2786" width="13.875" style="1" customWidth="1"/>
    <col min="2787" max="2787" width="31.125" style="1" customWidth="1"/>
    <col min="2788" max="3030" width="9" style="1" customWidth="1"/>
    <col min="3031" max="3031" width="8.375" style="1" customWidth="1"/>
    <col min="3032" max="3032" width="18" style="1" customWidth="1"/>
    <col min="3033" max="3033" width="13" style="1" hidden="1" customWidth="1"/>
    <col min="3034" max="3034" width="17.375" style="1" bestFit="1" customWidth="1"/>
    <col min="3035" max="3042" width="13.875" style="1" customWidth="1"/>
    <col min="3043" max="3043" width="31.125" style="1" customWidth="1"/>
    <col min="3044" max="3286" width="9" style="1" customWidth="1"/>
    <col min="3287" max="3287" width="8.375" style="1" customWidth="1"/>
    <col min="3288" max="3288" width="18" style="1" customWidth="1"/>
    <col min="3289" max="3289" width="13" style="1" hidden="1" customWidth="1"/>
    <col min="3290" max="3290" width="17.375" style="1" bestFit="1" customWidth="1"/>
    <col min="3291" max="3298" width="13.875" style="1" customWidth="1"/>
    <col min="3299" max="3299" width="31.125" style="1" customWidth="1"/>
    <col min="3300" max="3542" width="9" style="1" customWidth="1"/>
    <col min="3543" max="3543" width="8.375" style="1" customWidth="1"/>
    <col min="3544" max="3544" width="18" style="1" customWidth="1"/>
    <col min="3545" max="3545" width="13" style="1" hidden="1" customWidth="1"/>
    <col min="3546" max="3546" width="17.375" style="1" bestFit="1" customWidth="1"/>
    <col min="3547" max="3554" width="13.875" style="1" customWidth="1"/>
    <col min="3555" max="3555" width="31.125" style="1" customWidth="1"/>
    <col min="3556" max="3798" width="9" style="1" customWidth="1"/>
    <col min="3799" max="3799" width="8.375" style="1" customWidth="1"/>
    <col min="3800" max="3800" width="18" style="1" customWidth="1"/>
    <col min="3801" max="3801" width="13" style="1" hidden="1" customWidth="1"/>
    <col min="3802" max="3802" width="17.375" style="1" bestFit="1" customWidth="1"/>
    <col min="3803" max="3810" width="13.875" style="1" customWidth="1"/>
    <col min="3811" max="3811" width="31.125" style="1" customWidth="1"/>
    <col min="3812" max="4054" width="9" style="1" customWidth="1"/>
    <col min="4055" max="4055" width="8.375" style="1" customWidth="1"/>
    <col min="4056" max="4056" width="18" style="1" customWidth="1"/>
    <col min="4057" max="4057" width="13" style="1" hidden="1" customWidth="1"/>
    <col min="4058" max="4058" width="17.375" style="1" bestFit="1" customWidth="1"/>
    <col min="4059" max="4066" width="13.875" style="1" customWidth="1"/>
    <col min="4067" max="4067" width="31.125" style="1" customWidth="1"/>
    <col min="4068" max="4310" width="9" style="1" customWidth="1"/>
    <col min="4311" max="4311" width="8.375" style="1" customWidth="1"/>
    <col min="4312" max="4312" width="18" style="1" customWidth="1"/>
    <col min="4313" max="4313" width="13" style="1" hidden="1" customWidth="1"/>
    <col min="4314" max="4314" width="17.375" style="1" bestFit="1" customWidth="1"/>
    <col min="4315" max="4322" width="13.875" style="1" customWidth="1"/>
    <col min="4323" max="4323" width="31.125" style="1" customWidth="1"/>
    <col min="4324" max="4566" width="9" style="1" customWidth="1"/>
    <col min="4567" max="4567" width="8.375" style="1" customWidth="1"/>
    <col min="4568" max="4568" width="18" style="1" customWidth="1"/>
    <col min="4569" max="4569" width="13" style="1" hidden="1" customWidth="1"/>
    <col min="4570" max="4570" width="17.375" style="1" bestFit="1" customWidth="1"/>
    <col min="4571" max="4578" width="13.875" style="1" customWidth="1"/>
    <col min="4579" max="4579" width="31.125" style="1" customWidth="1"/>
    <col min="4580" max="4822" width="9" style="1" customWidth="1"/>
    <col min="4823" max="4823" width="8.375" style="1" customWidth="1"/>
    <col min="4824" max="4824" width="18" style="1" customWidth="1"/>
    <col min="4825" max="4825" width="13" style="1" hidden="1" customWidth="1"/>
    <col min="4826" max="4826" width="17.375" style="1" bestFit="1" customWidth="1"/>
    <col min="4827" max="4834" width="13.875" style="1" customWidth="1"/>
    <col min="4835" max="4835" width="31.125" style="1" customWidth="1"/>
    <col min="4836" max="5078" width="9" style="1" customWidth="1"/>
    <col min="5079" max="5079" width="8.375" style="1" customWidth="1"/>
    <col min="5080" max="5080" width="18" style="1" customWidth="1"/>
    <col min="5081" max="5081" width="13" style="1" hidden="1" customWidth="1"/>
    <col min="5082" max="5082" width="17.375" style="1" bestFit="1" customWidth="1"/>
    <col min="5083" max="5090" width="13.875" style="1" customWidth="1"/>
    <col min="5091" max="5091" width="31.125" style="1" customWidth="1"/>
    <col min="5092" max="5334" width="9" style="1" customWidth="1"/>
    <col min="5335" max="5335" width="8.375" style="1" customWidth="1"/>
    <col min="5336" max="5336" width="18" style="1" customWidth="1"/>
    <col min="5337" max="5337" width="13" style="1" hidden="1" customWidth="1"/>
    <col min="5338" max="5338" width="17.375" style="1" bestFit="1" customWidth="1"/>
    <col min="5339" max="5346" width="13.875" style="1" customWidth="1"/>
    <col min="5347" max="5347" width="31.125" style="1" customWidth="1"/>
    <col min="5348" max="5590" width="9" style="1" customWidth="1"/>
    <col min="5591" max="5591" width="8.375" style="1" customWidth="1"/>
    <col min="5592" max="5592" width="18" style="1" customWidth="1"/>
    <col min="5593" max="5593" width="13" style="1" hidden="1" customWidth="1"/>
    <col min="5594" max="5594" width="17.375" style="1" bestFit="1" customWidth="1"/>
    <col min="5595" max="5602" width="13.875" style="1" customWidth="1"/>
    <col min="5603" max="5603" width="31.125" style="1" customWidth="1"/>
    <col min="5604" max="5846" width="9" style="1" customWidth="1"/>
    <col min="5847" max="5847" width="8.375" style="1" customWidth="1"/>
    <col min="5848" max="5848" width="18" style="1" customWidth="1"/>
    <col min="5849" max="5849" width="13" style="1" hidden="1" customWidth="1"/>
    <col min="5850" max="5850" width="17.375" style="1" bestFit="1" customWidth="1"/>
    <col min="5851" max="5858" width="13.875" style="1" customWidth="1"/>
    <col min="5859" max="5859" width="31.125" style="1" customWidth="1"/>
    <col min="5860" max="6102" width="9" style="1" customWidth="1"/>
    <col min="6103" max="6103" width="8.375" style="1" customWidth="1"/>
    <col min="6104" max="6104" width="18" style="1" customWidth="1"/>
    <col min="6105" max="6105" width="13" style="1" hidden="1" customWidth="1"/>
    <col min="6106" max="6106" width="17.375" style="1" bestFit="1" customWidth="1"/>
    <col min="6107" max="6114" width="13.875" style="1" customWidth="1"/>
    <col min="6115" max="6115" width="31.125" style="1" customWidth="1"/>
    <col min="6116" max="6358" width="9" style="1" customWidth="1"/>
    <col min="6359" max="6359" width="8.375" style="1" customWidth="1"/>
    <col min="6360" max="6360" width="18" style="1" customWidth="1"/>
    <col min="6361" max="6361" width="13" style="1" hidden="1" customWidth="1"/>
    <col min="6362" max="6362" width="17.375" style="1" bestFit="1" customWidth="1"/>
    <col min="6363" max="6370" width="13.875" style="1" customWidth="1"/>
    <col min="6371" max="6371" width="31.125" style="1" customWidth="1"/>
    <col min="6372" max="6614" width="9" style="1" customWidth="1"/>
    <col min="6615" max="6615" width="8.375" style="1" customWidth="1"/>
    <col min="6616" max="6616" width="18" style="1" customWidth="1"/>
    <col min="6617" max="6617" width="13" style="1" hidden="1" customWidth="1"/>
    <col min="6618" max="6618" width="17.375" style="1" bestFit="1" customWidth="1"/>
    <col min="6619" max="6626" width="13.875" style="1" customWidth="1"/>
    <col min="6627" max="6627" width="31.125" style="1" customWidth="1"/>
    <col min="6628" max="6870" width="9" style="1" customWidth="1"/>
    <col min="6871" max="6871" width="8.375" style="1" customWidth="1"/>
    <col min="6872" max="6872" width="18" style="1" customWidth="1"/>
    <col min="6873" max="6873" width="13" style="1" hidden="1" customWidth="1"/>
    <col min="6874" max="6874" width="17.375" style="1" bestFit="1" customWidth="1"/>
    <col min="6875" max="6882" width="13.875" style="1" customWidth="1"/>
    <col min="6883" max="6883" width="31.125" style="1" customWidth="1"/>
    <col min="6884" max="7126" width="9" style="1" customWidth="1"/>
    <col min="7127" max="7127" width="8.375" style="1" customWidth="1"/>
    <col min="7128" max="7128" width="18" style="1" customWidth="1"/>
    <col min="7129" max="7129" width="13" style="1" hidden="1" customWidth="1"/>
    <col min="7130" max="7130" width="17.375" style="1" bestFit="1" customWidth="1"/>
    <col min="7131" max="7138" width="13.875" style="1" customWidth="1"/>
    <col min="7139" max="7139" width="31.125" style="1" customWidth="1"/>
    <col min="7140" max="7382" width="9" style="1" customWidth="1"/>
    <col min="7383" max="7383" width="8.375" style="1" customWidth="1"/>
    <col min="7384" max="7384" width="18" style="1" customWidth="1"/>
    <col min="7385" max="7385" width="13" style="1" hidden="1" customWidth="1"/>
    <col min="7386" max="7386" width="17.375" style="1" bestFit="1" customWidth="1"/>
    <col min="7387" max="7394" width="13.875" style="1" customWidth="1"/>
    <col min="7395" max="7395" width="31.125" style="1" customWidth="1"/>
    <col min="7396" max="7638" width="9" style="1" customWidth="1"/>
    <col min="7639" max="7639" width="8.375" style="1" customWidth="1"/>
    <col min="7640" max="7640" width="18" style="1" customWidth="1"/>
    <col min="7641" max="7641" width="13" style="1" hidden="1" customWidth="1"/>
    <col min="7642" max="7642" width="17.375" style="1" bestFit="1" customWidth="1"/>
    <col min="7643" max="7650" width="13.875" style="1" customWidth="1"/>
    <col min="7651" max="7651" width="31.125" style="1" customWidth="1"/>
    <col min="7652" max="7894" width="9" style="1" customWidth="1"/>
    <col min="7895" max="7895" width="8.375" style="1" customWidth="1"/>
    <col min="7896" max="7896" width="18" style="1" customWidth="1"/>
    <col min="7897" max="7897" width="13" style="1" hidden="1" customWidth="1"/>
    <col min="7898" max="7898" width="17.375" style="1" bestFit="1" customWidth="1"/>
    <col min="7899" max="7906" width="13.875" style="1" customWidth="1"/>
    <col min="7907" max="7907" width="31.125" style="1" customWidth="1"/>
    <col min="7908" max="8150" width="9" style="1" customWidth="1"/>
    <col min="8151" max="8151" width="8.375" style="1" customWidth="1"/>
    <col min="8152" max="8152" width="18" style="1" customWidth="1"/>
    <col min="8153" max="8153" width="13" style="1" hidden="1" customWidth="1"/>
    <col min="8154" max="8154" width="17.375" style="1" bestFit="1" customWidth="1"/>
    <col min="8155" max="8162" width="13.875" style="1" customWidth="1"/>
    <col min="8163" max="8163" width="31.125" style="1" customWidth="1"/>
    <col min="8164" max="8406" width="9" style="1" customWidth="1"/>
    <col min="8407" max="8407" width="8.375" style="1" customWidth="1"/>
    <col min="8408" max="8408" width="18" style="1" customWidth="1"/>
    <col min="8409" max="8409" width="13" style="1" hidden="1" customWidth="1"/>
    <col min="8410" max="8410" width="17.375" style="1" bestFit="1" customWidth="1"/>
    <col min="8411" max="8418" width="13.875" style="1" customWidth="1"/>
    <col min="8419" max="8419" width="31.125" style="1" customWidth="1"/>
    <col min="8420" max="8662" width="9" style="1" customWidth="1"/>
    <col min="8663" max="8663" width="8.375" style="1" customWidth="1"/>
    <col min="8664" max="8664" width="18" style="1" customWidth="1"/>
    <col min="8665" max="8665" width="13" style="1" hidden="1" customWidth="1"/>
    <col min="8666" max="8666" width="17.375" style="1" bestFit="1" customWidth="1"/>
    <col min="8667" max="8674" width="13.875" style="1" customWidth="1"/>
    <col min="8675" max="8675" width="31.125" style="1" customWidth="1"/>
    <col min="8676" max="8918" width="9" style="1" customWidth="1"/>
    <col min="8919" max="8919" width="8.375" style="1" customWidth="1"/>
    <col min="8920" max="8920" width="18" style="1" customWidth="1"/>
    <col min="8921" max="8921" width="13" style="1" hidden="1" customWidth="1"/>
    <col min="8922" max="8922" width="17.375" style="1" bestFit="1" customWidth="1"/>
    <col min="8923" max="8930" width="13.875" style="1" customWidth="1"/>
    <col min="8931" max="8931" width="31.125" style="1" customWidth="1"/>
    <col min="8932" max="9174" width="9" style="1" customWidth="1"/>
    <col min="9175" max="9175" width="8.375" style="1" customWidth="1"/>
    <col min="9176" max="9176" width="18" style="1" customWidth="1"/>
    <col min="9177" max="9177" width="13" style="1" hidden="1" customWidth="1"/>
    <col min="9178" max="9178" width="17.375" style="1" bestFit="1" customWidth="1"/>
    <col min="9179" max="9186" width="13.875" style="1" customWidth="1"/>
    <col min="9187" max="9187" width="31.125" style="1" customWidth="1"/>
    <col min="9188" max="9430" width="9" style="1" customWidth="1"/>
    <col min="9431" max="9431" width="8.375" style="1" customWidth="1"/>
    <col min="9432" max="9432" width="18" style="1" customWidth="1"/>
    <col min="9433" max="9433" width="13" style="1" hidden="1" customWidth="1"/>
    <col min="9434" max="9434" width="17.375" style="1" bestFit="1" customWidth="1"/>
    <col min="9435" max="9442" width="13.875" style="1" customWidth="1"/>
    <col min="9443" max="9443" width="31.125" style="1" customWidth="1"/>
    <col min="9444" max="9686" width="9" style="1" customWidth="1"/>
    <col min="9687" max="9687" width="8.375" style="1" customWidth="1"/>
    <col min="9688" max="9688" width="18" style="1" customWidth="1"/>
    <col min="9689" max="9689" width="13" style="1" hidden="1" customWidth="1"/>
    <col min="9690" max="9690" width="17.375" style="1" bestFit="1" customWidth="1"/>
    <col min="9691" max="9698" width="13.875" style="1" customWidth="1"/>
    <col min="9699" max="9699" width="31.125" style="1" customWidth="1"/>
    <col min="9700" max="9942" width="9" style="1" customWidth="1"/>
    <col min="9943" max="9943" width="8.375" style="1" customWidth="1"/>
    <col min="9944" max="9944" width="18" style="1" customWidth="1"/>
    <col min="9945" max="9945" width="13" style="1" hidden="1" customWidth="1"/>
    <col min="9946" max="9946" width="17.375" style="1" bestFit="1" customWidth="1"/>
    <col min="9947" max="9954" width="13.875" style="1" customWidth="1"/>
    <col min="9955" max="9955" width="31.125" style="1" customWidth="1"/>
    <col min="9956" max="10198" width="9" style="1" customWidth="1"/>
    <col min="10199" max="10199" width="8.375" style="1" customWidth="1"/>
    <col min="10200" max="10200" width="18" style="1" customWidth="1"/>
    <col min="10201" max="10201" width="13" style="1" hidden="1" customWidth="1"/>
    <col min="10202" max="10202" width="17.375" style="1" bestFit="1" customWidth="1"/>
    <col min="10203" max="10210" width="13.875" style="1" customWidth="1"/>
    <col min="10211" max="10211" width="31.125" style="1" customWidth="1"/>
    <col min="10212" max="10454" width="9" style="1" customWidth="1"/>
    <col min="10455" max="10455" width="8.375" style="1" customWidth="1"/>
    <col min="10456" max="10456" width="18" style="1" customWidth="1"/>
    <col min="10457" max="10457" width="13" style="1" hidden="1" customWidth="1"/>
    <col min="10458" max="10458" width="17.375" style="1" bestFit="1" customWidth="1"/>
    <col min="10459" max="10466" width="13.875" style="1" customWidth="1"/>
    <col min="10467" max="10467" width="31.125" style="1" customWidth="1"/>
    <col min="10468" max="10710" width="9" style="1" customWidth="1"/>
    <col min="10711" max="10711" width="8.375" style="1" customWidth="1"/>
    <col min="10712" max="10712" width="18" style="1" customWidth="1"/>
    <col min="10713" max="10713" width="13" style="1" hidden="1" customWidth="1"/>
    <col min="10714" max="10714" width="17.375" style="1" bestFit="1" customWidth="1"/>
    <col min="10715" max="10722" width="13.875" style="1" customWidth="1"/>
    <col min="10723" max="10723" width="31.125" style="1" customWidth="1"/>
    <col min="10724" max="10966" width="9" style="1" customWidth="1"/>
    <col min="10967" max="10967" width="8.375" style="1" customWidth="1"/>
    <col min="10968" max="10968" width="18" style="1" customWidth="1"/>
    <col min="10969" max="10969" width="13" style="1" hidden="1" customWidth="1"/>
    <col min="10970" max="10970" width="17.375" style="1" bestFit="1" customWidth="1"/>
    <col min="10971" max="10978" width="13.875" style="1" customWidth="1"/>
    <col min="10979" max="10979" width="31.125" style="1" customWidth="1"/>
    <col min="10980" max="11222" width="9" style="1" customWidth="1"/>
    <col min="11223" max="11223" width="8.375" style="1" customWidth="1"/>
    <col min="11224" max="11224" width="18" style="1" customWidth="1"/>
    <col min="11225" max="11225" width="13" style="1" hidden="1" customWidth="1"/>
    <col min="11226" max="11226" width="17.375" style="1" bestFit="1" customWidth="1"/>
    <col min="11227" max="11234" width="13.875" style="1" customWidth="1"/>
    <col min="11235" max="11235" width="31.125" style="1" customWidth="1"/>
    <col min="11236" max="11478" width="9" style="1" customWidth="1"/>
    <col min="11479" max="11479" width="8.375" style="1" customWidth="1"/>
    <col min="11480" max="11480" width="18" style="1" customWidth="1"/>
    <col min="11481" max="11481" width="13" style="1" hidden="1" customWidth="1"/>
    <col min="11482" max="11482" width="17.375" style="1" bestFit="1" customWidth="1"/>
    <col min="11483" max="11490" width="13.875" style="1" customWidth="1"/>
    <col min="11491" max="11491" width="31.125" style="1" customWidth="1"/>
    <col min="11492" max="11734" width="9" style="1" customWidth="1"/>
    <col min="11735" max="11735" width="8.375" style="1" customWidth="1"/>
    <col min="11736" max="11736" width="18" style="1" customWidth="1"/>
    <col min="11737" max="11737" width="13" style="1" hidden="1" customWidth="1"/>
    <col min="11738" max="11738" width="17.375" style="1" bestFit="1" customWidth="1"/>
    <col min="11739" max="11746" width="13.875" style="1" customWidth="1"/>
    <col min="11747" max="11747" width="31.125" style="1" customWidth="1"/>
    <col min="11748" max="11990" width="9" style="1" customWidth="1"/>
    <col min="11991" max="11991" width="8.375" style="1" customWidth="1"/>
    <col min="11992" max="11992" width="18" style="1" customWidth="1"/>
    <col min="11993" max="11993" width="13" style="1" hidden="1" customWidth="1"/>
    <col min="11994" max="11994" width="17.375" style="1" bestFit="1" customWidth="1"/>
    <col min="11995" max="12002" width="13.875" style="1" customWidth="1"/>
    <col min="12003" max="12003" width="31.125" style="1" customWidth="1"/>
    <col min="12004" max="12246" width="9" style="1" customWidth="1"/>
    <col min="12247" max="12247" width="8.375" style="1" customWidth="1"/>
    <col min="12248" max="12248" width="18" style="1" customWidth="1"/>
    <col min="12249" max="12249" width="13" style="1" hidden="1" customWidth="1"/>
    <col min="12250" max="12250" width="17.375" style="1" bestFit="1" customWidth="1"/>
    <col min="12251" max="12258" width="13.875" style="1" customWidth="1"/>
    <col min="12259" max="12259" width="31.125" style="1" customWidth="1"/>
    <col min="12260" max="12502" width="9" style="1" customWidth="1"/>
    <col min="12503" max="12503" width="8.375" style="1" customWidth="1"/>
    <col min="12504" max="12504" width="18" style="1" customWidth="1"/>
    <col min="12505" max="12505" width="13" style="1" hidden="1" customWidth="1"/>
    <col min="12506" max="12506" width="17.375" style="1" bestFit="1" customWidth="1"/>
    <col min="12507" max="12514" width="13.875" style="1" customWidth="1"/>
    <col min="12515" max="12515" width="31.125" style="1" customWidth="1"/>
    <col min="12516" max="12758" width="9" style="1" customWidth="1"/>
    <col min="12759" max="12759" width="8.375" style="1" customWidth="1"/>
    <col min="12760" max="12760" width="18" style="1" customWidth="1"/>
    <col min="12761" max="12761" width="13" style="1" hidden="1" customWidth="1"/>
    <col min="12762" max="12762" width="17.375" style="1" bestFit="1" customWidth="1"/>
    <col min="12763" max="12770" width="13.875" style="1" customWidth="1"/>
    <col min="12771" max="12771" width="31.125" style="1" customWidth="1"/>
    <col min="12772" max="13014" width="9" style="1" customWidth="1"/>
    <col min="13015" max="13015" width="8.375" style="1" customWidth="1"/>
    <col min="13016" max="13016" width="18" style="1" customWidth="1"/>
    <col min="13017" max="13017" width="13" style="1" hidden="1" customWidth="1"/>
    <col min="13018" max="13018" width="17.375" style="1" bestFit="1" customWidth="1"/>
    <col min="13019" max="13026" width="13.875" style="1" customWidth="1"/>
    <col min="13027" max="13027" width="31.125" style="1" customWidth="1"/>
    <col min="13028" max="13270" width="9" style="1" customWidth="1"/>
    <col min="13271" max="13271" width="8.375" style="1" customWidth="1"/>
    <col min="13272" max="13272" width="18" style="1" customWidth="1"/>
    <col min="13273" max="13273" width="13" style="1" hidden="1" customWidth="1"/>
    <col min="13274" max="13274" width="17.375" style="1" bestFit="1" customWidth="1"/>
    <col min="13275" max="13282" width="13.875" style="1" customWidth="1"/>
    <col min="13283" max="13283" width="31.125" style="1" customWidth="1"/>
    <col min="13284" max="13526" width="9" style="1" customWidth="1"/>
    <col min="13527" max="13527" width="8.375" style="1" customWidth="1"/>
    <col min="13528" max="13528" width="18" style="1" customWidth="1"/>
    <col min="13529" max="13529" width="13" style="1" hidden="1" customWidth="1"/>
    <col min="13530" max="13530" width="17.375" style="1" bestFit="1" customWidth="1"/>
    <col min="13531" max="13538" width="13.875" style="1" customWidth="1"/>
    <col min="13539" max="13539" width="31.125" style="1" customWidth="1"/>
    <col min="13540" max="13782" width="9" style="1" customWidth="1"/>
    <col min="13783" max="13783" width="8.375" style="1" customWidth="1"/>
    <col min="13784" max="13784" width="18" style="1" customWidth="1"/>
    <col min="13785" max="13785" width="13" style="1" hidden="1" customWidth="1"/>
    <col min="13786" max="13786" width="17.375" style="1" bestFit="1" customWidth="1"/>
    <col min="13787" max="13794" width="13.875" style="1" customWidth="1"/>
    <col min="13795" max="13795" width="31.125" style="1" customWidth="1"/>
    <col min="13796" max="14038" width="9" style="1" customWidth="1"/>
    <col min="14039" max="14039" width="8.375" style="1" customWidth="1"/>
    <col min="14040" max="14040" width="18" style="1" customWidth="1"/>
    <col min="14041" max="14041" width="13" style="1" hidden="1" customWidth="1"/>
    <col min="14042" max="14042" width="17.375" style="1" bestFit="1" customWidth="1"/>
    <col min="14043" max="14050" width="13.875" style="1" customWidth="1"/>
    <col min="14051" max="14051" width="31.125" style="1" customWidth="1"/>
    <col min="14052" max="14294" width="9" style="1" customWidth="1"/>
    <col min="14295" max="14295" width="8.375" style="1" customWidth="1"/>
    <col min="14296" max="14296" width="18" style="1" customWidth="1"/>
    <col min="14297" max="14297" width="13" style="1" hidden="1" customWidth="1"/>
    <col min="14298" max="14298" width="17.375" style="1" bestFit="1" customWidth="1"/>
    <col min="14299" max="14306" width="13.875" style="1" customWidth="1"/>
    <col min="14307" max="14307" width="31.125" style="1" customWidth="1"/>
    <col min="14308" max="14550" width="9" style="1" customWidth="1"/>
    <col min="14551" max="14551" width="8.375" style="1" customWidth="1"/>
    <col min="14552" max="14552" width="18" style="1" customWidth="1"/>
    <col min="14553" max="14553" width="13" style="1" hidden="1" customWidth="1"/>
    <col min="14554" max="14554" width="17.375" style="1" bestFit="1" customWidth="1"/>
    <col min="14555" max="14562" width="13.875" style="1" customWidth="1"/>
    <col min="14563" max="14563" width="31.125" style="1" customWidth="1"/>
    <col min="14564" max="14806" width="9" style="1" customWidth="1"/>
    <col min="14807" max="14807" width="8.375" style="1" customWidth="1"/>
    <col min="14808" max="14808" width="18" style="1" customWidth="1"/>
    <col min="14809" max="14809" width="13" style="1" hidden="1" customWidth="1"/>
    <col min="14810" max="14810" width="17.375" style="1" bestFit="1" customWidth="1"/>
    <col min="14811" max="14818" width="13.875" style="1" customWidth="1"/>
    <col min="14819" max="14819" width="31.125" style="1" customWidth="1"/>
    <col min="14820" max="15062" width="9" style="1" customWidth="1"/>
    <col min="15063" max="15063" width="8.375" style="1" customWidth="1"/>
    <col min="15064" max="15064" width="18" style="1" customWidth="1"/>
    <col min="15065" max="15065" width="13" style="1" hidden="1" customWidth="1"/>
    <col min="15066" max="15066" width="17.375" style="1" bestFit="1" customWidth="1"/>
    <col min="15067" max="15074" width="13.875" style="1" customWidth="1"/>
    <col min="15075" max="15075" width="31.125" style="1" customWidth="1"/>
    <col min="15076" max="15318" width="9" style="1" customWidth="1"/>
    <col min="15319" max="15319" width="8.375" style="1" customWidth="1"/>
    <col min="15320" max="15320" width="18" style="1" customWidth="1"/>
    <col min="15321" max="15321" width="13" style="1" hidden="1" customWidth="1"/>
    <col min="15322" max="15322" width="17.375" style="1" bestFit="1" customWidth="1"/>
    <col min="15323" max="15330" width="13.875" style="1" customWidth="1"/>
    <col min="15331" max="15331" width="31.125" style="1" customWidth="1"/>
    <col min="15332" max="15574" width="9" style="1" customWidth="1"/>
    <col min="15575" max="15575" width="8.375" style="1" customWidth="1"/>
    <col min="15576" max="15576" width="18" style="1" customWidth="1"/>
    <col min="15577" max="15577" width="13" style="1" hidden="1" customWidth="1"/>
    <col min="15578" max="15578" width="17.375" style="1" bestFit="1" customWidth="1"/>
    <col min="15579" max="15586" width="13.875" style="1" customWidth="1"/>
    <col min="15587" max="15587" width="31.125" style="1" customWidth="1"/>
    <col min="15588" max="15830" width="9" style="1" customWidth="1"/>
    <col min="15831" max="15831" width="8.375" style="1" customWidth="1"/>
    <col min="15832" max="15832" width="18" style="1" customWidth="1"/>
    <col min="15833" max="15833" width="13" style="1" hidden="1" customWidth="1"/>
    <col min="15834" max="15834" width="17.375" style="1" bestFit="1" customWidth="1"/>
    <col min="15835" max="15842" width="13.875" style="1" customWidth="1"/>
    <col min="15843" max="15843" width="31.125" style="1" customWidth="1"/>
    <col min="15844" max="16086" width="9" style="1" customWidth="1"/>
    <col min="16087" max="16087" width="8.375" style="1" customWidth="1"/>
    <col min="16088" max="16088" width="18" style="1" customWidth="1"/>
    <col min="16089" max="16089" width="13" style="1" hidden="1" customWidth="1"/>
    <col min="16090" max="16090" width="17.375" style="1" bestFit="1" customWidth="1"/>
    <col min="16091" max="16098" width="13.875" style="1" customWidth="1"/>
    <col min="16099" max="16099" width="31.125" style="1" customWidth="1"/>
    <col min="16100" max="16341" width="9" style="1" customWidth="1"/>
    <col min="16342" max="16350" width="11.125" style="1" customWidth="1"/>
    <col min="16351" max="16384" width="9" style="1" customWidth="1"/>
  </cols>
  <sheetData>
    <row r="1" spans="1:24" ht="43.2" customHeight="1" x14ac:dyDescent="0.15">
      <c r="A1" s="161" t="s">
        <v>0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</row>
    <row r="2" spans="1:24" ht="15.45" customHeight="1" thickBot="1" x14ac:dyDescent="0.2">
      <c r="D2" s="2"/>
      <c r="L2" s="107">
        <v>46203</v>
      </c>
    </row>
    <row r="3" spans="1:24" s="2" customFormat="1" ht="33" customHeight="1" x14ac:dyDescent="0.15">
      <c r="A3"/>
      <c r="B3" s="167" t="s">
        <v>1</v>
      </c>
      <c r="C3" s="135"/>
      <c r="D3" s="168"/>
      <c r="E3" s="165" t="str">
        <f>TEXT(EDATE($L$2,-12),"yyyy년 mm월")</f>
        <v>2025년 06월</v>
      </c>
      <c r="F3" s="166"/>
      <c r="G3" s="170" t="str">
        <f>TEXT($L$2,"yyyy년 mm월")</f>
        <v>2026년 06월</v>
      </c>
      <c r="H3" s="166"/>
      <c r="I3" s="157" t="s">
        <v>2</v>
      </c>
      <c r="J3" s="158"/>
      <c r="K3" s="158"/>
      <c r="L3" s="159"/>
    </row>
    <row r="4" spans="1:24" s="2" customFormat="1" ht="33" customHeight="1" thickBot="1" x14ac:dyDescent="0.2">
      <c r="A4"/>
      <c r="B4" s="136"/>
      <c r="C4" s="137"/>
      <c r="D4" s="169"/>
      <c r="E4" s="3" t="s">
        <v>3</v>
      </c>
      <c r="F4" s="4" t="s">
        <v>4</v>
      </c>
      <c r="G4" s="5" t="s">
        <v>3</v>
      </c>
      <c r="H4" s="4" t="s">
        <v>4</v>
      </c>
      <c r="I4" s="6" t="s">
        <v>3</v>
      </c>
      <c r="J4" s="7" t="s">
        <v>5</v>
      </c>
      <c r="K4" s="8" t="s">
        <v>4</v>
      </c>
      <c r="L4" s="4" t="s">
        <v>5</v>
      </c>
    </row>
    <row r="5" spans="1:24" s="2" customFormat="1" ht="33" customHeight="1" x14ac:dyDescent="0.15">
      <c r="A5"/>
      <c r="B5" s="149" t="s">
        <v>6</v>
      </c>
      <c r="C5" s="110" t="s">
        <v>7</v>
      </c>
      <c r="D5" s="111"/>
      <c r="E5" s="9">
        <v>4</v>
      </c>
      <c r="F5" s="10"/>
      <c r="G5" s="9">
        <v>4</v>
      </c>
      <c r="H5" s="10"/>
      <c r="I5" s="11">
        <f t="shared" ref="I5:I19" si="0">G5-E5</f>
        <v>0</v>
      </c>
      <c r="J5" s="12">
        <f t="shared" ref="J5:J11" si="1">IFERROR(I5/E5,"")</f>
        <v>0</v>
      </c>
      <c r="K5" s="13">
        <f t="shared" ref="K5:K19" si="2">H5-F5</f>
        <v>0</v>
      </c>
      <c r="L5" s="14" t="str">
        <f t="shared" ref="L5:L37" si="3">IFERROR(K5/F5,"")</f>
        <v/>
      </c>
      <c r="P5" s="15" t="s">
        <v>8</v>
      </c>
      <c r="Q5" s="15" t="s">
        <v>9</v>
      </c>
      <c r="R5" s="15" t="s">
        <v>10</v>
      </c>
      <c r="S5" s="15" t="s">
        <v>11</v>
      </c>
    </row>
    <row r="6" spans="1:24" s="2" customFormat="1" ht="33" customHeight="1" x14ac:dyDescent="0.15">
      <c r="A6"/>
      <c r="B6" s="145"/>
      <c r="C6" s="163" t="s">
        <v>12</v>
      </c>
      <c r="D6" s="16" t="s">
        <v>13</v>
      </c>
      <c r="E6" s="17">
        <v>1</v>
      </c>
      <c r="F6" s="18"/>
      <c r="G6" s="17">
        <v>1</v>
      </c>
      <c r="H6" s="18"/>
      <c r="I6" s="19">
        <f t="shared" si="0"/>
        <v>0</v>
      </c>
      <c r="J6" s="20">
        <f t="shared" si="1"/>
        <v>0</v>
      </c>
      <c r="K6" s="21">
        <f t="shared" si="2"/>
        <v>0</v>
      </c>
      <c r="L6" s="22" t="str">
        <f t="shared" si="3"/>
        <v/>
      </c>
      <c r="P6" s="2" t="s">
        <v>14</v>
      </c>
    </row>
    <row r="7" spans="1:24" s="2" customFormat="1" ht="33" customHeight="1" x14ac:dyDescent="0.15">
      <c r="A7"/>
      <c r="B7" s="145"/>
      <c r="C7" s="164"/>
      <c r="D7" s="23" t="s">
        <v>15</v>
      </c>
      <c r="E7" s="24">
        <v>5</v>
      </c>
      <c r="F7" s="25">
        <v>78</v>
      </c>
      <c r="G7" s="24">
        <v>5</v>
      </c>
      <c r="H7" s="108">
        <v>68</v>
      </c>
      <c r="I7" s="26">
        <f t="shared" si="0"/>
        <v>0</v>
      </c>
      <c r="J7" s="27">
        <f t="shared" si="1"/>
        <v>0</v>
      </c>
      <c r="K7" s="28">
        <f t="shared" si="2"/>
        <v>-10</v>
      </c>
      <c r="L7" s="29">
        <f t="shared" si="3"/>
        <v>-0.12820512820512819</v>
      </c>
      <c r="P7" s="2" t="s">
        <v>16</v>
      </c>
      <c r="Q7" s="2" t="s">
        <v>17</v>
      </c>
      <c r="R7" s="2" t="s">
        <v>18</v>
      </c>
      <c r="S7" s="2" t="s">
        <v>19</v>
      </c>
      <c r="T7" s="2" t="s">
        <v>20</v>
      </c>
    </row>
    <row r="8" spans="1:24" s="2" customFormat="1" ht="33" customHeight="1" x14ac:dyDescent="0.15">
      <c r="A8"/>
      <c r="B8" s="145"/>
      <c r="C8" s="164"/>
      <c r="D8" s="30" t="s">
        <v>21</v>
      </c>
      <c r="E8" s="31">
        <v>3</v>
      </c>
      <c r="F8" s="32"/>
      <c r="G8" s="31">
        <v>3</v>
      </c>
      <c r="H8" s="32"/>
      <c r="I8" s="26">
        <f t="shared" si="0"/>
        <v>0</v>
      </c>
      <c r="J8" s="27">
        <f t="shared" si="1"/>
        <v>0</v>
      </c>
      <c r="K8" s="28">
        <f t="shared" si="2"/>
        <v>0</v>
      </c>
      <c r="L8" s="29" t="str">
        <f t="shared" si="3"/>
        <v/>
      </c>
      <c r="M8" s="33"/>
      <c r="P8" s="2" t="s">
        <v>22</v>
      </c>
      <c r="Q8" s="2" t="s">
        <v>23</v>
      </c>
      <c r="R8" s="2" t="s">
        <v>24</v>
      </c>
    </row>
    <row r="9" spans="1:24" s="2" customFormat="1" ht="33" customHeight="1" x14ac:dyDescent="0.15">
      <c r="A9"/>
      <c r="B9" s="145"/>
      <c r="C9" s="164"/>
      <c r="D9" s="30" t="s">
        <v>25</v>
      </c>
      <c r="E9" s="31">
        <v>2</v>
      </c>
      <c r="F9" s="32"/>
      <c r="G9" s="31">
        <v>2</v>
      </c>
      <c r="H9" s="32"/>
      <c r="I9" s="34">
        <f t="shared" si="0"/>
        <v>0</v>
      </c>
      <c r="J9" s="35">
        <f t="shared" si="1"/>
        <v>0</v>
      </c>
      <c r="K9" s="36">
        <f t="shared" si="2"/>
        <v>0</v>
      </c>
      <c r="L9" s="37" t="str">
        <f t="shared" si="3"/>
        <v/>
      </c>
      <c r="P9" s="2" t="s">
        <v>26</v>
      </c>
      <c r="Q9" s="2" t="s">
        <v>27</v>
      </c>
    </row>
    <row r="10" spans="1:24" s="2" customFormat="1" ht="33" customHeight="1" x14ac:dyDescent="0.15">
      <c r="A10"/>
      <c r="B10" s="145"/>
      <c r="C10" s="109" t="s">
        <v>28</v>
      </c>
      <c r="D10" s="38"/>
      <c r="E10" s="39">
        <v>9</v>
      </c>
      <c r="F10" s="40"/>
      <c r="G10" s="39">
        <v>9</v>
      </c>
      <c r="H10" s="40"/>
      <c r="I10" s="41">
        <f t="shared" si="0"/>
        <v>0</v>
      </c>
      <c r="J10" s="42">
        <f t="shared" si="1"/>
        <v>0</v>
      </c>
      <c r="K10" s="43">
        <f t="shared" si="2"/>
        <v>0</v>
      </c>
      <c r="L10" s="44" t="str">
        <f t="shared" si="3"/>
        <v/>
      </c>
      <c r="M10" s="45"/>
      <c r="N10" s="46"/>
      <c r="P10" s="2" t="s">
        <v>29</v>
      </c>
      <c r="Q10" s="2" t="s">
        <v>30</v>
      </c>
      <c r="R10" s="2" t="s">
        <v>31</v>
      </c>
      <c r="S10" s="2" t="s">
        <v>37</v>
      </c>
      <c r="T10" s="2" t="s">
        <v>33</v>
      </c>
      <c r="U10" s="2" t="s">
        <v>34</v>
      </c>
      <c r="V10" s="2" t="s">
        <v>35</v>
      </c>
      <c r="W10" s="2" t="s">
        <v>36</v>
      </c>
      <c r="X10" s="2" t="s">
        <v>38</v>
      </c>
    </row>
    <row r="11" spans="1:24" s="2" customFormat="1" ht="33" customHeight="1" x14ac:dyDescent="0.15">
      <c r="A11"/>
      <c r="B11" s="145"/>
      <c r="C11" s="171" t="s">
        <v>39</v>
      </c>
      <c r="D11" s="16" t="s">
        <v>13</v>
      </c>
      <c r="E11" s="17">
        <v>1</v>
      </c>
      <c r="F11" s="18"/>
      <c r="G11" s="17">
        <v>1</v>
      </c>
      <c r="H11" s="18"/>
      <c r="I11" s="19">
        <f t="shared" si="0"/>
        <v>0</v>
      </c>
      <c r="J11" s="20">
        <f t="shared" si="1"/>
        <v>0</v>
      </c>
      <c r="K11" s="21">
        <f t="shared" si="2"/>
        <v>0</v>
      </c>
      <c r="L11" s="22" t="str">
        <f t="shared" si="3"/>
        <v/>
      </c>
      <c r="M11" s="45"/>
      <c r="P11" s="2" t="s">
        <v>40</v>
      </c>
    </row>
    <row r="12" spans="1:24" s="2" customFormat="1" ht="33" customHeight="1" x14ac:dyDescent="0.15">
      <c r="A12"/>
      <c r="B12" s="145"/>
      <c r="C12" s="164"/>
      <c r="D12" s="47" t="s">
        <v>41</v>
      </c>
      <c r="E12" s="48">
        <v>5</v>
      </c>
      <c r="F12" s="49"/>
      <c r="G12" s="48">
        <v>4</v>
      </c>
      <c r="H12" s="49"/>
      <c r="I12" s="26">
        <f t="shared" si="0"/>
        <v>-1</v>
      </c>
      <c r="J12" s="27">
        <f>IF(I12/E12=0,"",I12/E12)</f>
        <v>-0.2</v>
      </c>
      <c r="K12" s="28">
        <f t="shared" si="2"/>
        <v>0</v>
      </c>
      <c r="L12" s="29" t="str">
        <f t="shared" si="3"/>
        <v/>
      </c>
      <c r="M12" s="45"/>
      <c r="P12" s="2" t="s">
        <v>42</v>
      </c>
      <c r="Q12" s="2" t="s">
        <v>43</v>
      </c>
      <c r="R12" s="2" t="s">
        <v>44</v>
      </c>
      <c r="S12" s="2" t="s">
        <v>45</v>
      </c>
    </row>
    <row r="13" spans="1:24" s="2" customFormat="1" ht="33" customHeight="1" x14ac:dyDescent="0.15">
      <c r="A13"/>
      <c r="B13" s="145"/>
      <c r="C13" s="172"/>
      <c r="D13" s="51" t="s">
        <v>46</v>
      </c>
      <c r="E13" s="52">
        <v>2</v>
      </c>
      <c r="F13" s="53"/>
      <c r="G13" s="52">
        <v>3</v>
      </c>
      <c r="H13" s="53"/>
      <c r="I13" s="34">
        <f t="shared" si="0"/>
        <v>1</v>
      </c>
      <c r="J13" s="35">
        <f>IF(I13/E13=0,"",I13/E13)</f>
        <v>0.5</v>
      </c>
      <c r="K13" s="36">
        <f t="shared" si="2"/>
        <v>0</v>
      </c>
      <c r="L13" s="37" t="str">
        <f t="shared" si="3"/>
        <v/>
      </c>
      <c r="M13" s="50"/>
      <c r="P13" s="2" t="s">
        <v>47</v>
      </c>
      <c r="Q13" s="2" t="s">
        <v>48</v>
      </c>
      <c r="R13" s="2" t="s">
        <v>49</v>
      </c>
    </row>
    <row r="14" spans="1:24" s="2" customFormat="1" ht="33" customHeight="1" x14ac:dyDescent="0.15">
      <c r="A14"/>
      <c r="B14" s="145"/>
      <c r="C14" s="171" t="s">
        <v>50</v>
      </c>
      <c r="D14" s="54" t="s">
        <v>13</v>
      </c>
      <c r="E14" s="17">
        <v>1</v>
      </c>
      <c r="F14" s="18"/>
      <c r="G14" s="17">
        <v>1</v>
      </c>
      <c r="H14" s="18"/>
      <c r="I14" s="19">
        <f t="shared" si="0"/>
        <v>0</v>
      </c>
      <c r="J14" s="20">
        <f t="shared" ref="J14:J20" si="4">IFERROR(I14/E14,"")</f>
        <v>0</v>
      </c>
      <c r="K14" s="21">
        <f t="shared" si="2"/>
        <v>0</v>
      </c>
      <c r="L14" s="22" t="str">
        <f t="shared" si="3"/>
        <v/>
      </c>
      <c r="P14" s="2" t="s">
        <v>51</v>
      </c>
    </row>
    <row r="15" spans="1:24" s="2" customFormat="1" ht="33" customHeight="1" x14ac:dyDescent="0.15">
      <c r="A15"/>
      <c r="B15" s="145"/>
      <c r="C15" s="164"/>
      <c r="D15" s="55" t="s">
        <v>50</v>
      </c>
      <c r="E15" s="48">
        <v>8</v>
      </c>
      <c r="F15" s="49"/>
      <c r="G15" s="48">
        <v>9</v>
      </c>
      <c r="H15" s="49"/>
      <c r="I15" s="26">
        <f t="shared" si="0"/>
        <v>1</v>
      </c>
      <c r="J15" s="27">
        <f t="shared" si="4"/>
        <v>0.125</v>
      </c>
      <c r="K15" s="28">
        <f t="shared" si="2"/>
        <v>0</v>
      </c>
      <c r="L15" s="29" t="str">
        <f t="shared" si="3"/>
        <v/>
      </c>
      <c r="M15" s="50"/>
      <c r="P15" s="2" t="s">
        <v>52</v>
      </c>
      <c r="Q15" s="2" t="s">
        <v>54</v>
      </c>
      <c r="R15" s="2" t="s">
        <v>53</v>
      </c>
      <c r="S15" s="2" t="s">
        <v>55</v>
      </c>
      <c r="T15" s="2" t="s">
        <v>56</v>
      </c>
      <c r="U15" s="2" t="s">
        <v>57</v>
      </c>
      <c r="V15" s="2" t="s">
        <v>201</v>
      </c>
      <c r="W15" s="2" t="s">
        <v>58</v>
      </c>
      <c r="X15" s="2" t="s">
        <v>59</v>
      </c>
    </row>
    <row r="16" spans="1:24" s="2" customFormat="1" ht="33" customHeight="1" x14ac:dyDescent="0.15">
      <c r="A16"/>
      <c r="B16" s="145"/>
      <c r="C16" s="172"/>
      <c r="D16" s="55" t="s">
        <v>60</v>
      </c>
      <c r="E16" s="48">
        <v>1</v>
      </c>
      <c r="F16" s="49"/>
      <c r="G16" s="48">
        <v>1</v>
      </c>
      <c r="H16" s="49"/>
      <c r="I16" s="34">
        <f t="shared" si="0"/>
        <v>0</v>
      </c>
      <c r="J16" s="35">
        <f t="shared" si="4"/>
        <v>0</v>
      </c>
      <c r="K16" s="36">
        <f t="shared" si="2"/>
        <v>0</v>
      </c>
      <c r="L16" s="37" t="str">
        <f t="shared" si="3"/>
        <v/>
      </c>
      <c r="M16" s="45"/>
      <c r="P16" s="2" t="s">
        <v>61</v>
      </c>
    </row>
    <row r="17" spans="1:20" s="2" customFormat="1" ht="33" customHeight="1" x14ac:dyDescent="0.15">
      <c r="A17"/>
      <c r="B17" s="145"/>
      <c r="C17" s="109" t="s">
        <v>62</v>
      </c>
      <c r="D17" s="38"/>
      <c r="E17" s="39">
        <v>5</v>
      </c>
      <c r="F17" s="40"/>
      <c r="G17" s="39">
        <v>4</v>
      </c>
      <c r="H17" s="40"/>
      <c r="I17" s="41">
        <f t="shared" si="0"/>
        <v>-1</v>
      </c>
      <c r="J17" s="42">
        <f t="shared" si="4"/>
        <v>-0.2</v>
      </c>
      <c r="K17" s="43">
        <f t="shared" si="2"/>
        <v>0</v>
      </c>
      <c r="L17" s="44" t="str">
        <f t="shared" si="3"/>
        <v/>
      </c>
      <c r="M17" s="56"/>
      <c r="P17" s="2" t="s">
        <v>63</v>
      </c>
      <c r="Q17" s="2" t="s">
        <v>64</v>
      </c>
      <c r="R17" s="2" t="s">
        <v>65</v>
      </c>
      <c r="S17" s="2" t="s">
        <v>66</v>
      </c>
      <c r="T17" s="112"/>
    </row>
    <row r="18" spans="1:20" s="2" customFormat="1" ht="33" customHeight="1" x14ac:dyDescent="0.15">
      <c r="A18"/>
      <c r="B18" s="145"/>
      <c r="C18" s="109" t="s">
        <v>68</v>
      </c>
      <c r="D18" s="38"/>
      <c r="E18" s="39">
        <v>3</v>
      </c>
      <c r="F18" s="40"/>
      <c r="G18" s="39">
        <v>3</v>
      </c>
      <c r="H18" s="40"/>
      <c r="I18" s="41">
        <f t="shared" si="0"/>
        <v>0</v>
      </c>
      <c r="J18" s="42">
        <f t="shared" si="4"/>
        <v>0</v>
      </c>
      <c r="K18" s="43">
        <f t="shared" si="2"/>
        <v>0</v>
      </c>
      <c r="L18" s="44" t="str">
        <f t="shared" si="3"/>
        <v/>
      </c>
      <c r="M18" s="45"/>
      <c r="N18" s="45"/>
      <c r="P18" s="2" t="s">
        <v>69</v>
      </c>
      <c r="Q18" s="2" t="s">
        <v>70</v>
      </c>
      <c r="R18" s="2" t="s">
        <v>71</v>
      </c>
    </row>
    <row r="19" spans="1:20" s="2" customFormat="1" ht="33" customHeight="1" thickBot="1" x14ac:dyDescent="0.2">
      <c r="A19"/>
      <c r="B19" s="145"/>
      <c r="C19" s="109" t="s">
        <v>72</v>
      </c>
      <c r="D19" s="38"/>
      <c r="E19" s="39">
        <v>1</v>
      </c>
      <c r="F19" s="40"/>
      <c r="G19" s="39">
        <v>1</v>
      </c>
      <c r="H19" s="40"/>
      <c r="I19" s="57">
        <f t="shared" si="0"/>
        <v>0</v>
      </c>
      <c r="J19" s="58">
        <f t="shared" si="4"/>
        <v>0</v>
      </c>
      <c r="K19" s="59">
        <f t="shared" si="2"/>
        <v>0</v>
      </c>
      <c r="L19" s="60" t="str">
        <f t="shared" si="3"/>
        <v/>
      </c>
      <c r="P19" s="2" t="s">
        <v>73</v>
      </c>
    </row>
    <row r="20" spans="1:20" s="2" customFormat="1" ht="33" customHeight="1" thickBot="1" x14ac:dyDescent="0.2">
      <c r="A20"/>
      <c r="B20" s="146"/>
      <c r="C20" s="150" t="s">
        <v>74</v>
      </c>
      <c r="D20" s="151"/>
      <c r="E20" s="61">
        <f>SUM(E5:E19)</f>
        <v>51</v>
      </c>
      <c r="F20" s="62">
        <f>SUM(F5:F19)</f>
        <v>78</v>
      </c>
      <c r="G20" s="61">
        <f>SUM(G5:G19)</f>
        <v>51</v>
      </c>
      <c r="H20" s="62">
        <f>SUM(H5:H19)</f>
        <v>68</v>
      </c>
      <c r="I20" s="63">
        <f>SUM(I5:I19)</f>
        <v>0</v>
      </c>
      <c r="J20" s="64">
        <f t="shared" si="4"/>
        <v>0</v>
      </c>
      <c r="K20" s="65">
        <f>SUM(K5:K19)</f>
        <v>-10</v>
      </c>
      <c r="L20" s="66">
        <f t="shared" si="3"/>
        <v>-0.12820512820512819</v>
      </c>
    </row>
    <row r="21" spans="1:20" s="2" customFormat="1" ht="33" customHeight="1" x14ac:dyDescent="0.15">
      <c r="A21"/>
      <c r="B21" s="144" t="s">
        <v>75</v>
      </c>
      <c r="C21" s="140" t="s">
        <v>76</v>
      </c>
      <c r="D21" s="141"/>
      <c r="E21" s="67"/>
      <c r="F21" s="68">
        <v>4</v>
      </c>
      <c r="G21" s="67"/>
      <c r="H21" s="68">
        <v>4</v>
      </c>
      <c r="I21" s="41"/>
      <c r="J21" s="42"/>
      <c r="K21" s="43">
        <f t="shared" ref="K21:K32" si="5">H21-F21</f>
        <v>0</v>
      </c>
      <c r="L21" s="44">
        <f t="shared" si="3"/>
        <v>0</v>
      </c>
      <c r="M21" s="46"/>
      <c r="P21" s="69" t="s">
        <v>77</v>
      </c>
      <c r="Q21" s="69" t="s">
        <v>78</v>
      </c>
      <c r="R21" s="2" t="s">
        <v>79</v>
      </c>
      <c r="S21" s="2" t="s">
        <v>80</v>
      </c>
    </row>
    <row r="22" spans="1:20" s="2" customFormat="1" ht="33" customHeight="1" x14ac:dyDescent="0.15">
      <c r="A22"/>
      <c r="B22" s="145"/>
      <c r="C22" s="140" t="s">
        <v>81</v>
      </c>
      <c r="D22" s="141"/>
      <c r="E22" s="67"/>
      <c r="F22" s="68">
        <v>5</v>
      </c>
      <c r="G22" s="67"/>
      <c r="H22" s="68">
        <v>5</v>
      </c>
      <c r="I22" s="41"/>
      <c r="J22" s="42"/>
      <c r="K22" s="43">
        <f t="shared" si="5"/>
        <v>0</v>
      </c>
      <c r="L22" s="44">
        <f t="shared" si="3"/>
        <v>0</v>
      </c>
      <c r="M22" s="45"/>
      <c r="N22" s="46"/>
      <c r="P22" s="2" t="s">
        <v>82</v>
      </c>
      <c r="Q22" s="2" t="s">
        <v>83</v>
      </c>
      <c r="R22" s="2" t="s">
        <v>84</v>
      </c>
      <c r="S22" s="2" t="s">
        <v>110</v>
      </c>
      <c r="T22" s="2" t="s">
        <v>85</v>
      </c>
    </row>
    <row r="23" spans="1:20" s="2" customFormat="1" ht="33" customHeight="1" x14ac:dyDescent="0.15">
      <c r="A23"/>
      <c r="B23" s="145"/>
      <c r="C23" s="140" t="s">
        <v>86</v>
      </c>
      <c r="D23" s="141"/>
      <c r="E23" s="67"/>
      <c r="F23" s="68">
        <v>4</v>
      </c>
      <c r="G23" s="67"/>
      <c r="H23" s="68">
        <v>4</v>
      </c>
      <c r="I23" s="41"/>
      <c r="J23" s="42"/>
      <c r="K23" s="43">
        <f t="shared" si="5"/>
        <v>0</v>
      </c>
      <c r="L23" s="44">
        <f t="shared" si="3"/>
        <v>0</v>
      </c>
      <c r="M23" s="46"/>
      <c r="P23" s="2" t="s">
        <v>87</v>
      </c>
      <c r="Q23" s="2" t="s">
        <v>88</v>
      </c>
      <c r="R23" s="2" t="s">
        <v>89</v>
      </c>
      <c r="S23" s="2" t="s">
        <v>90</v>
      </c>
    </row>
    <row r="24" spans="1:20" s="2" customFormat="1" ht="33" customHeight="1" x14ac:dyDescent="0.15">
      <c r="A24"/>
      <c r="B24" s="145"/>
      <c r="C24" s="140" t="s">
        <v>91</v>
      </c>
      <c r="D24" s="141"/>
      <c r="E24" s="67"/>
      <c r="F24" s="68">
        <v>2</v>
      </c>
      <c r="G24" s="67"/>
      <c r="H24" s="68">
        <v>2</v>
      </c>
      <c r="I24" s="41"/>
      <c r="J24" s="42"/>
      <c r="K24" s="43">
        <f t="shared" si="5"/>
        <v>0</v>
      </c>
      <c r="L24" s="44">
        <f t="shared" si="3"/>
        <v>0</v>
      </c>
      <c r="M24" s="46"/>
      <c r="P24" s="2" t="s">
        <v>92</v>
      </c>
      <c r="Q24" s="2" t="s">
        <v>93</v>
      </c>
    </row>
    <row r="25" spans="1:20" s="2" customFormat="1" ht="33" customHeight="1" x14ac:dyDescent="0.15">
      <c r="A25"/>
      <c r="B25" s="145"/>
      <c r="C25" s="140" t="s">
        <v>94</v>
      </c>
      <c r="D25" s="141"/>
      <c r="E25" s="67"/>
      <c r="F25" s="68">
        <v>2</v>
      </c>
      <c r="G25" s="67"/>
      <c r="H25" s="68">
        <v>2</v>
      </c>
      <c r="I25" s="41"/>
      <c r="J25" s="42"/>
      <c r="K25" s="43">
        <f t="shared" si="5"/>
        <v>0</v>
      </c>
      <c r="L25" s="44">
        <f t="shared" si="3"/>
        <v>0</v>
      </c>
      <c r="P25" s="2" t="s">
        <v>95</v>
      </c>
      <c r="Q25" s="2" t="s">
        <v>96</v>
      </c>
    </row>
    <row r="26" spans="1:20" s="2" customFormat="1" ht="33" customHeight="1" x14ac:dyDescent="0.15">
      <c r="A26"/>
      <c r="B26" s="145"/>
      <c r="C26" s="140" t="s">
        <v>97</v>
      </c>
      <c r="D26" s="141"/>
      <c r="E26" s="67"/>
      <c r="F26" s="68">
        <v>2</v>
      </c>
      <c r="G26" s="67"/>
      <c r="H26" s="68">
        <v>2</v>
      </c>
      <c r="I26" s="41"/>
      <c r="J26" s="42"/>
      <c r="K26" s="43">
        <f t="shared" si="5"/>
        <v>0</v>
      </c>
      <c r="L26" s="44">
        <f t="shared" si="3"/>
        <v>0</v>
      </c>
      <c r="P26" s="2" t="s">
        <v>98</v>
      </c>
      <c r="Q26" s="2" t="s">
        <v>99</v>
      </c>
    </row>
    <row r="27" spans="1:20" s="2" customFormat="1" ht="33" customHeight="1" x14ac:dyDescent="0.15">
      <c r="A27"/>
      <c r="B27" s="145"/>
      <c r="C27" s="140" t="s">
        <v>100</v>
      </c>
      <c r="D27" s="141"/>
      <c r="E27" s="67"/>
      <c r="F27" s="68">
        <v>2</v>
      </c>
      <c r="G27" s="67"/>
      <c r="H27" s="68">
        <v>2</v>
      </c>
      <c r="I27" s="41"/>
      <c r="J27" s="42"/>
      <c r="K27" s="43">
        <f t="shared" si="5"/>
        <v>0</v>
      </c>
      <c r="L27" s="44">
        <f t="shared" si="3"/>
        <v>0</v>
      </c>
      <c r="P27" s="2" t="s">
        <v>101</v>
      </c>
      <c r="Q27" s="2" t="s">
        <v>102</v>
      </c>
    </row>
    <row r="28" spans="1:20" s="2" customFormat="1" ht="33" customHeight="1" x14ac:dyDescent="0.15">
      <c r="A28"/>
      <c r="B28" s="145"/>
      <c r="C28" s="140" t="s">
        <v>103</v>
      </c>
      <c r="D28" s="141"/>
      <c r="E28" s="67"/>
      <c r="F28" s="68">
        <v>2</v>
      </c>
      <c r="G28" s="67"/>
      <c r="H28" s="68">
        <v>2</v>
      </c>
      <c r="I28" s="41"/>
      <c r="J28" s="42"/>
      <c r="K28" s="43">
        <f t="shared" si="5"/>
        <v>0</v>
      </c>
      <c r="L28" s="44">
        <f t="shared" si="3"/>
        <v>0</v>
      </c>
      <c r="P28" s="2" t="s">
        <v>104</v>
      </c>
      <c r="Q28" s="2" t="s">
        <v>105</v>
      </c>
    </row>
    <row r="29" spans="1:20" s="2" customFormat="1" ht="33" customHeight="1" x14ac:dyDescent="0.15">
      <c r="A29"/>
      <c r="B29" s="145"/>
      <c r="C29" s="140" t="s">
        <v>106</v>
      </c>
      <c r="D29" s="141"/>
      <c r="E29" s="70"/>
      <c r="F29" s="71">
        <v>1</v>
      </c>
      <c r="G29" s="70"/>
      <c r="H29" s="71">
        <v>2</v>
      </c>
      <c r="I29" s="41"/>
      <c r="J29" s="42"/>
      <c r="K29" s="43">
        <f t="shared" si="5"/>
        <v>1</v>
      </c>
      <c r="L29" s="44">
        <f t="shared" si="3"/>
        <v>1</v>
      </c>
      <c r="M29" s="45"/>
      <c r="P29" s="2" t="s">
        <v>107</v>
      </c>
      <c r="Q29" s="2" t="s">
        <v>108</v>
      </c>
    </row>
    <row r="30" spans="1:20" s="2" customFormat="1" ht="33" customHeight="1" x14ac:dyDescent="0.15">
      <c r="A30"/>
      <c r="B30" s="145"/>
      <c r="C30" s="138" t="s">
        <v>109</v>
      </c>
      <c r="D30" s="139"/>
      <c r="E30" s="70"/>
      <c r="F30" s="71">
        <v>1</v>
      </c>
      <c r="G30" s="70"/>
      <c r="H30" s="71">
        <v>2</v>
      </c>
      <c r="I30" s="41"/>
      <c r="J30" s="42"/>
      <c r="K30" s="43">
        <f t="shared" si="5"/>
        <v>1</v>
      </c>
      <c r="L30" s="44">
        <f t="shared" si="3"/>
        <v>1</v>
      </c>
      <c r="M30" s="46"/>
      <c r="P30" s="2" t="s">
        <v>225</v>
      </c>
      <c r="Q30" s="2" t="s">
        <v>227</v>
      </c>
    </row>
    <row r="31" spans="1:20" s="2" customFormat="1" ht="33" customHeight="1" x14ac:dyDescent="0.15">
      <c r="A31"/>
      <c r="B31" s="145"/>
      <c r="C31" s="138" t="s">
        <v>111</v>
      </c>
      <c r="D31" s="139"/>
      <c r="E31" s="70"/>
      <c r="F31" s="71">
        <v>1</v>
      </c>
      <c r="G31" s="70"/>
      <c r="H31" s="71">
        <v>2</v>
      </c>
      <c r="I31" s="41"/>
      <c r="J31" s="42"/>
      <c r="K31" s="43">
        <f t="shared" si="5"/>
        <v>1</v>
      </c>
      <c r="L31" s="44">
        <f t="shared" si="3"/>
        <v>1</v>
      </c>
      <c r="M31" s="46"/>
      <c r="P31" s="2" t="s">
        <v>112</v>
      </c>
      <c r="Q31" s="2" t="s">
        <v>273</v>
      </c>
    </row>
    <row r="32" spans="1:20" s="2" customFormat="1" ht="33" customHeight="1" thickBot="1" x14ac:dyDescent="0.2">
      <c r="A32"/>
      <c r="B32" s="145"/>
      <c r="C32" s="154" t="s">
        <v>113</v>
      </c>
      <c r="D32" s="130"/>
      <c r="E32" s="72"/>
      <c r="F32" s="73">
        <v>0</v>
      </c>
      <c r="G32" s="72"/>
      <c r="H32" s="73">
        <v>2</v>
      </c>
      <c r="I32" s="41"/>
      <c r="J32" s="42"/>
      <c r="K32" s="43">
        <f t="shared" si="5"/>
        <v>2</v>
      </c>
      <c r="L32" s="44" t="str">
        <f t="shared" si="3"/>
        <v/>
      </c>
      <c r="M32" s="46"/>
      <c r="P32" s="2" t="s">
        <v>218</v>
      </c>
      <c r="Q32" s="2" t="s">
        <v>221</v>
      </c>
    </row>
    <row r="33" spans="1:25" s="2" customFormat="1" ht="33" customHeight="1" thickBot="1" x14ac:dyDescent="0.2">
      <c r="A33"/>
      <c r="B33" s="146"/>
      <c r="C33" s="142" t="s">
        <v>74</v>
      </c>
      <c r="D33" s="143"/>
      <c r="E33" s="74">
        <f>SUM(E21:E32)</f>
        <v>0</v>
      </c>
      <c r="F33" s="75">
        <f>SUM(F21:F32)</f>
        <v>26</v>
      </c>
      <c r="G33" s="74">
        <f>SUM(G21:G32)</f>
        <v>0</v>
      </c>
      <c r="H33" s="75">
        <f>SUM(H21:H32)</f>
        <v>31</v>
      </c>
      <c r="I33" s="63">
        <f>G33-E33</f>
        <v>0</v>
      </c>
      <c r="J33" s="76" t="str">
        <f>IFERROR(I33/E33,"")</f>
        <v/>
      </c>
      <c r="K33" s="65">
        <f>SUM(K21:K31)</f>
        <v>3</v>
      </c>
      <c r="L33" s="66">
        <f t="shared" si="3"/>
        <v>0.11538461538461539</v>
      </c>
    </row>
    <row r="34" spans="1:25" s="2" customFormat="1" ht="33" customHeight="1" x14ac:dyDescent="0.15">
      <c r="A34"/>
      <c r="B34" s="144" t="s">
        <v>114</v>
      </c>
      <c r="C34" s="132" t="s">
        <v>115</v>
      </c>
      <c r="D34" s="133"/>
      <c r="E34" s="77"/>
      <c r="F34" s="78">
        <v>8</v>
      </c>
      <c r="G34" s="77"/>
      <c r="H34" s="79">
        <v>10</v>
      </c>
      <c r="I34" s="80"/>
      <c r="J34" s="81" t="str">
        <f>IFERROR(I34/E34,"")</f>
        <v/>
      </c>
      <c r="K34" s="82">
        <f>H34-F34</f>
        <v>2</v>
      </c>
      <c r="L34" s="83">
        <f t="shared" si="3"/>
        <v>0.25</v>
      </c>
      <c r="M34" s="45"/>
      <c r="N34" s="45"/>
      <c r="P34" s="2" t="s">
        <v>116</v>
      </c>
      <c r="Q34" s="2" t="s">
        <v>121</v>
      </c>
      <c r="R34" s="84" t="s">
        <v>125</v>
      </c>
      <c r="S34" s="2" t="s">
        <v>118</v>
      </c>
      <c r="T34" s="2" t="s">
        <v>120</v>
      </c>
      <c r="U34" s="2" t="s">
        <v>117</v>
      </c>
      <c r="V34" s="2" t="s">
        <v>119</v>
      </c>
      <c r="W34" s="2" t="s">
        <v>122</v>
      </c>
      <c r="X34" s="2" t="s">
        <v>123</v>
      </c>
      <c r="Y34" s="2" t="s">
        <v>124</v>
      </c>
    </row>
    <row r="35" spans="1:25" s="2" customFormat="1" ht="33" customHeight="1" x14ac:dyDescent="0.15">
      <c r="A35"/>
      <c r="B35" s="145"/>
      <c r="C35" s="147" t="s">
        <v>126</v>
      </c>
      <c r="D35" s="148"/>
      <c r="E35" s="48"/>
      <c r="F35" s="49">
        <v>6</v>
      </c>
      <c r="G35" s="48"/>
      <c r="H35" s="49">
        <v>5</v>
      </c>
      <c r="I35" s="26"/>
      <c r="J35" s="27" t="str">
        <f>IFERROR(I35/E35,"")</f>
        <v/>
      </c>
      <c r="K35" s="28">
        <f>H35-F35</f>
        <v>-1</v>
      </c>
      <c r="L35" s="29">
        <f t="shared" si="3"/>
        <v>-0.16666666666666666</v>
      </c>
      <c r="M35" s="45"/>
      <c r="P35" s="2" t="s">
        <v>124</v>
      </c>
      <c r="Q35" s="2" t="s">
        <v>130</v>
      </c>
      <c r="R35" s="2" t="s">
        <v>129</v>
      </c>
      <c r="S35" s="2" t="s">
        <v>127</v>
      </c>
      <c r="T35" s="2" t="s">
        <v>128</v>
      </c>
    </row>
    <row r="36" spans="1:25" s="2" customFormat="1" ht="33" customHeight="1" x14ac:dyDescent="0.15">
      <c r="A36"/>
      <c r="B36" s="145"/>
      <c r="C36" s="147" t="s">
        <v>131</v>
      </c>
      <c r="D36" s="148"/>
      <c r="E36" s="48"/>
      <c r="F36" s="85">
        <v>7</v>
      </c>
      <c r="G36" s="48"/>
      <c r="H36" s="49">
        <v>7</v>
      </c>
      <c r="I36" s="26"/>
      <c r="J36" s="27" t="str">
        <f>IFERROR(I36/E36,"")</f>
        <v/>
      </c>
      <c r="K36" s="28">
        <f>H36-F36</f>
        <v>0</v>
      </c>
      <c r="L36" s="29">
        <f t="shared" si="3"/>
        <v>0</v>
      </c>
      <c r="M36" s="45"/>
      <c r="P36" s="2" t="s">
        <v>133</v>
      </c>
      <c r="Q36" s="84" t="s">
        <v>116</v>
      </c>
      <c r="R36" s="2" t="s">
        <v>132</v>
      </c>
      <c r="S36" s="2" t="s">
        <v>136</v>
      </c>
      <c r="T36" s="2" t="s">
        <v>134</v>
      </c>
      <c r="U36" s="2" t="s">
        <v>135</v>
      </c>
      <c r="V36" s="2" t="s">
        <v>124</v>
      </c>
    </row>
    <row r="37" spans="1:25" s="2" customFormat="1" ht="33" customHeight="1" x14ac:dyDescent="0.15">
      <c r="A37"/>
      <c r="B37" s="145"/>
      <c r="C37" s="147" t="s">
        <v>137</v>
      </c>
      <c r="D37" s="148"/>
      <c r="E37" s="48"/>
      <c r="F37" s="49">
        <v>1</v>
      </c>
      <c r="G37" s="48"/>
      <c r="H37" s="49">
        <v>1</v>
      </c>
      <c r="I37" s="26"/>
      <c r="J37" s="27" t="str">
        <f>IFERROR(I37/E37,"")</f>
        <v/>
      </c>
      <c r="K37" s="28">
        <f>H37-F37</f>
        <v>0</v>
      </c>
      <c r="L37" s="29">
        <f t="shared" si="3"/>
        <v>0</v>
      </c>
      <c r="P37" s="2" t="s">
        <v>138</v>
      </c>
    </row>
    <row r="38" spans="1:25" s="2" customFormat="1" ht="33" customHeight="1" thickBot="1" x14ac:dyDescent="0.2">
      <c r="A38"/>
      <c r="B38" s="145"/>
      <c r="C38" s="155"/>
      <c r="D38" s="156"/>
      <c r="E38" s="86"/>
      <c r="F38" s="87"/>
      <c r="G38" s="86"/>
      <c r="H38" s="87"/>
      <c r="I38" s="88"/>
      <c r="J38" s="89" t="str">
        <f>IFERROR(H38/F38,"")</f>
        <v/>
      </c>
      <c r="K38" s="90"/>
      <c r="L38" s="91"/>
    </row>
    <row r="39" spans="1:25" s="2" customFormat="1" ht="33" customHeight="1" thickBot="1" x14ac:dyDescent="0.2">
      <c r="A39"/>
      <c r="B39" s="146"/>
      <c r="C39" s="152" t="s">
        <v>74</v>
      </c>
      <c r="D39" s="153"/>
      <c r="E39" s="92">
        <f>SUM(E34:E38)</f>
        <v>0</v>
      </c>
      <c r="F39" s="93">
        <f>SUM(F34:F38)</f>
        <v>22</v>
      </c>
      <c r="G39" s="92">
        <f>SUM(G34:G38)</f>
        <v>0</v>
      </c>
      <c r="H39" s="93">
        <f>SUM(H34:H38)</f>
        <v>23</v>
      </c>
      <c r="I39" s="63">
        <f>SUM(I34:I38)</f>
        <v>0</v>
      </c>
      <c r="J39" s="76" t="str">
        <f>IFERROR(I39/E39,"")</f>
        <v/>
      </c>
      <c r="K39" s="65">
        <f>SUM(K34:K38)</f>
        <v>1</v>
      </c>
      <c r="L39" s="66">
        <f>IFERROR(K39/F39,"")</f>
        <v>4.5454545454545456E-2</v>
      </c>
    </row>
    <row r="40" spans="1:25" s="2" customFormat="1" ht="33" customHeight="1" thickBot="1" x14ac:dyDescent="0.2">
      <c r="A40"/>
      <c r="B40" s="134" t="s">
        <v>139</v>
      </c>
      <c r="C40" s="135"/>
      <c r="D40" s="135"/>
      <c r="E40" s="94">
        <f>E20+E33+E39</f>
        <v>51</v>
      </c>
      <c r="F40" s="95">
        <f>F20+F33+F39</f>
        <v>126</v>
      </c>
      <c r="G40" s="94">
        <f>G20+G33+G39</f>
        <v>51</v>
      </c>
      <c r="H40" s="95">
        <f>H20+H33+H39</f>
        <v>122</v>
      </c>
      <c r="I40" s="11">
        <f>I20+I33+I39</f>
        <v>0</v>
      </c>
      <c r="J40" s="12">
        <f>I40/E40</f>
        <v>0</v>
      </c>
      <c r="K40" s="13">
        <f>K20+K33+K39</f>
        <v>-6</v>
      </c>
      <c r="L40" s="14">
        <f>K40/F40</f>
        <v>-4.7619047619047616E-2</v>
      </c>
    </row>
    <row r="41" spans="1:25" s="2" customFormat="1" ht="33" customHeight="1" thickBot="1" x14ac:dyDescent="0.2">
      <c r="A41"/>
      <c r="B41" s="136"/>
      <c r="C41" s="137"/>
      <c r="D41" s="137"/>
      <c r="E41" s="160">
        <f>SUM(E40:F40)</f>
        <v>177</v>
      </c>
      <c r="F41" s="143"/>
      <c r="G41" s="160">
        <f>SUM(G40:H40)</f>
        <v>173</v>
      </c>
      <c r="H41" s="143"/>
      <c r="I41" s="129">
        <f>SUM(I40,K40)</f>
        <v>-6</v>
      </c>
      <c r="J41" s="130"/>
      <c r="K41" s="131"/>
      <c r="L41" s="100">
        <f>I41/E41</f>
        <v>-3.3898305084745763E-2</v>
      </c>
    </row>
    <row r="42" spans="1:25" s="2" customFormat="1" ht="18" customHeight="1" x14ac:dyDescent="0.15">
      <c r="I42" s="1"/>
      <c r="J42" s="1"/>
      <c r="K42" s="1"/>
      <c r="L42" s="1"/>
    </row>
    <row r="43" spans="1:25" s="2" customFormat="1" ht="18" customHeight="1" x14ac:dyDescent="0.15">
      <c r="B43" s="46" t="s">
        <v>140</v>
      </c>
      <c r="C43" s="46">
        <v>16</v>
      </c>
      <c r="E43"/>
      <c r="F43"/>
      <c r="G43"/>
      <c r="H43"/>
      <c r="I43"/>
      <c r="J43"/>
      <c r="K43"/>
      <c r="L43"/>
      <c r="M43"/>
      <c r="N43"/>
    </row>
    <row r="44" spans="1:25" ht="18" customHeight="1" x14ac:dyDescent="0.15">
      <c r="B44" s="46" t="s">
        <v>141</v>
      </c>
      <c r="C44" s="46">
        <v>2</v>
      </c>
      <c r="E44"/>
      <c r="F44"/>
      <c r="G44"/>
      <c r="H44"/>
      <c r="I44"/>
      <c r="J44"/>
      <c r="K44"/>
      <c r="L44"/>
      <c r="M44"/>
      <c r="N44"/>
      <c r="P44" s="2"/>
      <c r="Q44" s="2"/>
      <c r="R44" s="2"/>
    </row>
    <row r="45" spans="1:25" x14ac:dyDescent="0.15">
      <c r="B45" s="96" t="s">
        <v>142</v>
      </c>
      <c r="C45" s="97">
        <f>SUM(C43:C44,G41)</f>
        <v>191</v>
      </c>
      <c r="E45"/>
      <c r="F45"/>
      <c r="G45"/>
      <c r="H45"/>
      <c r="I45"/>
      <c r="J45"/>
      <c r="K45"/>
      <c r="L45"/>
      <c r="M45"/>
      <c r="N45"/>
      <c r="P45" s="46"/>
      <c r="Q45" s="46"/>
      <c r="R45" s="46"/>
    </row>
    <row r="46" spans="1:25" x14ac:dyDescent="0.15">
      <c r="E46"/>
      <c r="F46"/>
      <c r="G46"/>
      <c r="H46"/>
      <c r="I46"/>
      <c r="J46"/>
      <c r="K46"/>
      <c r="L46"/>
      <c r="M46"/>
      <c r="N46"/>
      <c r="P46" s="46"/>
      <c r="Q46" s="46"/>
      <c r="R46" s="46"/>
    </row>
    <row r="47" spans="1:25" x14ac:dyDescent="0.15">
      <c r="E47"/>
      <c r="F47"/>
      <c r="G47"/>
      <c r="H47"/>
      <c r="I47"/>
      <c r="J47"/>
      <c r="K47"/>
      <c r="L47"/>
      <c r="M47"/>
      <c r="N47"/>
      <c r="P47" s="46"/>
      <c r="Q47" s="46"/>
      <c r="R47" s="46"/>
    </row>
    <row r="48" spans="1:25" x14ac:dyDescent="0.15">
      <c r="E48"/>
      <c r="F48"/>
      <c r="G48"/>
      <c r="H48"/>
      <c r="I48"/>
      <c r="J48"/>
      <c r="K48"/>
      <c r="L48"/>
      <c r="M48"/>
      <c r="N48"/>
      <c r="P48" s="46"/>
      <c r="Q48" s="46"/>
      <c r="R48" s="46"/>
    </row>
    <row r="49" spans="5:18" x14ac:dyDescent="0.15">
      <c r="E49"/>
      <c r="F49"/>
      <c r="G49"/>
      <c r="H49"/>
      <c r="I49"/>
      <c r="J49"/>
      <c r="K49"/>
      <c r="L49"/>
      <c r="M49"/>
      <c r="N49"/>
      <c r="P49" s="46"/>
      <c r="Q49" s="46"/>
      <c r="R49" s="46"/>
    </row>
    <row r="50" spans="5:18" x14ac:dyDescent="0.15">
      <c r="E50"/>
      <c r="F50"/>
      <c r="G50"/>
      <c r="H50"/>
      <c r="I50"/>
      <c r="J50"/>
      <c r="K50"/>
      <c r="L50"/>
      <c r="M50"/>
      <c r="N50"/>
      <c r="P50" s="46"/>
      <c r="Q50" s="46"/>
      <c r="R50" s="46"/>
    </row>
    <row r="51" spans="5:18" x14ac:dyDescent="0.15">
      <c r="E51"/>
      <c r="F51"/>
      <c r="G51"/>
      <c r="H51"/>
      <c r="I51"/>
      <c r="J51"/>
      <c r="K51"/>
      <c r="L51"/>
      <c r="M51"/>
      <c r="N51"/>
      <c r="P51" s="46"/>
      <c r="Q51" s="46"/>
      <c r="R51" s="46"/>
    </row>
    <row r="52" spans="5:18" x14ac:dyDescent="0.15">
      <c r="E52"/>
      <c r="F52"/>
      <c r="G52"/>
      <c r="H52"/>
      <c r="I52"/>
      <c r="J52"/>
      <c r="K52"/>
      <c r="L52"/>
      <c r="M52"/>
      <c r="N52"/>
      <c r="P52" s="46"/>
      <c r="Q52" s="46"/>
      <c r="R52" s="46"/>
    </row>
    <row r="53" spans="5:18" x14ac:dyDescent="0.15">
      <c r="E53"/>
      <c r="F53"/>
      <c r="G53"/>
      <c r="H53"/>
      <c r="I53"/>
      <c r="J53"/>
      <c r="K53"/>
      <c r="L53"/>
      <c r="M53"/>
      <c r="N53"/>
      <c r="P53" s="46"/>
      <c r="Q53" s="46"/>
      <c r="R53" s="46"/>
    </row>
    <row r="54" spans="5:18" x14ac:dyDescent="0.15">
      <c r="E54"/>
      <c r="F54"/>
      <c r="G54"/>
      <c r="H54"/>
      <c r="I54"/>
      <c r="J54"/>
      <c r="K54"/>
      <c r="L54"/>
      <c r="M54"/>
      <c r="N54"/>
      <c r="P54" s="46"/>
      <c r="Q54" s="46"/>
      <c r="R54" s="46"/>
    </row>
    <row r="55" spans="5:18" x14ac:dyDescent="0.15">
      <c r="E55"/>
      <c r="F55"/>
      <c r="G55"/>
      <c r="H55"/>
      <c r="I55"/>
      <c r="J55"/>
      <c r="K55"/>
      <c r="L55"/>
      <c r="M55"/>
      <c r="N55"/>
      <c r="P55" s="46"/>
      <c r="Q55" s="46"/>
      <c r="R55" s="46"/>
    </row>
    <row r="56" spans="5:18" x14ac:dyDescent="0.15">
      <c r="E56"/>
      <c r="F56"/>
      <c r="G56"/>
      <c r="H56"/>
      <c r="I56"/>
      <c r="J56"/>
      <c r="K56"/>
      <c r="L56"/>
      <c r="M56"/>
      <c r="N56"/>
      <c r="P56" s="46"/>
      <c r="Q56" s="46"/>
      <c r="R56" s="46"/>
    </row>
    <row r="57" spans="5:18" x14ac:dyDescent="0.15">
      <c r="E57"/>
      <c r="F57"/>
      <c r="G57"/>
      <c r="H57"/>
      <c r="I57"/>
      <c r="J57"/>
      <c r="K57"/>
      <c r="L57"/>
      <c r="M57"/>
      <c r="N57"/>
      <c r="P57" s="46"/>
      <c r="Q57" s="46"/>
      <c r="R57" s="46"/>
    </row>
    <row r="58" spans="5:18" x14ac:dyDescent="0.15">
      <c r="E58"/>
      <c r="F58"/>
      <c r="G58"/>
      <c r="H58"/>
      <c r="I58"/>
      <c r="J58"/>
      <c r="K58"/>
      <c r="L58"/>
      <c r="M58"/>
      <c r="N58"/>
      <c r="P58" s="46"/>
      <c r="Q58" s="46"/>
      <c r="R58" s="46"/>
    </row>
    <row r="59" spans="5:18" x14ac:dyDescent="0.15">
      <c r="E59"/>
      <c r="F59"/>
      <c r="G59"/>
      <c r="H59"/>
      <c r="I59"/>
      <c r="J59"/>
      <c r="K59"/>
      <c r="L59"/>
      <c r="M59"/>
      <c r="N59"/>
      <c r="P59" s="46"/>
      <c r="Q59" s="46"/>
      <c r="R59" s="46"/>
    </row>
    <row r="60" spans="5:18" x14ac:dyDescent="0.15">
      <c r="E60"/>
      <c r="F60"/>
      <c r="G60"/>
      <c r="H60"/>
      <c r="I60"/>
      <c r="J60"/>
      <c r="K60"/>
      <c r="L60"/>
      <c r="M60"/>
      <c r="N60"/>
      <c r="P60" s="46"/>
      <c r="Q60" s="46"/>
      <c r="R60" s="46"/>
    </row>
    <row r="61" spans="5:18" x14ac:dyDescent="0.15">
      <c r="E61"/>
      <c r="F61"/>
      <c r="G61"/>
      <c r="H61"/>
      <c r="I61"/>
      <c r="J61"/>
      <c r="K61"/>
      <c r="L61"/>
      <c r="M61"/>
      <c r="N61"/>
      <c r="P61" s="46"/>
      <c r="Q61" s="46"/>
      <c r="R61" s="46"/>
    </row>
    <row r="62" spans="5:18" x14ac:dyDescent="0.15">
      <c r="E62"/>
      <c r="F62"/>
      <c r="G62"/>
      <c r="H62"/>
      <c r="I62"/>
      <c r="J62"/>
      <c r="K62"/>
      <c r="L62"/>
      <c r="M62"/>
      <c r="N62"/>
      <c r="P62" s="46"/>
      <c r="Q62" s="46"/>
      <c r="R62" s="46"/>
    </row>
    <row r="63" spans="5:18" x14ac:dyDescent="0.15">
      <c r="E63"/>
      <c r="F63"/>
      <c r="G63"/>
      <c r="H63"/>
      <c r="I63"/>
      <c r="J63"/>
      <c r="K63"/>
      <c r="L63"/>
      <c r="M63"/>
      <c r="N63"/>
      <c r="P63" s="46"/>
      <c r="Q63" s="46"/>
      <c r="R63" s="46"/>
    </row>
    <row r="64" spans="5:18" x14ac:dyDescent="0.15">
      <c r="E64"/>
      <c r="F64"/>
      <c r="G64"/>
      <c r="H64"/>
      <c r="I64"/>
      <c r="J64"/>
      <c r="K64"/>
      <c r="L64"/>
      <c r="M64"/>
      <c r="N64"/>
      <c r="P64" s="46"/>
      <c r="Q64" s="46"/>
      <c r="R64" s="46"/>
    </row>
    <row r="65" spans="5:18" x14ac:dyDescent="0.15">
      <c r="E65"/>
      <c r="F65"/>
      <c r="G65"/>
      <c r="H65"/>
      <c r="I65"/>
      <c r="J65"/>
      <c r="K65"/>
      <c r="L65"/>
      <c r="M65"/>
      <c r="N65"/>
      <c r="P65" s="46"/>
      <c r="Q65" s="46"/>
      <c r="R65" s="46"/>
    </row>
    <row r="66" spans="5:18" x14ac:dyDescent="0.15">
      <c r="E66"/>
      <c r="F66"/>
      <c r="G66"/>
      <c r="H66"/>
      <c r="I66"/>
      <c r="J66"/>
      <c r="K66"/>
      <c r="L66"/>
      <c r="M66"/>
      <c r="N66"/>
      <c r="P66" s="46"/>
      <c r="Q66" s="46"/>
      <c r="R66" s="46"/>
    </row>
    <row r="67" spans="5:18" x14ac:dyDescent="0.15">
      <c r="E67"/>
      <c r="F67"/>
      <c r="G67"/>
      <c r="H67"/>
      <c r="I67"/>
      <c r="J67"/>
      <c r="K67"/>
      <c r="L67"/>
      <c r="M67"/>
      <c r="N67"/>
      <c r="P67" s="46"/>
      <c r="Q67" s="46"/>
      <c r="R67" s="46"/>
    </row>
    <row r="68" spans="5:18" x14ac:dyDescent="0.15">
      <c r="E68"/>
      <c r="F68"/>
      <c r="G68"/>
      <c r="H68"/>
      <c r="I68"/>
      <c r="J68"/>
      <c r="K68"/>
      <c r="L68"/>
      <c r="M68"/>
      <c r="N68"/>
      <c r="P68" s="46"/>
      <c r="Q68" s="46"/>
      <c r="R68" s="46"/>
    </row>
    <row r="69" spans="5:18" x14ac:dyDescent="0.15">
      <c r="E69"/>
      <c r="F69"/>
      <c r="G69"/>
      <c r="H69"/>
      <c r="I69"/>
      <c r="J69"/>
      <c r="K69"/>
      <c r="L69"/>
      <c r="M69"/>
      <c r="N69"/>
      <c r="P69" s="46"/>
      <c r="Q69" s="46"/>
      <c r="R69" s="46"/>
    </row>
    <row r="70" spans="5:18" x14ac:dyDescent="0.15">
      <c r="E70"/>
      <c r="F70"/>
      <c r="G70"/>
      <c r="H70"/>
      <c r="I70"/>
      <c r="J70"/>
      <c r="K70"/>
      <c r="L70"/>
      <c r="M70"/>
      <c r="N70"/>
      <c r="P70" s="46"/>
      <c r="Q70" s="46"/>
      <c r="R70" s="46"/>
    </row>
    <row r="71" spans="5:18" x14ac:dyDescent="0.15">
      <c r="E71"/>
      <c r="F71"/>
      <c r="G71"/>
      <c r="H71"/>
      <c r="I71"/>
      <c r="J71"/>
      <c r="K71"/>
      <c r="L71"/>
      <c r="M71"/>
      <c r="N71"/>
      <c r="P71" s="46"/>
      <c r="Q71" s="46"/>
      <c r="R71" s="46"/>
    </row>
    <row r="72" spans="5:18" x14ac:dyDescent="0.15">
      <c r="E72"/>
      <c r="F72"/>
      <c r="G72"/>
      <c r="H72"/>
      <c r="I72"/>
      <c r="J72"/>
      <c r="K72"/>
      <c r="L72"/>
      <c r="M72"/>
      <c r="N72"/>
      <c r="P72" s="46"/>
      <c r="Q72" s="46"/>
      <c r="R72" s="46"/>
    </row>
    <row r="73" spans="5:18" x14ac:dyDescent="0.15">
      <c r="E73"/>
      <c r="F73"/>
      <c r="G73"/>
      <c r="H73"/>
      <c r="I73"/>
      <c r="J73"/>
      <c r="K73"/>
      <c r="L73"/>
      <c r="M73"/>
      <c r="N73"/>
      <c r="P73" s="46"/>
      <c r="Q73" s="46"/>
      <c r="R73" s="46"/>
    </row>
    <row r="74" spans="5:18" x14ac:dyDescent="0.15">
      <c r="E74"/>
      <c r="F74"/>
      <c r="G74"/>
      <c r="H74"/>
      <c r="I74"/>
      <c r="J74"/>
      <c r="K74"/>
      <c r="L74"/>
      <c r="M74"/>
      <c r="N74"/>
      <c r="P74" s="46"/>
      <c r="Q74" s="46"/>
      <c r="R74" s="46"/>
    </row>
    <row r="75" spans="5:18" x14ac:dyDescent="0.15">
      <c r="E75"/>
      <c r="F75"/>
      <c r="G75"/>
      <c r="H75"/>
      <c r="I75"/>
      <c r="J75"/>
      <c r="K75"/>
      <c r="L75"/>
      <c r="M75"/>
      <c r="N75"/>
      <c r="P75" s="46"/>
      <c r="Q75" s="46"/>
      <c r="R75" s="46"/>
    </row>
    <row r="76" spans="5:18" x14ac:dyDescent="0.15">
      <c r="E76"/>
      <c r="F76"/>
      <c r="G76"/>
      <c r="H76"/>
      <c r="I76"/>
      <c r="J76"/>
      <c r="K76"/>
      <c r="L76"/>
      <c r="M76"/>
      <c r="N76"/>
      <c r="P76" s="46"/>
      <c r="Q76" s="46"/>
      <c r="R76" s="46"/>
    </row>
    <row r="77" spans="5:18" x14ac:dyDescent="0.15">
      <c r="E77"/>
      <c r="F77"/>
      <c r="G77"/>
      <c r="H77"/>
      <c r="I77"/>
      <c r="J77"/>
      <c r="K77"/>
      <c r="L77"/>
      <c r="M77"/>
      <c r="N77"/>
      <c r="P77" s="46"/>
      <c r="Q77" s="46"/>
      <c r="R77" s="46"/>
    </row>
    <row r="78" spans="5:18" x14ac:dyDescent="0.15">
      <c r="E78"/>
      <c r="F78"/>
      <c r="G78"/>
      <c r="H78"/>
      <c r="I78"/>
      <c r="J78"/>
      <c r="K78"/>
      <c r="L78"/>
      <c r="M78"/>
      <c r="N78"/>
      <c r="P78" s="46"/>
      <c r="Q78" s="46"/>
      <c r="R78" s="46"/>
    </row>
    <row r="79" spans="5:18" x14ac:dyDescent="0.15">
      <c r="E79"/>
      <c r="F79"/>
      <c r="G79"/>
      <c r="H79"/>
      <c r="I79"/>
      <c r="J79"/>
      <c r="K79"/>
      <c r="L79"/>
      <c r="M79"/>
      <c r="N79"/>
      <c r="P79" s="46"/>
      <c r="Q79" s="46"/>
      <c r="R79" s="46"/>
    </row>
    <row r="80" spans="5:18" x14ac:dyDescent="0.15">
      <c r="E80"/>
      <c r="F80"/>
      <c r="G80"/>
      <c r="H80"/>
      <c r="I80"/>
      <c r="J80"/>
      <c r="K80"/>
      <c r="L80"/>
      <c r="M80"/>
      <c r="N80"/>
      <c r="P80" s="46"/>
      <c r="Q80" s="46"/>
      <c r="R80" s="46"/>
    </row>
    <row r="81" spans="5:18" x14ac:dyDescent="0.15">
      <c r="E81"/>
      <c r="F81"/>
      <c r="G81"/>
      <c r="H81"/>
      <c r="I81"/>
      <c r="J81"/>
      <c r="K81"/>
      <c r="L81"/>
      <c r="M81"/>
      <c r="N81"/>
      <c r="P81" s="46"/>
      <c r="Q81" s="46"/>
      <c r="R81" s="46"/>
    </row>
    <row r="82" spans="5:18" x14ac:dyDescent="0.15">
      <c r="E82"/>
      <c r="F82"/>
      <c r="G82"/>
      <c r="H82"/>
      <c r="I82"/>
      <c r="J82"/>
      <c r="K82"/>
      <c r="L82"/>
      <c r="M82"/>
      <c r="N82"/>
      <c r="P82" s="46"/>
      <c r="Q82" s="46"/>
      <c r="R82" s="46"/>
    </row>
    <row r="83" spans="5:18" x14ac:dyDescent="0.15">
      <c r="E83"/>
      <c r="F83"/>
      <c r="G83"/>
      <c r="H83"/>
      <c r="I83"/>
      <c r="J83"/>
      <c r="K83"/>
      <c r="L83"/>
      <c r="M83"/>
      <c r="N83"/>
      <c r="P83" s="46"/>
      <c r="Q83" s="46"/>
      <c r="R83" s="46"/>
    </row>
    <row r="84" spans="5:18" x14ac:dyDescent="0.15">
      <c r="E84"/>
      <c r="F84"/>
      <c r="G84"/>
      <c r="H84"/>
      <c r="I84"/>
      <c r="J84"/>
      <c r="K84"/>
      <c r="L84"/>
      <c r="M84"/>
      <c r="N84"/>
      <c r="P84" s="46"/>
      <c r="Q84" s="46"/>
      <c r="R84" s="46"/>
    </row>
    <row r="85" spans="5:18" x14ac:dyDescent="0.15">
      <c r="E85"/>
      <c r="F85"/>
      <c r="G85"/>
      <c r="H85"/>
      <c r="I85"/>
      <c r="J85"/>
      <c r="K85"/>
      <c r="L85"/>
      <c r="M85"/>
      <c r="N85"/>
      <c r="P85" s="46"/>
      <c r="Q85" s="46"/>
      <c r="R85" s="46"/>
    </row>
    <row r="86" spans="5:18" x14ac:dyDescent="0.15">
      <c r="E86"/>
      <c r="F86"/>
      <c r="G86"/>
      <c r="H86"/>
      <c r="I86"/>
      <c r="J86"/>
      <c r="K86"/>
      <c r="L86"/>
      <c r="M86"/>
      <c r="N86"/>
      <c r="P86" s="46"/>
      <c r="Q86" s="46"/>
      <c r="R86" s="46"/>
    </row>
    <row r="87" spans="5:18" x14ac:dyDescent="0.15">
      <c r="E87"/>
      <c r="F87"/>
      <c r="G87"/>
      <c r="H87"/>
      <c r="I87"/>
      <c r="J87"/>
      <c r="K87"/>
      <c r="L87"/>
      <c r="M87"/>
      <c r="N87"/>
      <c r="P87" s="46"/>
      <c r="Q87" s="46"/>
      <c r="R87" s="46"/>
    </row>
    <row r="88" spans="5:18" x14ac:dyDescent="0.15">
      <c r="E88"/>
      <c r="F88"/>
      <c r="G88"/>
      <c r="H88"/>
      <c r="I88"/>
      <c r="J88"/>
      <c r="K88"/>
      <c r="L88"/>
      <c r="M88"/>
      <c r="N88"/>
      <c r="P88" s="46"/>
      <c r="Q88" s="46"/>
      <c r="R88" s="46"/>
    </row>
    <row r="89" spans="5:18" x14ac:dyDescent="0.15">
      <c r="E89"/>
      <c r="F89"/>
      <c r="G89"/>
      <c r="H89"/>
      <c r="I89"/>
      <c r="J89"/>
      <c r="K89"/>
      <c r="L89"/>
      <c r="M89"/>
      <c r="N89"/>
      <c r="P89" s="46"/>
      <c r="Q89" s="46"/>
      <c r="R89" s="46"/>
    </row>
    <row r="90" spans="5:18" x14ac:dyDescent="0.15">
      <c r="E90"/>
      <c r="F90"/>
      <c r="G90"/>
      <c r="H90"/>
      <c r="I90"/>
      <c r="J90"/>
      <c r="K90"/>
      <c r="L90"/>
      <c r="M90"/>
      <c r="N90"/>
      <c r="P90" s="46"/>
      <c r="Q90" s="46"/>
      <c r="R90" s="46"/>
    </row>
    <row r="91" spans="5:18" x14ac:dyDescent="0.15">
      <c r="E91"/>
      <c r="F91"/>
      <c r="G91"/>
      <c r="H91"/>
      <c r="I91"/>
      <c r="J91"/>
      <c r="K91"/>
      <c r="L91"/>
      <c r="M91"/>
      <c r="N91"/>
      <c r="P91" s="46"/>
      <c r="Q91" s="46"/>
      <c r="R91" s="46"/>
    </row>
    <row r="92" spans="5:18" x14ac:dyDescent="0.15">
      <c r="E92"/>
      <c r="F92"/>
      <c r="G92"/>
      <c r="H92"/>
      <c r="I92"/>
      <c r="J92"/>
      <c r="K92"/>
      <c r="L92"/>
      <c r="M92"/>
      <c r="N92"/>
      <c r="P92" s="46"/>
      <c r="Q92" s="46"/>
      <c r="R92" s="46"/>
    </row>
    <row r="93" spans="5:18" x14ac:dyDescent="0.15">
      <c r="F93" s="46"/>
      <c r="G93" s="46"/>
      <c r="H93" s="46"/>
      <c r="I93" s="46"/>
      <c r="J93" s="46"/>
      <c r="K93" s="46"/>
      <c r="L93" s="46"/>
      <c r="M93" s="46"/>
      <c r="N93" s="46"/>
      <c r="P93" s="46"/>
      <c r="Q93" s="46"/>
      <c r="R93" s="46"/>
    </row>
    <row r="94" spans="5:18" x14ac:dyDescent="0.15">
      <c r="F94" s="46"/>
      <c r="G94" s="46"/>
      <c r="H94" s="46"/>
      <c r="I94" s="46"/>
      <c r="J94" s="46"/>
      <c r="K94" s="46"/>
      <c r="L94" s="46"/>
      <c r="M94" s="46"/>
      <c r="N94" s="46"/>
      <c r="P94" s="46"/>
      <c r="Q94" s="46"/>
      <c r="R94" s="46"/>
    </row>
    <row r="95" spans="5:18" x14ac:dyDescent="0.15">
      <c r="F95" s="46"/>
      <c r="G95" s="46"/>
      <c r="H95" s="46"/>
      <c r="I95" s="46"/>
      <c r="J95" s="46"/>
      <c r="K95" s="46"/>
      <c r="L95" s="46"/>
      <c r="M95" s="46"/>
      <c r="N95" s="46"/>
      <c r="P95" s="46"/>
      <c r="Q95" s="46"/>
      <c r="R95" s="46"/>
    </row>
    <row r="96" spans="5:18" x14ac:dyDescent="0.15">
      <c r="F96" s="46"/>
      <c r="G96" s="46"/>
      <c r="H96" s="46"/>
      <c r="I96" s="46"/>
      <c r="J96" s="46"/>
      <c r="K96" s="46"/>
      <c r="L96" s="46"/>
      <c r="M96" s="46"/>
      <c r="N96" s="46"/>
      <c r="P96" s="46"/>
      <c r="Q96" s="46"/>
      <c r="R96" s="46"/>
    </row>
    <row r="97" spans="6:18" x14ac:dyDescent="0.15">
      <c r="F97" s="46"/>
      <c r="G97" s="46"/>
      <c r="H97" s="46"/>
      <c r="I97" s="46"/>
      <c r="J97" s="46"/>
      <c r="K97" s="46"/>
      <c r="L97" s="46"/>
      <c r="M97" s="46"/>
      <c r="N97" s="46"/>
      <c r="P97" s="46"/>
      <c r="Q97" s="46"/>
      <c r="R97" s="46"/>
    </row>
    <row r="98" spans="6:18" x14ac:dyDescent="0.15">
      <c r="F98" s="46"/>
      <c r="G98" s="46"/>
      <c r="H98" s="46"/>
      <c r="I98" s="46"/>
      <c r="J98" s="46"/>
      <c r="K98" s="46"/>
      <c r="L98" s="46"/>
      <c r="M98" s="46"/>
      <c r="N98" s="46"/>
      <c r="P98" s="46"/>
      <c r="Q98" s="46"/>
      <c r="R98" s="46"/>
    </row>
    <row r="99" spans="6:18" x14ac:dyDescent="0.15">
      <c r="F99" s="46"/>
      <c r="G99" s="46"/>
      <c r="H99" s="46"/>
      <c r="I99" s="46"/>
      <c r="J99" s="46"/>
      <c r="K99" s="46"/>
      <c r="L99" s="46"/>
      <c r="M99" s="46"/>
      <c r="N99" s="46"/>
      <c r="P99" s="46"/>
      <c r="Q99" s="46"/>
      <c r="R99" s="46"/>
    </row>
    <row r="100" spans="6:18" ht="18" customHeight="1" x14ac:dyDescent="0.15">
      <c r="F100" s="46"/>
      <c r="G100" s="46"/>
      <c r="H100" s="46"/>
      <c r="I100" s="46"/>
      <c r="J100" s="46"/>
      <c r="K100" s="46"/>
      <c r="L100" s="46"/>
      <c r="M100" s="46"/>
      <c r="N100" s="46"/>
      <c r="P100" s="2"/>
      <c r="Q100" s="2"/>
      <c r="R100" s="2"/>
    </row>
    <row r="101" spans="6:18" ht="18" customHeight="1" x14ac:dyDescent="0.15">
      <c r="F101" s="46"/>
      <c r="G101" s="46"/>
      <c r="H101" s="46"/>
      <c r="I101" s="46"/>
      <c r="J101" s="46"/>
      <c r="K101" s="46"/>
      <c r="L101" s="46"/>
      <c r="M101" s="46"/>
      <c r="N101" s="46"/>
      <c r="P101" s="2"/>
      <c r="Q101" s="2"/>
      <c r="R101" s="2"/>
    </row>
    <row r="102" spans="6:18" ht="18" customHeight="1" x14ac:dyDescent="0.15">
      <c r="F102" s="46"/>
      <c r="G102" s="46"/>
      <c r="H102" s="46"/>
      <c r="I102" s="46"/>
      <c r="J102" s="46"/>
      <c r="K102" s="46"/>
      <c r="L102" s="46"/>
      <c r="M102" s="46"/>
      <c r="N102" s="46"/>
      <c r="P102" s="2"/>
      <c r="Q102" s="2"/>
      <c r="R102" s="2"/>
    </row>
    <row r="103" spans="6:18" ht="18" customHeight="1" x14ac:dyDescent="0.15">
      <c r="F103" s="46"/>
      <c r="G103" s="46"/>
      <c r="H103" s="46"/>
      <c r="I103" s="46"/>
      <c r="J103" s="46"/>
      <c r="K103" s="46"/>
      <c r="L103" s="46"/>
      <c r="M103" s="46"/>
      <c r="N103" s="46"/>
      <c r="P103" s="2"/>
      <c r="Q103" s="2"/>
      <c r="R103" s="2"/>
    </row>
    <row r="104" spans="6:18" ht="18" customHeight="1" x14ac:dyDescent="0.15">
      <c r="F104" s="46"/>
      <c r="G104" s="46"/>
      <c r="H104" s="46"/>
      <c r="I104" s="46"/>
      <c r="J104" s="46"/>
      <c r="K104" s="46"/>
      <c r="L104" s="46"/>
      <c r="M104" s="46"/>
      <c r="N104" s="46"/>
      <c r="P104" s="2"/>
      <c r="Q104" s="2"/>
      <c r="R104" s="2"/>
    </row>
    <row r="105" spans="6:18" ht="18" customHeight="1" x14ac:dyDescent="0.15">
      <c r="F105" s="46"/>
      <c r="G105" s="46"/>
      <c r="H105" s="46"/>
      <c r="I105" s="46"/>
      <c r="J105" s="46"/>
      <c r="K105" s="46"/>
      <c r="L105" s="46"/>
      <c r="M105" s="46"/>
      <c r="N105" s="46"/>
      <c r="P105" s="2"/>
      <c r="Q105" s="2"/>
      <c r="R105" s="2"/>
    </row>
    <row r="106" spans="6:18" ht="18" customHeight="1" x14ac:dyDescent="0.15">
      <c r="F106" s="46"/>
      <c r="G106" s="46"/>
      <c r="H106" s="46"/>
      <c r="I106" s="46"/>
      <c r="J106" s="46"/>
      <c r="K106" s="46"/>
      <c r="L106" s="46"/>
      <c r="M106" s="46"/>
      <c r="N106" s="46"/>
      <c r="P106" s="2"/>
      <c r="Q106" s="2"/>
      <c r="R106" s="2"/>
    </row>
    <row r="107" spans="6:18" ht="18" customHeight="1" x14ac:dyDescent="0.15">
      <c r="F107" s="46"/>
      <c r="G107" s="46"/>
      <c r="H107" s="46"/>
      <c r="I107" s="46"/>
      <c r="J107" s="46"/>
      <c r="K107" s="46"/>
      <c r="L107" s="46"/>
      <c r="M107" s="46"/>
      <c r="N107" s="46"/>
      <c r="P107" s="2"/>
      <c r="Q107" s="2"/>
      <c r="R107" s="2"/>
    </row>
    <row r="108" spans="6:18" ht="18" customHeight="1" x14ac:dyDescent="0.15">
      <c r="F108" s="46"/>
      <c r="G108" s="46"/>
      <c r="H108" s="46"/>
      <c r="I108" s="46"/>
      <c r="J108" s="46"/>
      <c r="K108" s="46"/>
      <c r="L108" s="46"/>
      <c r="M108" s="46"/>
      <c r="N108" s="46"/>
      <c r="P108" s="2"/>
      <c r="Q108" s="2"/>
      <c r="R108" s="2"/>
    </row>
    <row r="109" spans="6:18" ht="18" customHeight="1" x14ac:dyDescent="0.15">
      <c r="F109" s="46"/>
      <c r="G109" s="46"/>
      <c r="H109" s="46"/>
      <c r="I109" s="46"/>
      <c r="J109" s="46"/>
      <c r="K109" s="46"/>
      <c r="L109" s="46"/>
      <c r="M109" s="46"/>
      <c r="N109" s="46"/>
      <c r="P109" s="2"/>
      <c r="Q109" s="2"/>
      <c r="R109" s="2"/>
    </row>
    <row r="110" spans="6:18" ht="18" customHeight="1" x14ac:dyDescent="0.15">
      <c r="F110" s="46"/>
      <c r="G110" s="46"/>
      <c r="H110" s="46"/>
      <c r="I110" s="46"/>
      <c r="J110" s="46"/>
      <c r="K110" s="46"/>
      <c r="L110" s="46"/>
      <c r="M110" s="46"/>
      <c r="N110" s="46"/>
      <c r="P110" s="2"/>
      <c r="Q110" s="2"/>
      <c r="R110" s="2"/>
    </row>
    <row r="111" spans="6:18" ht="18" customHeight="1" x14ac:dyDescent="0.15">
      <c r="F111" s="46"/>
      <c r="G111" s="46"/>
      <c r="H111" s="46"/>
      <c r="I111" s="46"/>
      <c r="J111" s="46"/>
      <c r="K111" s="46"/>
      <c r="L111" s="46"/>
      <c r="M111" s="46"/>
      <c r="N111" s="46"/>
      <c r="P111" s="2"/>
      <c r="Q111" s="2"/>
      <c r="R111" s="2"/>
    </row>
    <row r="112" spans="6:18" ht="18" customHeight="1" x14ac:dyDescent="0.15">
      <c r="F112" s="46"/>
      <c r="G112" s="46"/>
      <c r="H112" s="46"/>
      <c r="I112" s="46"/>
      <c r="J112" s="46"/>
      <c r="K112" s="46"/>
      <c r="L112" s="46"/>
      <c r="M112" s="46"/>
      <c r="N112" s="46"/>
      <c r="P112" s="2"/>
      <c r="Q112" s="2"/>
      <c r="R112" s="2"/>
    </row>
    <row r="113" spans="6:18" ht="18" customHeight="1" x14ac:dyDescent="0.15">
      <c r="F113" s="46"/>
      <c r="G113" s="46"/>
      <c r="H113" s="46"/>
      <c r="I113" s="46"/>
      <c r="J113" s="46"/>
      <c r="K113" s="46"/>
      <c r="L113" s="46"/>
      <c r="M113" s="46"/>
      <c r="N113" s="46"/>
      <c r="P113" s="2"/>
      <c r="Q113" s="2"/>
      <c r="R113" s="2"/>
    </row>
    <row r="114" spans="6:18" ht="18" customHeight="1" x14ac:dyDescent="0.15">
      <c r="F114" s="46"/>
      <c r="G114" s="46"/>
      <c r="H114" s="46"/>
      <c r="I114" s="46"/>
      <c r="J114" s="46"/>
      <c r="K114" s="46"/>
      <c r="L114" s="46"/>
      <c r="M114" s="46"/>
      <c r="N114" s="46"/>
      <c r="P114" s="2"/>
      <c r="Q114" s="2"/>
      <c r="R114" s="2"/>
    </row>
    <row r="115" spans="6:18" ht="18" customHeight="1" x14ac:dyDescent="0.15">
      <c r="F115" s="46"/>
      <c r="G115" s="46"/>
      <c r="H115" s="46"/>
      <c r="I115" s="46"/>
      <c r="J115" s="46"/>
      <c r="K115" s="46"/>
      <c r="L115" s="46"/>
      <c r="M115" s="46"/>
      <c r="N115" s="46"/>
      <c r="P115" s="2"/>
      <c r="Q115" s="2"/>
      <c r="R115" s="2"/>
    </row>
    <row r="116" spans="6:18" ht="18" customHeight="1" x14ac:dyDescent="0.15">
      <c r="F116" s="46"/>
      <c r="G116" s="46"/>
      <c r="H116" s="46"/>
      <c r="I116" s="46"/>
      <c r="J116" s="46"/>
      <c r="K116" s="46"/>
      <c r="L116" s="46"/>
      <c r="M116" s="46"/>
      <c r="N116" s="46"/>
      <c r="P116" s="2"/>
      <c r="Q116" s="2"/>
      <c r="R116" s="2"/>
    </row>
    <row r="117" spans="6:18" ht="18" customHeight="1" x14ac:dyDescent="0.15">
      <c r="F117" s="46"/>
      <c r="G117" s="46"/>
      <c r="H117" s="46"/>
      <c r="I117" s="46"/>
      <c r="J117" s="46"/>
      <c r="K117" s="46"/>
      <c r="L117" s="46"/>
      <c r="M117" s="46"/>
      <c r="N117" s="46"/>
      <c r="P117" s="2"/>
      <c r="Q117" s="2"/>
      <c r="R117" s="2"/>
    </row>
    <row r="118" spans="6:18" ht="18" customHeight="1" x14ac:dyDescent="0.15">
      <c r="F118" s="46"/>
      <c r="G118" s="46"/>
      <c r="H118" s="46"/>
      <c r="I118" s="46"/>
      <c r="J118" s="46"/>
      <c r="K118" s="46"/>
      <c r="L118" s="46"/>
      <c r="M118" s="46"/>
      <c r="N118" s="46"/>
      <c r="P118" s="2"/>
      <c r="Q118" s="2"/>
      <c r="R118" s="2"/>
    </row>
    <row r="119" spans="6:18" ht="18" customHeight="1" x14ac:dyDescent="0.15">
      <c r="F119" s="46"/>
      <c r="G119" s="46"/>
      <c r="H119" s="46"/>
      <c r="I119" s="46"/>
      <c r="J119" s="46"/>
      <c r="K119" s="46"/>
      <c r="L119" s="46"/>
      <c r="M119" s="46"/>
      <c r="N119" s="46"/>
      <c r="P119" s="2"/>
      <c r="Q119" s="2"/>
      <c r="R119" s="2"/>
    </row>
    <row r="120" spans="6:18" ht="18" customHeight="1" x14ac:dyDescent="0.15">
      <c r="F120" s="46"/>
      <c r="G120" s="46"/>
      <c r="H120" s="46"/>
      <c r="I120" s="46"/>
      <c r="J120" s="46"/>
      <c r="K120" s="46"/>
      <c r="L120" s="46"/>
      <c r="M120" s="46"/>
      <c r="N120" s="46"/>
      <c r="P120" s="2"/>
      <c r="Q120" s="2"/>
      <c r="R120" s="2"/>
    </row>
    <row r="121" spans="6:18" ht="18" customHeight="1" x14ac:dyDescent="0.15">
      <c r="F121" s="46"/>
      <c r="G121" s="46"/>
      <c r="H121" s="46"/>
      <c r="I121" s="46"/>
      <c r="J121" s="46"/>
      <c r="K121" s="46"/>
      <c r="L121" s="46"/>
      <c r="M121" s="46"/>
      <c r="N121" s="46"/>
      <c r="P121" s="2"/>
      <c r="Q121" s="2"/>
      <c r="R121" s="2"/>
    </row>
    <row r="122" spans="6:18" ht="18" customHeight="1" x14ac:dyDescent="0.15">
      <c r="F122" s="46"/>
      <c r="G122" s="46"/>
      <c r="H122" s="46"/>
      <c r="I122" s="46"/>
      <c r="J122" s="46"/>
      <c r="K122" s="46"/>
      <c r="L122" s="46"/>
      <c r="M122" s="46"/>
      <c r="N122" s="46"/>
      <c r="P122" s="2"/>
      <c r="Q122" s="2"/>
      <c r="R122" s="2"/>
    </row>
    <row r="123" spans="6:18" ht="18" customHeight="1" x14ac:dyDescent="0.15">
      <c r="F123" s="46"/>
      <c r="G123" s="46"/>
      <c r="H123" s="46"/>
      <c r="I123" s="46"/>
      <c r="J123" s="46"/>
      <c r="K123" s="46"/>
      <c r="L123" s="46"/>
      <c r="M123" s="46"/>
      <c r="N123" s="46"/>
      <c r="P123" s="2"/>
      <c r="Q123" s="2"/>
      <c r="R123" s="2"/>
    </row>
    <row r="124" spans="6:18" ht="18" customHeight="1" x14ac:dyDescent="0.15">
      <c r="F124" s="46"/>
      <c r="G124" s="46"/>
      <c r="H124" s="46"/>
      <c r="I124" s="46"/>
      <c r="J124" s="46"/>
      <c r="K124" s="46"/>
      <c r="L124" s="46"/>
      <c r="M124" s="46"/>
      <c r="N124" s="46"/>
      <c r="P124" s="2"/>
      <c r="Q124" s="2"/>
      <c r="R124" s="2"/>
    </row>
    <row r="125" spans="6:18" ht="18" customHeight="1" x14ac:dyDescent="0.15">
      <c r="F125" s="46"/>
      <c r="G125" s="46"/>
      <c r="H125" s="46"/>
      <c r="I125" s="46"/>
      <c r="J125" s="46"/>
      <c r="K125" s="46"/>
      <c r="L125" s="46"/>
      <c r="M125" s="46"/>
      <c r="N125" s="46"/>
      <c r="P125" s="2"/>
      <c r="Q125" s="2"/>
      <c r="R125" s="2"/>
    </row>
    <row r="126" spans="6:18" ht="18" customHeight="1" x14ac:dyDescent="0.15">
      <c r="F126" s="98"/>
      <c r="G126" s="98"/>
      <c r="H126" s="98"/>
      <c r="I126" s="98"/>
      <c r="J126" s="46"/>
      <c r="K126" s="46"/>
      <c r="L126" s="46"/>
      <c r="M126" s="46"/>
      <c r="N126" s="46"/>
      <c r="P126" s="2"/>
      <c r="Q126" s="2"/>
      <c r="R126" s="2"/>
    </row>
    <row r="127" spans="6:18" ht="18" customHeight="1" x14ac:dyDescent="0.15">
      <c r="F127" s="98"/>
      <c r="G127" s="98"/>
      <c r="H127" s="98"/>
      <c r="I127" s="98"/>
      <c r="J127" s="46"/>
      <c r="K127" s="46"/>
      <c r="L127" s="46"/>
      <c r="M127" s="46"/>
      <c r="N127" s="46"/>
      <c r="P127" s="2"/>
      <c r="Q127" s="2"/>
      <c r="R127" s="2"/>
    </row>
    <row r="128" spans="6:18" ht="18" customHeight="1" x14ac:dyDescent="0.15">
      <c r="F128" s="98"/>
      <c r="G128" s="98"/>
      <c r="H128" s="98"/>
      <c r="I128" s="98"/>
      <c r="J128" s="46"/>
      <c r="K128" s="46"/>
      <c r="L128" s="46"/>
      <c r="M128" s="46"/>
      <c r="N128" s="46"/>
      <c r="P128" s="2"/>
      <c r="Q128" s="2"/>
      <c r="R128" s="2"/>
    </row>
    <row r="129" spans="6:18" ht="18" customHeight="1" x14ac:dyDescent="0.15">
      <c r="F129" s="98"/>
      <c r="G129" s="98"/>
      <c r="H129" s="98"/>
      <c r="I129" s="98"/>
      <c r="K129" s="46"/>
      <c r="L129" s="46"/>
      <c r="M129" s="46"/>
      <c r="N129" s="46"/>
      <c r="P129" s="2"/>
      <c r="Q129" s="2"/>
      <c r="R129" s="2"/>
    </row>
    <row r="130" spans="6:18" ht="18" customHeight="1" x14ac:dyDescent="0.15">
      <c r="F130" s="98"/>
      <c r="G130" s="98"/>
      <c r="H130" s="98"/>
      <c r="I130" s="98"/>
      <c r="K130" s="46"/>
      <c r="L130" s="46"/>
      <c r="M130" s="46"/>
      <c r="N130" s="46"/>
      <c r="P130" s="2"/>
      <c r="Q130" s="2"/>
      <c r="R130" s="2"/>
    </row>
    <row r="131" spans="6:18" ht="18" customHeight="1" x14ac:dyDescent="0.15">
      <c r="F131" s="98"/>
      <c r="G131" s="98"/>
      <c r="H131" s="98"/>
      <c r="I131" s="98"/>
      <c r="K131" s="46"/>
      <c r="L131" s="46"/>
      <c r="M131" s="46"/>
      <c r="N131" s="46"/>
      <c r="P131" s="2"/>
      <c r="Q131" s="2"/>
      <c r="R131" s="2"/>
    </row>
    <row r="132" spans="6:18" ht="18" customHeight="1" x14ac:dyDescent="0.15">
      <c r="F132" s="98"/>
      <c r="G132" s="98"/>
      <c r="H132" s="98"/>
      <c r="I132" s="98"/>
      <c r="K132" s="46"/>
      <c r="L132" s="99"/>
      <c r="M132" s="46"/>
      <c r="N132" s="46"/>
      <c r="P132" s="2"/>
      <c r="Q132" s="2"/>
      <c r="R132" s="2"/>
    </row>
    <row r="133" spans="6:18" ht="18" customHeight="1" x14ac:dyDescent="0.15">
      <c r="F133" s="98"/>
      <c r="G133" s="98"/>
      <c r="H133" s="98"/>
      <c r="I133" s="98"/>
      <c r="K133" s="46"/>
      <c r="L133" s="99"/>
      <c r="M133" s="46"/>
      <c r="N133" s="46"/>
      <c r="P133" s="2"/>
      <c r="Q133" s="2"/>
      <c r="R133" s="2"/>
    </row>
    <row r="134" spans="6:18" ht="18" customHeight="1" x14ac:dyDescent="0.15">
      <c r="F134" s="98"/>
      <c r="G134" s="98"/>
      <c r="H134" s="98"/>
      <c r="I134" s="98"/>
      <c r="K134" s="46"/>
      <c r="L134" s="99"/>
      <c r="M134" s="46"/>
      <c r="N134" s="46"/>
      <c r="P134" s="2"/>
      <c r="Q134" s="2"/>
      <c r="R134" s="2"/>
    </row>
    <row r="135" spans="6:18" ht="18" customHeight="1" x14ac:dyDescent="0.15">
      <c r="F135" s="98"/>
      <c r="G135" s="98"/>
      <c r="H135" s="98"/>
      <c r="I135" s="98"/>
      <c r="K135" s="46"/>
      <c r="L135" s="99"/>
      <c r="M135" s="46"/>
      <c r="N135" s="46"/>
      <c r="P135" s="2"/>
      <c r="Q135" s="2"/>
      <c r="R135" s="2"/>
    </row>
    <row r="136" spans="6:18" ht="18" customHeight="1" x14ac:dyDescent="0.15">
      <c r="F136" s="98"/>
      <c r="G136" s="98"/>
      <c r="H136" s="98"/>
      <c r="I136" s="98"/>
      <c r="K136" s="46"/>
      <c r="L136" s="99"/>
      <c r="M136" s="46"/>
      <c r="N136" s="46"/>
      <c r="P136" s="2"/>
      <c r="Q136" s="2"/>
      <c r="R136" s="2"/>
    </row>
    <row r="137" spans="6:18" ht="18" customHeight="1" x14ac:dyDescent="0.15">
      <c r="F137" s="98"/>
      <c r="G137" s="98"/>
      <c r="H137" s="98"/>
      <c r="I137" s="98"/>
      <c r="K137" s="46"/>
      <c r="L137" s="99"/>
      <c r="M137" s="46"/>
      <c r="N137" s="46"/>
      <c r="P137" s="2"/>
      <c r="Q137" s="2"/>
      <c r="R137" s="2"/>
    </row>
    <row r="138" spans="6:18" ht="18" customHeight="1" x14ac:dyDescent="0.15">
      <c r="F138" s="98"/>
      <c r="G138" s="98"/>
      <c r="H138" s="98"/>
      <c r="I138" s="98"/>
      <c r="K138" s="46"/>
      <c r="L138" s="99"/>
      <c r="M138" s="46"/>
      <c r="N138" s="46"/>
      <c r="P138" s="2"/>
      <c r="Q138" s="2"/>
      <c r="R138" s="2"/>
    </row>
    <row r="139" spans="6:18" ht="18" customHeight="1" x14ac:dyDescent="0.15">
      <c r="K139" s="46"/>
      <c r="L139" s="99"/>
      <c r="M139" s="46"/>
      <c r="N139" s="46"/>
      <c r="P139" s="2"/>
      <c r="Q139" s="2"/>
      <c r="R139" s="2"/>
    </row>
    <row r="140" spans="6:18" ht="18" customHeight="1" x14ac:dyDescent="0.15">
      <c r="K140" s="46"/>
      <c r="L140" s="99"/>
      <c r="M140" s="46"/>
      <c r="N140" s="46"/>
      <c r="P140" s="2"/>
      <c r="Q140" s="2"/>
      <c r="R140" s="2"/>
    </row>
    <row r="141" spans="6:18" ht="18" customHeight="1" x14ac:dyDescent="0.15">
      <c r="K141" s="46"/>
      <c r="L141" s="99"/>
      <c r="M141" s="46"/>
      <c r="N141" s="46"/>
      <c r="P141" s="2"/>
      <c r="Q141" s="2"/>
      <c r="R141" s="2"/>
    </row>
    <row r="142" spans="6:18" ht="18" customHeight="1" x14ac:dyDescent="0.15">
      <c r="K142" s="46"/>
      <c r="L142" s="99"/>
      <c r="M142" s="46"/>
      <c r="N142" s="46"/>
      <c r="P142" s="2"/>
      <c r="Q142" s="2"/>
      <c r="R142" s="2"/>
    </row>
    <row r="143" spans="6:18" ht="18" customHeight="1" x14ac:dyDescent="0.15">
      <c r="K143" s="46"/>
      <c r="L143" s="99"/>
      <c r="M143" s="46"/>
      <c r="N143" s="46"/>
      <c r="P143" s="2"/>
      <c r="Q143" s="2"/>
      <c r="R143" s="2"/>
    </row>
    <row r="144" spans="6:18" ht="18" customHeight="1" x14ac:dyDescent="0.15">
      <c r="K144" s="46"/>
      <c r="L144" s="99"/>
      <c r="M144" s="46"/>
      <c r="N144" s="46"/>
      <c r="P144" s="2"/>
      <c r="Q144" s="2"/>
      <c r="R144" s="2"/>
    </row>
    <row r="145" spans="11:18" ht="18" customHeight="1" x14ac:dyDescent="0.15">
      <c r="K145" s="46"/>
      <c r="L145" s="99"/>
      <c r="M145" s="46"/>
      <c r="N145" s="46"/>
      <c r="P145" s="2"/>
      <c r="Q145" s="2"/>
      <c r="R145" s="2"/>
    </row>
    <row r="146" spans="11:18" ht="18" customHeight="1" x14ac:dyDescent="0.15">
      <c r="K146" s="46"/>
      <c r="L146" s="99"/>
      <c r="M146" s="46"/>
      <c r="N146" s="46"/>
      <c r="P146" s="2"/>
      <c r="Q146" s="2"/>
      <c r="R146" s="2"/>
    </row>
    <row r="147" spans="11:18" ht="18" customHeight="1" x14ac:dyDescent="0.15">
      <c r="K147" s="46"/>
      <c r="L147" s="99"/>
      <c r="M147" s="46"/>
      <c r="N147" s="46"/>
      <c r="P147" s="2"/>
      <c r="Q147" s="2"/>
      <c r="R147" s="2"/>
    </row>
    <row r="148" spans="11:18" ht="18" customHeight="1" x14ac:dyDescent="0.15">
      <c r="K148" s="46"/>
      <c r="L148" s="99"/>
      <c r="M148" s="46"/>
      <c r="N148" s="46"/>
      <c r="P148" s="2"/>
      <c r="Q148" s="2"/>
      <c r="R148" s="2"/>
    </row>
    <row r="149" spans="11:18" ht="18" customHeight="1" x14ac:dyDescent="0.15">
      <c r="K149" s="46"/>
      <c r="L149" s="99"/>
      <c r="M149" s="46"/>
      <c r="N149" s="46"/>
      <c r="P149" s="2"/>
      <c r="Q149" s="2"/>
      <c r="R149" s="2"/>
    </row>
    <row r="150" spans="11:18" ht="18" customHeight="1" x14ac:dyDescent="0.15">
      <c r="K150" s="46"/>
      <c r="L150" s="99"/>
      <c r="M150" s="46"/>
      <c r="N150" s="46"/>
      <c r="P150" s="2"/>
      <c r="Q150" s="2"/>
      <c r="R150" s="2"/>
    </row>
    <row r="151" spans="11:18" ht="18" customHeight="1" x14ac:dyDescent="0.15">
      <c r="K151" s="46"/>
      <c r="L151" s="99"/>
      <c r="M151" s="46"/>
      <c r="N151" s="46"/>
      <c r="P151" s="2"/>
      <c r="Q151" s="2"/>
      <c r="R151" s="2"/>
    </row>
    <row r="152" spans="11:18" x14ac:dyDescent="0.15">
      <c r="K152" s="46"/>
      <c r="L152" s="99"/>
      <c r="M152" s="46"/>
      <c r="N152" s="46"/>
    </row>
    <row r="153" spans="11:18" x14ac:dyDescent="0.15">
      <c r="K153" s="46"/>
      <c r="L153" s="99"/>
      <c r="M153" s="46"/>
      <c r="N153" s="46"/>
    </row>
    <row r="154" spans="11:18" x14ac:dyDescent="0.15">
      <c r="K154" s="46"/>
      <c r="L154" s="99"/>
      <c r="M154" s="46"/>
      <c r="N154" s="46"/>
    </row>
    <row r="155" spans="11:18" x14ac:dyDescent="0.15">
      <c r="K155" s="46"/>
      <c r="L155" s="99"/>
      <c r="M155" s="46"/>
      <c r="N155" s="46"/>
    </row>
    <row r="156" spans="11:18" x14ac:dyDescent="0.15">
      <c r="K156" s="46"/>
      <c r="L156" s="99"/>
      <c r="M156" s="46"/>
      <c r="N156" s="46"/>
    </row>
    <row r="157" spans="11:18" x14ac:dyDescent="0.15">
      <c r="K157" s="46"/>
      <c r="L157" s="99"/>
      <c r="M157" s="46"/>
      <c r="N157" s="46"/>
    </row>
    <row r="158" spans="11:18" x14ac:dyDescent="0.15">
      <c r="K158" s="46"/>
      <c r="L158" s="99"/>
      <c r="M158" s="46"/>
      <c r="N158" s="46"/>
    </row>
    <row r="159" spans="11:18" x14ac:dyDescent="0.15">
      <c r="K159" s="46"/>
      <c r="L159" s="99"/>
      <c r="M159" s="46"/>
      <c r="N159" s="46"/>
    </row>
  </sheetData>
  <autoFilter ref="A4:L42" xr:uid="{00000000-0009-0000-0000-000001000000}">
    <filterColumn colId="1" showButton="0"/>
    <filterColumn colId="2" showButton="0"/>
  </autoFilter>
  <mergeCells count="35">
    <mergeCell ref="I3:L3"/>
    <mergeCell ref="E41:F41"/>
    <mergeCell ref="A1:L1"/>
    <mergeCell ref="G41:H41"/>
    <mergeCell ref="C37:D37"/>
    <mergeCell ref="C28:D28"/>
    <mergeCell ref="C6:C9"/>
    <mergeCell ref="E3:F3"/>
    <mergeCell ref="B3:D4"/>
    <mergeCell ref="C31:D31"/>
    <mergeCell ref="G3:H3"/>
    <mergeCell ref="C21:D21"/>
    <mergeCell ref="C27:D27"/>
    <mergeCell ref="C14:C16"/>
    <mergeCell ref="C23:D23"/>
    <mergeCell ref="C11:C13"/>
    <mergeCell ref="B5:B20"/>
    <mergeCell ref="C35:D35"/>
    <mergeCell ref="C20:D20"/>
    <mergeCell ref="C29:D29"/>
    <mergeCell ref="C25:D25"/>
    <mergeCell ref="C22:D22"/>
    <mergeCell ref="B34:B39"/>
    <mergeCell ref="C39:D39"/>
    <mergeCell ref="C32:D32"/>
    <mergeCell ref="C38:D38"/>
    <mergeCell ref="I41:K41"/>
    <mergeCell ref="C34:D34"/>
    <mergeCell ref="B40:D41"/>
    <mergeCell ref="C30:D30"/>
    <mergeCell ref="C24:D24"/>
    <mergeCell ref="C33:D33"/>
    <mergeCell ref="B21:B33"/>
    <mergeCell ref="C36:D36"/>
    <mergeCell ref="C26:D26"/>
  </mergeCells>
  <phoneticPr fontId="1" type="noConversion"/>
  <printOptions horizontalCentered="1" verticalCentered="1"/>
  <pageMargins left="0.15748031496062989" right="0.23622047244094491" top="0.35433070866141742" bottom="0.23622047244094491" header="0.23622047244094491" footer="0.15748031496062989"/>
  <pageSetup paperSize="9"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56D0B-98C4-4ECB-8563-088E819AF9D5}">
  <dimension ref="B1:H15"/>
  <sheetViews>
    <sheetView workbookViewId="0">
      <pane xSplit="7" ySplit="3" topLeftCell="H10" activePane="bottomRight" state="frozen"/>
      <selection pane="topRight" activeCell="E1" sqref="E1"/>
      <selection pane="bottomLeft" activeCell="A4" sqref="A4"/>
      <selection pane="bottomRight" activeCell="D21" sqref="D21"/>
    </sheetView>
  </sheetViews>
  <sheetFormatPr defaultRowHeight="14.4" x14ac:dyDescent="0.3"/>
  <cols>
    <col min="1" max="1" width="3.25" style="115" customWidth="1"/>
    <col min="2" max="2" width="9" style="116" customWidth="1"/>
    <col min="3" max="3" width="9.75" style="116" bestFit="1" customWidth="1"/>
    <col min="4" max="4" width="21.875" style="115" customWidth="1"/>
    <col min="5" max="5" width="11.875" style="115" customWidth="1"/>
    <col min="6" max="6" width="13.125" style="115" customWidth="1"/>
    <col min="7" max="7" width="14.375" style="116" customWidth="1"/>
    <col min="8" max="8" width="22.25" style="116" customWidth="1"/>
    <col min="9" max="16384" width="9" style="115"/>
  </cols>
  <sheetData>
    <row r="1" spans="2:8" ht="23.4" x14ac:dyDescent="0.5">
      <c r="B1" s="127" t="s">
        <v>314</v>
      </c>
      <c r="C1" s="126"/>
      <c r="D1" s="126"/>
      <c r="E1" s="126"/>
      <c r="F1" s="126"/>
      <c r="G1" s="126"/>
      <c r="H1" s="126"/>
    </row>
    <row r="3" spans="2:8" s="124" customFormat="1" ht="28.05" customHeight="1" x14ac:dyDescent="0.15">
      <c r="B3" s="125" t="s">
        <v>310</v>
      </c>
      <c r="C3" s="125" t="s">
        <v>309</v>
      </c>
      <c r="D3" s="125" t="s">
        <v>186</v>
      </c>
      <c r="E3" s="125" t="s">
        <v>308</v>
      </c>
      <c r="F3" s="125" t="s">
        <v>185</v>
      </c>
      <c r="G3" s="125" t="s">
        <v>307</v>
      </c>
      <c r="H3" s="125" t="s">
        <v>306</v>
      </c>
    </row>
    <row r="4" spans="2:8" s="117" customFormat="1" ht="28.05" customHeight="1" x14ac:dyDescent="0.15">
      <c r="B4" s="123">
        <v>46053</v>
      </c>
      <c r="C4" s="119">
        <v>1</v>
      </c>
      <c r="D4" s="120" t="s">
        <v>160</v>
      </c>
      <c r="E4" s="120" t="s">
        <v>220</v>
      </c>
      <c r="F4" s="119" t="s">
        <v>280</v>
      </c>
      <c r="G4" s="122">
        <v>46023</v>
      </c>
      <c r="H4" s="118"/>
    </row>
    <row r="5" spans="2:8" s="117" customFormat="1" ht="28.05" customHeight="1" x14ac:dyDescent="0.15">
      <c r="B5" s="121">
        <v>46081</v>
      </c>
      <c r="C5" s="119">
        <v>1</v>
      </c>
      <c r="D5" s="120" t="s">
        <v>199</v>
      </c>
      <c r="E5" s="120" t="s">
        <v>316</v>
      </c>
      <c r="F5" s="119" t="s">
        <v>201</v>
      </c>
      <c r="G5" s="122">
        <v>46076</v>
      </c>
      <c r="H5" s="118"/>
    </row>
    <row r="6" spans="2:8" s="117" customFormat="1" ht="28.05" customHeight="1" x14ac:dyDescent="0.15">
      <c r="B6" s="173">
        <v>46112</v>
      </c>
      <c r="C6" s="119">
        <v>1</v>
      </c>
      <c r="D6" s="120" t="s">
        <v>111</v>
      </c>
      <c r="E6" s="120" t="s">
        <v>222</v>
      </c>
      <c r="F6" s="119" t="s">
        <v>273</v>
      </c>
      <c r="G6" s="122">
        <v>46082</v>
      </c>
      <c r="H6" s="118"/>
    </row>
    <row r="7" spans="2:8" s="117" customFormat="1" ht="28.05" customHeight="1" x14ac:dyDescent="0.15">
      <c r="B7" s="174"/>
      <c r="C7" s="119">
        <v>2</v>
      </c>
      <c r="D7" s="120" t="s">
        <v>162</v>
      </c>
      <c r="E7" s="120" t="s">
        <v>222</v>
      </c>
      <c r="F7" s="119" t="s">
        <v>276</v>
      </c>
      <c r="G7" s="122">
        <v>46082</v>
      </c>
      <c r="H7" s="118"/>
    </row>
    <row r="8" spans="2:8" s="117" customFormat="1" ht="28.05" customHeight="1" x14ac:dyDescent="0.15">
      <c r="B8" s="174"/>
      <c r="C8" s="119">
        <v>3</v>
      </c>
      <c r="D8" s="120" t="s">
        <v>113</v>
      </c>
      <c r="E8" s="120" t="s">
        <v>220</v>
      </c>
      <c r="F8" s="119" t="s">
        <v>218</v>
      </c>
      <c r="G8" s="122">
        <v>46107</v>
      </c>
      <c r="H8" s="118"/>
    </row>
    <row r="9" spans="2:8" s="117" customFormat="1" ht="28.05" customHeight="1" x14ac:dyDescent="0.15">
      <c r="B9" s="175"/>
      <c r="C9" s="119">
        <v>4</v>
      </c>
      <c r="D9" s="120" t="s">
        <v>113</v>
      </c>
      <c r="E9" s="120" t="s">
        <v>222</v>
      </c>
      <c r="F9" s="119" t="s">
        <v>221</v>
      </c>
      <c r="G9" s="122">
        <v>46107</v>
      </c>
      <c r="H9" s="118"/>
    </row>
    <row r="10" spans="2:8" s="117" customFormat="1" ht="28.05" customHeight="1" x14ac:dyDescent="0.15">
      <c r="B10" s="121">
        <v>46142</v>
      </c>
      <c r="C10" s="119">
        <v>1</v>
      </c>
      <c r="D10" s="120" t="s">
        <v>164</v>
      </c>
      <c r="E10" s="120" t="s">
        <v>222</v>
      </c>
      <c r="F10" s="119" t="s">
        <v>257</v>
      </c>
      <c r="G10" s="122">
        <v>46113</v>
      </c>
      <c r="H10" s="118"/>
    </row>
    <row r="11" spans="2:8" s="117" customFormat="1" ht="28.05" customHeight="1" x14ac:dyDescent="0.15">
      <c r="B11" s="173">
        <v>46173</v>
      </c>
      <c r="C11" s="119">
        <v>1</v>
      </c>
      <c r="D11" s="120" t="s">
        <v>155</v>
      </c>
      <c r="E11" s="120" t="s">
        <v>222</v>
      </c>
      <c r="F11" s="119" t="s">
        <v>278</v>
      </c>
      <c r="G11" s="122">
        <v>46143</v>
      </c>
      <c r="H11" s="118"/>
    </row>
    <row r="12" spans="2:8" s="117" customFormat="1" ht="28.05" customHeight="1" x14ac:dyDescent="0.15">
      <c r="B12" s="174"/>
      <c r="C12" s="119">
        <v>2</v>
      </c>
      <c r="D12" s="120" t="s">
        <v>151</v>
      </c>
      <c r="E12" s="120" t="s">
        <v>220</v>
      </c>
      <c r="F12" s="119" t="s">
        <v>281</v>
      </c>
      <c r="G12" s="122">
        <v>46143</v>
      </c>
      <c r="H12" s="118"/>
    </row>
    <row r="13" spans="2:8" s="117" customFormat="1" ht="28.05" customHeight="1" x14ac:dyDescent="0.15">
      <c r="B13" s="173">
        <v>46203</v>
      </c>
      <c r="C13" s="119">
        <v>1</v>
      </c>
      <c r="D13" s="120" t="s">
        <v>146</v>
      </c>
      <c r="E13" s="120" t="s">
        <v>220</v>
      </c>
      <c r="F13" s="119" t="s">
        <v>234</v>
      </c>
      <c r="G13" s="122">
        <v>46174</v>
      </c>
      <c r="H13" s="118"/>
    </row>
    <row r="14" spans="2:8" s="117" customFormat="1" ht="28.05" customHeight="1" x14ac:dyDescent="0.15">
      <c r="B14" s="174"/>
      <c r="C14" s="119">
        <v>2</v>
      </c>
      <c r="D14" s="120" t="s">
        <v>184</v>
      </c>
      <c r="E14" s="120" t="s">
        <v>220</v>
      </c>
      <c r="F14" s="119" t="s">
        <v>239</v>
      </c>
      <c r="G14" s="122">
        <v>46174</v>
      </c>
      <c r="H14" s="118"/>
    </row>
    <row r="15" spans="2:8" s="117" customFormat="1" ht="28.05" customHeight="1" x14ac:dyDescent="0.15">
      <c r="B15" s="175"/>
      <c r="C15" s="119">
        <v>3</v>
      </c>
      <c r="D15" s="120" t="s">
        <v>182</v>
      </c>
      <c r="E15" s="120" t="s">
        <v>222</v>
      </c>
      <c r="F15" s="119" t="s">
        <v>254</v>
      </c>
      <c r="G15" s="122">
        <v>46174</v>
      </c>
      <c r="H15" s="118"/>
    </row>
  </sheetData>
  <autoFilter ref="B3:G15" xr:uid="{07C73BDA-5E94-46B4-B440-40A4D4413DCE}"/>
  <mergeCells count="3">
    <mergeCell ref="B11:B12"/>
    <mergeCell ref="B13:B15"/>
    <mergeCell ref="B6:B9"/>
  </mergeCells>
  <phoneticPr fontId="1" type="noConversion"/>
  <pageMargins left="0.70866141732283472" right="0.70866141732283472" top="1.0236220472440944" bottom="0.74803149606299213" header="0.55118110236220474" footer="0.31496062992125984"/>
  <pageSetup paperSize="9" orientation="portrait" r:id="rId1"/>
  <headerFooter>
    <oddFooter>&amp;C&amp;8&amp;P/&amp;N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37518-EFA5-4199-A88B-5AE9A7ECAEA6}">
  <dimension ref="B1:I15"/>
  <sheetViews>
    <sheetView workbookViewId="0">
      <pane xSplit="6" ySplit="3" topLeftCell="G10" activePane="bottomRight" state="frozen"/>
      <selection pane="topRight" activeCell="E1" sqref="E1"/>
      <selection pane="bottomLeft" activeCell="A4" sqref="A4"/>
      <selection pane="bottomRight" activeCell="G13" sqref="G13"/>
    </sheetView>
  </sheetViews>
  <sheetFormatPr defaultRowHeight="24" customHeight="1" x14ac:dyDescent="0.15"/>
  <cols>
    <col min="1" max="1" width="1.375" style="117" customWidth="1"/>
    <col min="2" max="3" width="8" style="117" customWidth="1"/>
    <col min="4" max="4" width="25.125" style="117" customWidth="1"/>
    <col min="5" max="5" width="9" style="117" customWidth="1"/>
    <col min="6" max="6" width="13" style="117" customWidth="1"/>
    <col min="7" max="7" width="14.875" style="117" customWidth="1"/>
    <col min="8" max="8" width="14.5" style="124" customWidth="1"/>
    <col min="9" max="9" width="19.375" style="124" customWidth="1"/>
    <col min="10" max="16384" width="9" style="117"/>
  </cols>
  <sheetData>
    <row r="1" spans="2:9" ht="24" customHeight="1" x14ac:dyDescent="0.15">
      <c r="B1" s="128" t="s">
        <v>315</v>
      </c>
      <c r="C1" s="128"/>
      <c r="D1" s="128"/>
      <c r="E1" s="128"/>
      <c r="F1" s="128"/>
      <c r="G1" s="128"/>
      <c r="H1" s="128"/>
      <c r="I1" s="128"/>
    </row>
    <row r="3" spans="2:9" ht="24" customHeight="1" x14ac:dyDescent="0.15">
      <c r="B3" s="125" t="s">
        <v>310</v>
      </c>
      <c r="C3" s="125" t="s">
        <v>313</v>
      </c>
      <c r="D3" s="125" t="s">
        <v>186</v>
      </c>
      <c r="E3" s="125" t="s">
        <v>308</v>
      </c>
      <c r="F3" s="125" t="s">
        <v>185</v>
      </c>
      <c r="G3" s="125" t="s">
        <v>312</v>
      </c>
      <c r="H3" s="125" t="s">
        <v>307</v>
      </c>
      <c r="I3" s="125" t="s">
        <v>311</v>
      </c>
    </row>
    <row r="4" spans="2:9" ht="24" customHeight="1" x14ac:dyDescent="0.15">
      <c r="B4" s="173">
        <v>46081</v>
      </c>
      <c r="C4" s="119">
        <v>1</v>
      </c>
      <c r="D4" s="120" t="s">
        <v>62</v>
      </c>
      <c r="E4" s="118" t="s">
        <v>205</v>
      </c>
      <c r="F4" s="120" t="s">
        <v>67</v>
      </c>
      <c r="G4" s="122">
        <v>46081</v>
      </c>
      <c r="H4" s="122" t="s">
        <v>317</v>
      </c>
      <c r="I4" s="120"/>
    </row>
    <row r="5" spans="2:9" ht="24" customHeight="1" x14ac:dyDescent="0.15">
      <c r="B5" s="175"/>
      <c r="C5" s="119">
        <v>2</v>
      </c>
      <c r="D5" s="120" t="s">
        <v>164</v>
      </c>
      <c r="E5" s="118" t="s">
        <v>222</v>
      </c>
      <c r="F5" s="120" t="s">
        <v>256</v>
      </c>
      <c r="G5" s="122">
        <v>46081</v>
      </c>
      <c r="H5" s="122" t="s">
        <v>303</v>
      </c>
      <c r="I5" s="120"/>
    </row>
    <row r="6" spans="2:9" ht="24" customHeight="1" x14ac:dyDescent="0.15">
      <c r="B6" s="173">
        <v>46112</v>
      </c>
      <c r="C6" s="119">
        <v>1</v>
      </c>
      <c r="D6" s="120" t="s">
        <v>157</v>
      </c>
      <c r="E6" s="118" t="s">
        <v>220</v>
      </c>
      <c r="F6" s="120" t="s">
        <v>271</v>
      </c>
      <c r="G6" s="122">
        <v>46090</v>
      </c>
      <c r="H6" s="122" t="s">
        <v>304</v>
      </c>
      <c r="I6" s="120"/>
    </row>
    <row r="7" spans="2:9" ht="24" customHeight="1" x14ac:dyDescent="0.15">
      <c r="B7" s="174"/>
      <c r="C7" s="119">
        <v>2</v>
      </c>
      <c r="D7" s="120" t="s">
        <v>177</v>
      </c>
      <c r="E7" s="118" t="s">
        <v>222</v>
      </c>
      <c r="F7" s="120" t="s">
        <v>248</v>
      </c>
      <c r="G7" s="122">
        <v>46111</v>
      </c>
      <c r="H7" s="122" t="s">
        <v>305</v>
      </c>
      <c r="I7" s="120"/>
    </row>
    <row r="8" spans="2:9" ht="24" customHeight="1" x14ac:dyDescent="0.15">
      <c r="B8" s="174"/>
      <c r="C8" s="119">
        <v>3</v>
      </c>
      <c r="D8" s="120" t="s">
        <v>146</v>
      </c>
      <c r="E8" s="118" t="s">
        <v>222</v>
      </c>
      <c r="F8" s="120" t="s">
        <v>232</v>
      </c>
      <c r="G8" s="122">
        <v>46112</v>
      </c>
      <c r="H8" s="122" t="s">
        <v>304</v>
      </c>
      <c r="I8" s="120"/>
    </row>
    <row r="9" spans="2:9" ht="24" customHeight="1" x14ac:dyDescent="0.15">
      <c r="B9" s="174"/>
      <c r="C9" s="119">
        <v>4</v>
      </c>
      <c r="D9" s="120" t="s">
        <v>158</v>
      </c>
      <c r="E9" s="118" t="s">
        <v>220</v>
      </c>
      <c r="F9" s="120" t="s">
        <v>245</v>
      </c>
      <c r="G9" s="122">
        <v>46112</v>
      </c>
      <c r="H9" s="122" t="s">
        <v>318</v>
      </c>
      <c r="I9" s="120"/>
    </row>
    <row r="10" spans="2:9" ht="24" customHeight="1" x14ac:dyDescent="0.15">
      <c r="B10" s="175"/>
      <c r="C10" s="119">
        <v>5</v>
      </c>
      <c r="D10" s="120" t="s">
        <v>182</v>
      </c>
      <c r="E10" s="118" t="s">
        <v>222</v>
      </c>
      <c r="F10" s="120" t="s">
        <v>253</v>
      </c>
      <c r="G10" s="122">
        <v>46112</v>
      </c>
      <c r="H10" s="122" t="s">
        <v>319</v>
      </c>
      <c r="I10" s="120"/>
    </row>
    <row r="11" spans="2:9" ht="24" customHeight="1" x14ac:dyDescent="0.15">
      <c r="B11" s="173">
        <v>46173</v>
      </c>
      <c r="C11" s="119">
        <v>1</v>
      </c>
      <c r="D11" s="120" t="s">
        <v>146</v>
      </c>
      <c r="E11" s="118" t="s">
        <v>220</v>
      </c>
      <c r="F11" s="120" t="s">
        <v>235</v>
      </c>
      <c r="G11" s="122">
        <v>46157</v>
      </c>
      <c r="H11" s="122" t="s">
        <v>320</v>
      </c>
      <c r="I11" s="120"/>
    </row>
    <row r="12" spans="2:9" ht="24" customHeight="1" x14ac:dyDescent="0.15">
      <c r="B12" s="174"/>
      <c r="C12" s="119">
        <v>2</v>
      </c>
      <c r="D12" s="120" t="s">
        <v>184</v>
      </c>
      <c r="E12" s="118" t="s">
        <v>220</v>
      </c>
      <c r="F12" s="120" t="s">
        <v>240</v>
      </c>
      <c r="G12" s="122">
        <v>46173</v>
      </c>
      <c r="H12" s="122" t="s">
        <v>321</v>
      </c>
      <c r="I12" s="120"/>
    </row>
    <row r="13" spans="2:9" ht="24" customHeight="1" x14ac:dyDescent="0.15">
      <c r="B13" s="173">
        <v>46203</v>
      </c>
      <c r="C13" s="119">
        <v>1</v>
      </c>
      <c r="D13" s="120" t="s">
        <v>162</v>
      </c>
      <c r="E13" s="118" t="s">
        <v>222</v>
      </c>
      <c r="F13" s="120" t="s">
        <v>276</v>
      </c>
      <c r="G13" s="122">
        <v>46177</v>
      </c>
      <c r="H13" s="122" t="s">
        <v>301</v>
      </c>
      <c r="I13" s="120"/>
    </row>
    <row r="14" spans="2:9" ht="24" customHeight="1" x14ac:dyDescent="0.15">
      <c r="B14" s="174"/>
      <c r="C14" s="119">
        <v>2</v>
      </c>
      <c r="D14" s="120" t="s">
        <v>28</v>
      </c>
      <c r="E14" s="118" t="s">
        <v>208</v>
      </c>
      <c r="F14" s="120" t="s">
        <v>32</v>
      </c>
      <c r="G14" s="122">
        <v>46178</v>
      </c>
      <c r="H14" s="122" t="s">
        <v>322</v>
      </c>
      <c r="I14" s="120"/>
    </row>
    <row r="15" spans="2:9" ht="24" customHeight="1" x14ac:dyDescent="0.15">
      <c r="B15" s="175"/>
      <c r="C15" s="119">
        <v>3</v>
      </c>
      <c r="D15" s="120" t="s">
        <v>163</v>
      </c>
      <c r="E15" s="118" t="s">
        <v>222</v>
      </c>
      <c r="F15" s="120" t="s">
        <v>267</v>
      </c>
      <c r="G15" s="122">
        <v>46203</v>
      </c>
      <c r="H15" s="122" t="s">
        <v>302</v>
      </c>
      <c r="I15" s="120"/>
    </row>
  </sheetData>
  <autoFilter ref="E3:H3" xr:uid="{EF4B1A91-CE7E-4F68-ACAA-4524A9473C64}"/>
  <mergeCells count="4">
    <mergeCell ref="B4:B5"/>
    <mergeCell ref="B6:B10"/>
    <mergeCell ref="B11:B12"/>
    <mergeCell ref="B13:B15"/>
  </mergeCells>
  <phoneticPr fontId="1" type="noConversion"/>
  <printOptions horizontalCentered="1"/>
  <pageMargins left="0.56000000000000005" right="0.48" top="1.0236220472440944" bottom="0.74803149606299213" header="0.55118110236220474" footer="0.31496062992125984"/>
  <pageSetup paperSize="9" orientation="portrait" r:id="rId1"/>
  <headerFooter>
    <oddFooter>&amp;C&amp;8&amp;P/&amp;N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1"/>
  <sheetViews>
    <sheetView topLeftCell="A35" workbookViewId="0">
      <selection sqref="A1:B71"/>
    </sheetView>
  </sheetViews>
  <sheetFormatPr defaultRowHeight="13.2" x14ac:dyDescent="0.15"/>
  <cols>
    <col min="1" max="1" width="18.125" style="105" bestFit="1" customWidth="1"/>
    <col min="2" max="2" width="8" style="105" bestFit="1" customWidth="1"/>
    <col min="3" max="3" width="9" style="105" customWidth="1"/>
    <col min="4" max="16384" width="9" style="105"/>
  </cols>
  <sheetData>
    <row r="1" spans="1:2" x14ac:dyDescent="0.15">
      <c r="A1" s="105" t="s">
        <v>186</v>
      </c>
      <c r="B1" s="105" t="s">
        <v>187</v>
      </c>
    </row>
    <row r="2" spans="1:2" x14ac:dyDescent="0.15">
      <c r="A2" s="105" t="s">
        <v>188</v>
      </c>
      <c r="B2" s="105" t="s">
        <v>189</v>
      </c>
    </row>
    <row r="3" spans="1:2" x14ac:dyDescent="0.15">
      <c r="A3" s="105" t="s">
        <v>190</v>
      </c>
      <c r="B3" s="105" t="s">
        <v>191</v>
      </c>
    </row>
    <row r="4" spans="1:2" x14ac:dyDescent="0.15">
      <c r="A4" s="105" t="s">
        <v>192</v>
      </c>
      <c r="B4" s="105" t="s">
        <v>193</v>
      </c>
    </row>
    <row r="5" spans="1:2" x14ac:dyDescent="0.15">
      <c r="A5" s="105" t="s">
        <v>50</v>
      </c>
      <c r="B5" s="105" t="s">
        <v>194</v>
      </c>
    </row>
    <row r="6" spans="1:2" x14ac:dyDescent="0.15">
      <c r="A6" s="105" t="s">
        <v>195</v>
      </c>
      <c r="B6" s="105" t="s">
        <v>196</v>
      </c>
    </row>
    <row r="7" spans="1:2" x14ac:dyDescent="0.15">
      <c r="A7" s="105" t="s">
        <v>197</v>
      </c>
      <c r="B7" s="105" t="s">
        <v>198</v>
      </c>
    </row>
    <row r="8" spans="1:2" x14ac:dyDescent="0.15">
      <c r="A8" s="105" t="s">
        <v>199</v>
      </c>
      <c r="B8" s="105" t="s">
        <v>200</v>
      </c>
    </row>
    <row r="9" spans="1:2" x14ac:dyDescent="0.15">
      <c r="A9" s="105" t="s">
        <v>202</v>
      </c>
      <c r="B9" s="105" t="s">
        <v>203</v>
      </c>
    </row>
    <row r="10" spans="1:2" x14ac:dyDescent="0.15">
      <c r="A10" s="105" t="s">
        <v>62</v>
      </c>
      <c r="B10" s="105" t="s">
        <v>204</v>
      </c>
    </row>
    <row r="11" spans="1:2" x14ac:dyDescent="0.15">
      <c r="A11" s="105" t="s">
        <v>68</v>
      </c>
      <c r="B11" s="105" t="s">
        <v>206</v>
      </c>
    </row>
    <row r="12" spans="1:2" x14ac:dyDescent="0.15">
      <c r="A12" s="105" t="s">
        <v>28</v>
      </c>
      <c r="B12" s="105" t="s">
        <v>207</v>
      </c>
    </row>
    <row r="13" spans="1:2" x14ac:dyDescent="0.15">
      <c r="A13" s="105" t="s">
        <v>86</v>
      </c>
      <c r="B13" s="105" t="s">
        <v>209</v>
      </c>
    </row>
    <row r="14" spans="1:2" x14ac:dyDescent="0.15">
      <c r="A14" s="105" t="s">
        <v>81</v>
      </c>
      <c r="B14" s="105" t="s">
        <v>210</v>
      </c>
    </row>
    <row r="15" spans="1:2" x14ac:dyDescent="0.15">
      <c r="A15" s="105" t="s">
        <v>91</v>
      </c>
      <c r="B15" s="105" t="s">
        <v>211</v>
      </c>
    </row>
    <row r="16" spans="1:2" x14ac:dyDescent="0.15">
      <c r="A16" s="105" t="s">
        <v>94</v>
      </c>
      <c r="B16" s="105" t="s">
        <v>212</v>
      </c>
    </row>
    <row r="17" spans="1:2" x14ac:dyDescent="0.15">
      <c r="A17" s="105" t="s">
        <v>97</v>
      </c>
      <c r="B17" s="105" t="s">
        <v>213</v>
      </c>
    </row>
    <row r="18" spans="1:2" x14ac:dyDescent="0.15">
      <c r="A18" s="105" t="s">
        <v>76</v>
      </c>
      <c r="B18" s="105" t="s">
        <v>214</v>
      </c>
    </row>
    <row r="19" spans="1:2" x14ac:dyDescent="0.15">
      <c r="A19" s="105" t="s">
        <v>100</v>
      </c>
      <c r="B19" s="105" t="s">
        <v>215</v>
      </c>
    </row>
    <row r="20" spans="1:2" x14ac:dyDescent="0.15">
      <c r="A20" s="105" t="s">
        <v>103</v>
      </c>
      <c r="B20" s="105" t="s">
        <v>216</v>
      </c>
    </row>
    <row r="21" spans="1:2" x14ac:dyDescent="0.15">
      <c r="A21" s="105" t="s">
        <v>106</v>
      </c>
      <c r="B21" s="105" t="s">
        <v>217</v>
      </c>
    </row>
    <row r="22" spans="1:2" x14ac:dyDescent="0.15">
      <c r="A22" s="105" t="s">
        <v>113</v>
      </c>
      <c r="B22" s="105" t="s">
        <v>219</v>
      </c>
    </row>
    <row r="23" spans="1:2" x14ac:dyDescent="0.15">
      <c r="A23" s="105" t="s">
        <v>147</v>
      </c>
      <c r="B23" s="105" t="s">
        <v>223</v>
      </c>
    </row>
    <row r="24" spans="1:2" x14ac:dyDescent="0.15">
      <c r="A24" s="105" t="s">
        <v>167</v>
      </c>
      <c r="B24" s="105" t="s">
        <v>224</v>
      </c>
    </row>
    <row r="25" spans="1:2" x14ac:dyDescent="0.15">
      <c r="A25" s="105" t="s">
        <v>109</v>
      </c>
      <c r="B25" s="105" t="s">
        <v>226</v>
      </c>
    </row>
    <row r="26" spans="1:2" x14ac:dyDescent="0.15">
      <c r="A26" s="105" t="s">
        <v>166</v>
      </c>
      <c r="B26" s="105" t="s">
        <v>228</v>
      </c>
    </row>
    <row r="27" spans="1:2" x14ac:dyDescent="0.15">
      <c r="A27" s="105" t="s">
        <v>168</v>
      </c>
      <c r="B27" s="105" t="s">
        <v>229</v>
      </c>
    </row>
    <row r="28" spans="1:2" x14ac:dyDescent="0.15">
      <c r="A28" s="105" t="s">
        <v>169</v>
      </c>
      <c r="B28" s="105" t="s">
        <v>230</v>
      </c>
    </row>
    <row r="29" spans="1:2" x14ac:dyDescent="0.15">
      <c r="A29" s="105" t="s">
        <v>172</v>
      </c>
      <c r="B29" s="105" t="s">
        <v>231</v>
      </c>
    </row>
    <row r="30" spans="1:2" x14ac:dyDescent="0.15">
      <c r="A30" s="105" t="s">
        <v>146</v>
      </c>
      <c r="B30" s="105" t="s">
        <v>233</v>
      </c>
    </row>
    <row r="31" spans="1:2" x14ac:dyDescent="0.15">
      <c r="A31" s="105" t="s">
        <v>145</v>
      </c>
      <c r="B31" s="105" t="s">
        <v>236</v>
      </c>
    </row>
    <row r="32" spans="1:2" x14ac:dyDescent="0.15">
      <c r="A32" s="105" t="s">
        <v>173</v>
      </c>
      <c r="B32" s="105" t="s">
        <v>237</v>
      </c>
    </row>
    <row r="33" spans="1:2" x14ac:dyDescent="0.15">
      <c r="A33" s="105" t="s">
        <v>184</v>
      </c>
      <c r="B33" s="105" t="s">
        <v>238</v>
      </c>
    </row>
    <row r="34" spans="1:2" x14ac:dyDescent="0.15">
      <c r="A34" s="105" t="s">
        <v>153</v>
      </c>
      <c r="B34" s="105" t="s">
        <v>241</v>
      </c>
    </row>
    <row r="35" spans="1:2" x14ac:dyDescent="0.15">
      <c r="A35" s="105" t="s">
        <v>149</v>
      </c>
      <c r="B35" s="105" t="s">
        <v>242</v>
      </c>
    </row>
    <row r="36" spans="1:2" x14ac:dyDescent="0.15">
      <c r="A36" s="105" t="s">
        <v>183</v>
      </c>
      <c r="B36" s="105" t="s">
        <v>243</v>
      </c>
    </row>
    <row r="37" spans="1:2" x14ac:dyDescent="0.15">
      <c r="A37" s="105" t="s">
        <v>158</v>
      </c>
      <c r="B37" s="105" t="s">
        <v>244</v>
      </c>
    </row>
    <row r="38" spans="1:2" x14ac:dyDescent="0.15">
      <c r="A38" s="105" t="s">
        <v>175</v>
      </c>
      <c r="B38" s="105" t="s">
        <v>246</v>
      </c>
    </row>
    <row r="39" spans="1:2" x14ac:dyDescent="0.15">
      <c r="A39" s="105" t="s">
        <v>179</v>
      </c>
      <c r="B39" s="105" t="s">
        <v>247</v>
      </c>
    </row>
    <row r="40" spans="1:2" x14ac:dyDescent="0.15">
      <c r="A40" s="105" t="s">
        <v>178</v>
      </c>
      <c r="B40" s="105" t="s">
        <v>249</v>
      </c>
    </row>
    <row r="41" spans="1:2" x14ac:dyDescent="0.15">
      <c r="A41" s="105" t="s">
        <v>170</v>
      </c>
      <c r="B41" s="105" t="s">
        <v>250</v>
      </c>
    </row>
    <row r="42" spans="1:2" x14ac:dyDescent="0.15">
      <c r="A42" s="105" t="s">
        <v>152</v>
      </c>
      <c r="B42" s="105" t="s">
        <v>251</v>
      </c>
    </row>
    <row r="43" spans="1:2" x14ac:dyDescent="0.15">
      <c r="A43" s="105" t="s">
        <v>182</v>
      </c>
      <c r="B43" s="105" t="s">
        <v>252</v>
      </c>
    </row>
    <row r="44" spans="1:2" x14ac:dyDescent="0.15">
      <c r="A44" s="105" t="s">
        <v>164</v>
      </c>
      <c r="B44" s="105" t="s">
        <v>255</v>
      </c>
    </row>
    <row r="45" spans="1:2" x14ac:dyDescent="0.15">
      <c r="A45" s="105" t="s">
        <v>171</v>
      </c>
      <c r="B45" s="105" t="s">
        <v>258</v>
      </c>
    </row>
    <row r="46" spans="1:2" x14ac:dyDescent="0.15">
      <c r="A46" s="105" t="s">
        <v>180</v>
      </c>
      <c r="B46" s="105" t="s">
        <v>259</v>
      </c>
    </row>
    <row r="47" spans="1:2" x14ac:dyDescent="0.15">
      <c r="A47" s="105" t="s">
        <v>181</v>
      </c>
      <c r="B47" s="105" t="s">
        <v>260</v>
      </c>
    </row>
    <row r="48" spans="1:2" x14ac:dyDescent="0.15">
      <c r="A48" s="105" t="s">
        <v>176</v>
      </c>
      <c r="B48" s="105" t="s">
        <v>261</v>
      </c>
    </row>
    <row r="49" spans="1:2" x14ac:dyDescent="0.15">
      <c r="A49" s="105" t="s">
        <v>161</v>
      </c>
      <c r="B49" s="105" t="s">
        <v>262</v>
      </c>
    </row>
    <row r="50" spans="1:2" x14ac:dyDescent="0.15">
      <c r="A50" s="105" t="s">
        <v>154</v>
      </c>
      <c r="B50" s="105" t="s">
        <v>263</v>
      </c>
    </row>
    <row r="51" spans="1:2" x14ac:dyDescent="0.15">
      <c r="A51" s="105" t="s">
        <v>174</v>
      </c>
      <c r="B51" s="105" t="s">
        <v>264</v>
      </c>
    </row>
    <row r="52" spans="1:2" x14ac:dyDescent="0.15">
      <c r="A52" s="105" t="s">
        <v>156</v>
      </c>
      <c r="B52" s="105" t="s">
        <v>265</v>
      </c>
    </row>
    <row r="53" spans="1:2" x14ac:dyDescent="0.15">
      <c r="A53" s="105" t="s">
        <v>163</v>
      </c>
      <c r="B53" s="105" t="s">
        <v>266</v>
      </c>
    </row>
    <row r="54" spans="1:2" x14ac:dyDescent="0.15">
      <c r="A54" s="105" t="s">
        <v>159</v>
      </c>
      <c r="B54" s="105" t="s">
        <v>268</v>
      </c>
    </row>
    <row r="55" spans="1:2" x14ac:dyDescent="0.15">
      <c r="A55" s="105" t="s">
        <v>148</v>
      </c>
      <c r="B55" s="105" t="s">
        <v>269</v>
      </c>
    </row>
    <row r="56" spans="1:2" x14ac:dyDescent="0.15">
      <c r="A56" s="105" t="s">
        <v>165</v>
      </c>
      <c r="B56" s="105" t="s">
        <v>270</v>
      </c>
    </row>
    <row r="57" spans="1:2" x14ac:dyDescent="0.15">
      <c r="A57" s="105" t="s">
        <v>111</v>
      </c>
      <c r="B57" s="105" t="s">
        <v>272</v>
      </c>
    </row>
    <row r="58" spans="1:2" x14ac:dyDescent="0.15">
      <c r="A58" s="105" t="s">
        <v>150</v>
      </c>
      <c r="B58" s="105" t="s">
        <v>274</v>
      </c>
    </row>
    <row r="59" spans="1:2" x14ac:dyDescent="0.15">
      <c r="A59" s="105" t="s">
        <v>162</v>
      </c>
      <c r="B59" s="105" t="s">
        <v>275</v>
      </c>
    </row>
    <row r="60" spans="1:2" x14ac:dyDescent="0.15">
      <c r="A60" s="105" t="s">
        <v>155</v>
      </c>
      <c r="B60" s="105" t="s">
        <v>277</v>
      </c>
    </row>
    <row r="61" spans="1:2" x14ac:dyDescent="0.15">
      <c r="A61" s="105" t="s">
        <v>160</v>
      </c>
      <c r="B61" s="105" t="s">
        <v>279</v>
      </c>
    </row>
    <row r="62" spans="1:2" x14ac:dyDescent="0.15">
      <c r="A62" s="105" t="s">
        <v>151</v>
      </c>
      <c r="B62" s="105" t="s">
        <v>282</v>
      </c>
    </row>
    <row r="63" spans="1:2" x14ac:dyDescent="0.15">
      <c r="A63" s="105" t="s">
        <v>39</v>
      </c>
      <c r="B63" s="105" t="s">
        <v>283</v>
      </c>
    </row>
    <row r="64" spans="1:2" x14ac:dyDescent="0.15">
      <c r="A64" s="105" t="s">
        <v>41</v>
      </c>
      <c r="B64" s="105" t="s">
        <v>284</v>
      </c>
    </row>
    <row r="65" spans="1:2" x14ac:dyDescent="0.15">
      <c r="A65" s="105" t="s">
        <v>72</v>
      </c>
      <c r="B65" s="105" t="s">
        <v>285</v>
      </c>
    </row>
    <row r="66" spans="1:2" x14ac:dyDescent="0.15">
      <c r="A66" s="105" t="s">
        <v>46</v>
      </c>
      <c r="B66" s="105" t="s">
        <v>286</v>
      </c>
    </row>
    <row r="67" spans="1:2" x14ac:dyDescent="0.15">
      <c r="A67" s="105" t="s">
        <v>12</v>
      </c>
      <c r="B67" s="105" t="s">
        <v>287</v>
      </c>
    </row>
    <row r="68" spans="1:2" x14ac:dyDescent="0.15">
      <c r="A68" s="105" t="s">
        <v>25</v>
      </c>
      <c r="B68" s="105" t="s">
        <v>288</v>
      </c>
    </row>
    <row r="69" spans="1:2" x14ac:dyDescent="0.15">
      <c r="A69" s="105" t="s">
        <v>21</v>
      </c>
      <c r="B69" s="105" t="s">
        <v>289</v>
      </c>
    </row>
    <row r="70" spans="1:2" x14ac:dyDescent="0.15">
      <c r="A70" s="105" t="s">
        <v>290</v>
      </c>
      <c r="B70" s="105" t="s">
        <v>291</v>
      </c>
    </row>
    <row r="71" spans="1:2" x14ac:dyDescent="0.15">
      <c r="A71" s="105" t="s">
        <v>292</v>
      </c>
      <c r="B71" s="105" t="s">
        <v>293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24" sqref="G24"/>
    </sheetView>
  </sheetViews>
  <sheetFormatPr defaultRowHeight="10.8" x14ac:dyDescent="0.15"/>
  <cols>
    <col min="1" max="1" width="11.375" style="114" bestFit="1" customWidth="1"/>
    <col min="2" max="2" width="21.75" style="114" bestFit="1" customWidth="1"/>
    <col min="6" max="6" width="11.375" style="114" bestFit="1" customWidth="1"/>
    <col min="7" max="7" width="21.75" style="114" bestFit="1" customWidth="1"/>
    <col min="9" max="9" width="18.125" style="114" bestFit="1" customWidth="1"/>
  </cols>
  <sheetData>
    <row r="1" spans="1:10" ht="13.2" customHeight="1" x14ac:dyDescent="0.15">
      <c r="A1" s="101" t="s">
        <v>143</v>
      </c>
      <c r="B1" s="101" t="s">
        <v>144</v>
      </c>
      <c r="C1" s="101" t="s">
        <v>294</v>
      </c>
      <c r="F1" s="101" t="s">
        <v>143</v>
      </c>
      <c r="G1" s="101" t="s">
        <v>144</v>
      </c>
      <c r="I1" s="105" t="s">
        <v>186</v>
      </c>
      <c r="J1" s="105" t="s">
        <v>187</v>
      </c>
    </row>
    <row r="2" spans="1:10" ht="13.2" customHeight="1" x14ac:dyDescent="0.15">
      <c r="A2" s="102" t="s">
        <v>7</v>
      </c>
      <c r="B2" s="102" t="s">
        <v>7</v>
      </c>
      <c r="C2" s="106">
        <v>1</v>
      </c>
      <c r="F2" s="103" t="s">
        <v>62</v>
      </c>
      <c r="G2" s="103" t="s">
        <v>62</v>
      </c>
      <c r="I2" s="113" t="s">
        <v>188</v>
      </c>
      <c r="J2" s="105" t="s">
        <v>189</v>
      </c>
    </row>
    <row r="3" spans="1:10" ht="13.2" customHeight="1" x14ac:dyDescent="0.15">
      <c r="A3" s="104" t="s">
        <v>12</v>
      </c>
      <c r="B3" s="104" t="s">
        <v>13</v>
      </c>
      <c r="C3" s="106">
        <v>2</v>
      </c>
      <c r="F3" s="103" t="s">
        <v>68</v>
      </c>
      <c r="G3" s="103" t="s">
        <v>68</v>
      </c>
      <c r="I3" s="113" t="s">
        <v>190</v>
      </c>
      <c r="J3" s="105" t="s">
        <v>191</v>
      </c>
    </row>
    <row r="4" spans="1:10" ht="13.2" customHeight="1" x14ac:dyDescent="0.15">
      <c r="A4" s="102" t="s">
        <v>12</v>
      </c>
      <c r="B4" s="102" t="s">
        <v>15</v>
      </c>
      <c r="C4" s="106">
        <v>3</v>
      </c>
      <c r="F4" s="103" t="s">
        <v>72</v>
      </c>
      <c r="G4" s="103" t="s">
        <v>72</v>
      </c>
      <c r="I4" s="113" t="s">
        <v>192</v>
      </c>
      <c r="J4" s="105" t="s">
        <v>193</v>
      </c>
    </row>
    <row r="5" spans="1:10" ht="13.2" customHeight="1" x14ac:dyDescent="0.15">
      <c r="A5" s="102" t="s">
        <v>12</v>
      </c>
      <c r="B5" s="102" t="s">
        <v>21</v>
      </c>
      <c r="C5" s="106">
        <v>4</v>
      </c>
      <c r="F5" s="102" t="s">
        <v>50</v>
      </c>
      <c r="G5" s="102" t="s">
        <v>295</v>
      </c>
      <c r="I5" s="113" t="s">
        <v>50</v>
      </c>
      <c r="J5" s="105" t="s">
        <v>194</v>
      </c>
    </row>
    <row r="6" spans="1:10" ht="13.2" customHeight="1" x14ac:dyDescent="0.15">
      <c r="A6" s="102" t="s">
        <v>12</v>
      </c>
      <c r="B6" s="102" t="s">
        <v>25</v>
      </c>
      <c r="C6" s="106">
        <v>5</v>
      </c>
      <c r="F6" s="102" t="s">
        <v>39</v>
      </c>
      <c r="G6" s="102" t="s">
        <v>106</v>
      </c>
      <c r="I6" s="113" t="s">
        <v>195</v>
      </c>
      <c r="J6" s="105" t="s">
        <v>196</v>
      </c>
    </row>
    <row r="7" spans="1:10" ht="13.2" customHeight="1" x14ac:dyDescent="0.15">
      <c r="A7" s="103" t="s">
        <v>28</v>
      </c>
      <c r="B7" s="103" t="s">
        <v>28</v>
      </c>
      <c r="C7" s="106">
        <v>6</v>
      </c>
      <c r="F7" s="102" t="s">
        <v>12</v>
      </c>
      <c r="G7" s="102" t="s">
        <v>296</v>
      </c>
      <c r="I7" s="113" t="s">
        <v>197</v>
      </c>
      <c r="J7" s="105" t="s">
        <v>198</v>
      </c>
    </row>
    <row r="8" spans="1:10" ht="13.2" customHeight="1" x14ac:dyDescent="0.15">
      <c r="A8" s="104" t="s">
        <v>39</v>
      </c>
      <c r="B8" s="104" t="s">
        <v>13</v>
      </c>
      <c r="C8" s="106">
        <v>7</v>
      </c>
      <c r="F8" s="103" t="s">
        <v>28</v>
      </c>
      <c r="G8" s="102" t="s">
        <v>103</v>
      </c>
      <c r="I8" s="113" t="s">
        <v>199</v>
      </c>
      <c r="J8" s="105" t="s">
        <v>200</v>
      </c>
    </row>
    <row r="9" spans="1:10" ht="13.2" customHeight="1" x14ac:dyDescent="0.15">
      <c r="A9" s="102" t="s">
        <v>39</v>
      </c>
      <c r="B9" s="102" t="s">
        <v>297</v>
      </c>
      <c r="C9" s="106">
        <v>8</v>
      </c>
      <c r="F9" s="102" t="s">
        <v>7</v>
      </c>
      <c r="G9" s="102" t="s">
        <v>41</v>
      </c>
      <c r="I9" s="113" t="s">
        <v>202</v>
      </c>
      <c r="J9" s="105" t="s">
        <v>203</v>
      </c>
    </row>
    <row r="10" spans="1:10" ht="13.2" customHeight="1" x14ac:dyDescent="0.15">
      <c r="A10" s="102" t="s">
        <v>39</v>
      </c>
      <c r="B10" s="102" t="s">
        <v>41</v>
      </c>
      <c r="C10" s="106">
        <v>9</v>
      </c>
      <c r="F10" s="102" t="s">
        <v>114</v>
      </c>
      <c r="G10" s="102" t="s">
        <v>297</v>
      </c>
      <c r="I10" s="113" t="s">
        <v>62</v>
      </c>
      <c r="J10" s="105" t="s">
        <v>204</v>
      </c>
    </row>
    <row r="11" spans="1:10" ht="13.2" customHeight="1" x14ac:dyDescent="0.15">
      <c r="A11" s="102" t="s">
        <v>39</v>
      </c>
      <c r="B11" s="102" t="s">
        <v>298</v>
      </c>
      <c r="C11" s="106">
        <v>10</v>
      </c>
      <c r="F11" s="102" t="s">
        <v>75</v>
      </c>
      <c r="G11" s="102" t="s">
        <v>298</v>
      </c>
      <c r="I11" s="113" t="s">
        <v>68</v>
      </c>
      <c r="J11" s="105" t="s">
        <v>206</v>
      </c>
    </row>
    <row r="12" spans="1:10" ht="13.2" customHeight="1" x14ac:dyDescent="0.15">
      <c r="A12" s="102" t="s">
        <v>39</v>
      </c>
      <c r="B12" s="102" t="s">
        <v>46</v>
      </c>
      <c r="C12" s="106">
        <v>11</v>
      </c>
      <c r="F12" s="102"/>
      <c r="G12" s="102"/>
      <c r="I12" s="113" t="s">
        <v>28</v>
      </c>
      <c r="J12" s="105" t="s">
        <v>207</v>
      </c>
    </row>
    <row r="13" spans="1:10" ht="13.2" customHeight="1" x14ac:dyDescent="0.15">
      <c r="A13" s="104" t="s">
        <v>50</v>
      </c>
      <c r="B13" s="104" t="s">
        <v>13</v>
      </c>
      <c r="C13" s="106">
        <v>12</v>
      </c>
      <c r="G13" s="102" t="s">
        <v>50</v>
      </c>
      <c r="I13" s="113" t="s">
        <v>86</v>
      </c>
      <c r="J13" s="105" t="s">
        <v>209</v>
      </c>
    </row>
    <row r="14" spans="1:10" ht="13.2" customHeight="1" x14ac:dyDescent="0.15">
      <c r="A14" s="102" t="s">
        <v>50</v>
      </c>
      <c r="B14" s="102" t="s">
        <v>50</v>
      </c>
      <c r="C14" s="106">
        <v>13</v>
      </c>
      <c r="G14" s="102" t="s">
        <v>21</v>
      </c>
      <c r="I14" s="113" t="s">
        <v>81</v>
      </c>
      <c r="J14" s="105" t="s">
        <v>210</v>
      </c>
    </row>
    <row r="15" spans="1:10" ht="13.2" customHeight="1" x14ac:dyDescent="0.15">
      <c r="A15" s="102" t="s">
        <v>50</v>
      </c>
      <c r="B15" s="102" t="s">
        <v>60</v>
      </c>
      <c r="C15" s="106">
        <v>14</v>
      </c>
      <c r="G15" s="102" t="s">
        <v>60</v>
      </c>
      <c r="I15" s="113" t="s">
        <v>91</v>
      </c>
      <c r="J15" s="105" t="s">
        <v>211</v>
      </c>
    </row>
    <row r="16" spans="1:10" ht="13.2" customHeight="1" x14ac:dyDescent="0.15">
      <c r="A16" s="103" t="s">
        <v>62</v>
      </c>
      <c r="B16" s="103" t="s">
        <v>62</v>
      </c>
      <c r="C16" s="106">
        <v>15</v>
      </c>
      <c r="G16" s="102" t="s">
        <v>111</v>
      </c>
      <c r="I16" s="113" t="s">
        <v>94</v>
      </c>
      <c r="J16" s="105" t="s">
        <v>212</v>
      </c>
    </row>
    <row r="17" spans="1:10" ht="13.2" customHeight="1" x14ac:dyDescent="0.15">
      <c r="A17" s="103" t="s">
        <v>68</v>
      </c>
      <c r="B17" s="103" t="s">
        <v>68</v>
      </c>
      <c r="C17" s="106">
        <v>16</v>
      </c>
      <c r="G17" s="102" t="s">
        <v>137</v>
      </c>
      <c r="I17" s="113" t="s">
        <v>97</v>
      </c>
      <c r="J17" s="105" t="s">
        <v>213</v>
      </c>
    </row>
    <row r="18" spans="1:10" ht="13.2" customHeight="1" x14ac:dyDescent="0.15">
      <c r="A18" s="103" t="s">
        <v>72</v>
      </c>
      <c r="B18" s="103" t="s">
        <v>72</v>
      </c>
      <c r="C18" s="106">
        <v>17</v>
      </c>
      <c r="G18" s="102" t="s">
        <v>299</v>
      </c>
      <c r="I18" s="113" t="s">
        <v>76</v>
      </c>
      <c r="J18" s="105" t="s">
        <v>214</v>
      </c>
    </row>
    <row r="19" spans="1:10" ht="13.2" customHeight="1" x14ac:dyDescent="0.15">
      <c r="A19" s="102" t="s">
        <v>75</v>
      </c>
      <c r="B19" s="102" t="s">
        <v>76</v>
      </c>
      <c r="C19" s="106">
        <v>18</v>
      </c>
      <c r="G19" s="102" t="s">
        <v>116</v>
      </c>
      <c r="I19" s="113" t="s">
        <v>100</v>
      </c>
      <c r="J19" s="105" t="s">
        <v>215</v>
      </c>
    </row>
    <row r="20" spans="1:10" ht="13.2" customHeight="1" x14ac:dyDescent="0.15">
      <c r="A20" s="102" t="s">
        <v>75</v>
      </c>
      <c r="B20" s="102" t="s">
        <v>81</v>
      </c>
      <c r="C20" s="106">
        <v>19</v>
      </c>
      <c r="G20" s="102" t="s">
        <v>115</v>
      </c>
      <c r="I20" s="113" t="s">
        <v>103</v>
      </c>
      <c r="J20" s="105" t="s">
        <v>216</v>
      </c>
    </row>
    <row r="21" spans="1:10" ht="13.2" customHeight="1" x14ac:dyDescent="0.15">
      <c r="A21" s="102" t="s">
        <v>75</v>
      </c>
      <c r="B21" s="102" t="s">
        <v>116</v>
      </c>
      <c r="C21" s="106">
        <v>20</v>
      </c>
      <c r="G21" s="102" t="s">
        <v>15</v>
      </c>
      <c r="I21" s="113" t="s">
        <v>106</v>
      </c>
      <c r="J21" s="105" t="s">
        <v>217</v>
      </c>
    </row>
    <row r="22" spans="1:10" ht="13.2" customHeight="1" x14ac:dyDescent="0.15">
      <c r="A22" s="102" t="s">
        <v>75</v>
      </c>
      <c r="B22" s="102" t="s">
        <v>91</v>
      </c>
      <c r="C22" s="106">
        <v>21</v>
      </c>
      <c r="G22" s="102" t="s">
        <v>131</v>
      </c>
      <c r="I22" s="113" t="s">
        <v>113</v>
      </c>
      <c r="J22" s="105" t="s">
        <v>219</v>
      </c>
    </row>
    <row r="23" spans="1:10" ht="13.2" customHeight="1" x14ac:dyDescent="0.15">
      <c r="A23" s="102" t="s">
        <v>75</v>
      </c>
      <c r="B23" s="102" t="s">
        <v>296</v>
      </c>
      <c r="C23" s="106">
        <v>22</v>
      </c>
      <c r="G23" s="102" t="s">
        <v>76</v>
      </c>
      <c r="I23" s="105" t="s">
        <v>147</v>
      </c>
      <c r="J23" s="105" t="s">
        <v>223</v>
      </c>
    </row>
    <row r="24" spans="1:10" ht="13.2" customHeight="1" x14ac:dyDescent="0.15">
      <c r="A24" s="102" t="s">
        <v>75</v>
      </c>
      <c r="B24" s="102" t="s">
        <v>295</v>
      </c>
      <c r="C24" s="106">
        <v>23</v>
      </c>
      <c r="G24" s="102" t="s">
        <v>25</v>
      </c>
      <c r="I24" s="105" t="s">
        <v>167</v>
      </c>
      <c r="J24" s="105" t="s">
        <v>224</v>
      </c>
    </row>
    <row r="25" spans="1:10" ht="13.2" customHeight="1" x14ac:dyDescent="0.15">
      <c r="A25" s="102" t="s">
        <v>75</v>
      </c>
      <c r="B25" s="102" t="s">
        <v>100</v>
      </c>
      <c r="C25" s="106">
        <v>24</v>
      </c>
      <c r="G25" s="103" t="s">
        <v>28</v>
      </c>
      <c r="I25" s="105" t="s">
        <v>109</v>
      </c>
      <c r="J25" s="105" t="s">
        <v>226</v>
      </c>
    </row>
    <row r="26" spans="1:10" ht="13.2" customHeight="1" x14ac:dyDescent="0.15">
      <c r="A26" s="102" t="s">
        <v>75</v>
      </c>
      <c r="B26" s="102" t="s">
        <v>103</v>
      </c>
      <c r="C26" s="106">
        <v>25</v>
      </c>
      <c r="G26" s="102" t="s">
        <v>81</v>
      </c>
      <c r="I26" s="105" t="s">
        <v>166</v>
      </c>
      <c r="J26" s="105" t="s">
        <v>228</v>
      </c>
    </row>
    <row r="27" spans="1:10" ht="13.2" customHeight="1" x14ac:dyDescent="0.15">
      <c r="A27" s="102" t="s">
        <v>75</v>
      </c>
      <c r="B27" s="102" t="s">
        <v>106</v>
      </c>
      <c r="C27" s="106">
        <v>26</v>
      </c>
      <c r="G27" s="102" t="s">
        <v>7</v>
      </c>
      <c r="I27" s="105" t="s">
        <v>168</v>
      </c>
      <c r="J27" s="105" t="s">
        <v>229</v>
      </c>
    </row>
    <row r="28" spans="1:10" ht="13.2" customHeight="1" x14ac:dyDescent="0.15">
      <c r="A28" s="102" t="s">
        <v>75</v>
      </c>
      <c r="B28" s="102" t="s">
        <v>299</v>
      </c>
      <c r="C28" s="106">
        <v>27</v>
      </c>
      <c r="G28" s="102" t="s">
        <v>91</v>
      </c>
      <c r="I28" s="105" t="s">
        <v>169</v>
      </c>
      <c r="J28" s="105" t="s">
        <v>230</v>
      </c>
    </row>
    <row r="29" spans="1:10" ht="13.2" customHeight="1" x14ac:dyDescent="0.15">
      <c r="A29" s="102" t="s">
        <v>75</v>
      </c>
      <c r="B29" s="102" t="s">
        <v>111</v>
      </c>
      <c r="C29" s="106">
        <v>28</v>
      </c>
      <c r="G29" s="102" t="s">
        <v>100</v>
      </c>
      <c r="I29" s="105" t="s">
        <v>172</v>
      </c>
      <c r="J29" s="105" t="s">
        <v>231</v>
      </c>
    </row>
    <row r="30" spans="1:10" ht="13.2" customHeight="1" x14ac:dyDescent="0.15">
      <c r="A30" s="102" t="s">
        <v>114</v>
      </c>
      <c r="B30" s="102" t="s">
        <v>115</v>
      </c>
      <c r="G30" s="102" t="s">
        <v>13</v>
      </c>
      <c r="I30" s="105" t="s">
        <v>146</v>
      </c>
      <c r="J30" s="105" t="s">
        <v>233</v>
      </c>
    </row>
    <row r="31" spans="1:10" ht="13.2" customHeight="1" x14ac:dyDescent="0.15">
      <c r="A31" s="102" t="s">
        <v>114</v>
      </c>
      <c r="B31" s="102" t="s">
        <v>300</v>
      </c>
      <c r="G31" s="102" t="s">
        <v>300</v>
      </c>
      <c r="I31" s="105" t="s">
        <v>145</v>
      </c>
      <c r="J31" s="105" t="s">
        <v>236</v>
      </c>
    </row>
    <row r="32" spans="1:10" ht="13.2" customHeight="1" x14ac:dyDescent="0.15">
      <c r="A32" s="102" t="s">
        <v>114</v>
      </c>
      <c r="B32" s="102" t="s">
        <v>131</v>
      </c>
      <c r="I32" s="105" t="s">
        <v>173</v>
      </c>
      <c r="J32" s="105" t="s">
        <v>237</v>
      </c>
    </row>
    <row r="33" spans="1:10" ht="13.2" customHeight="1" x14ac:dyDescent="0.15">
      <c r="A33" s="102" t="s">
        <v>114</v>
      </c>
      <c r="B33" s="102" t="s">
        <v>137</v>
      </c>
      <c r="I33" s="105" t="s">
        <v>184</v>
      </c>
      <c r="J33" s="105" t="s">
        <v>238</v>
      </c>
    </row>
    <row r="34" spans="1:10" ht="13.2" customHeight="1" x14ac:dyDescent="0.15">
      <c r="I34" s="105" t="s">
        <v>153</v>
      </c>
      <c r="J34" s="105" t="s">
        <v>241</v>
      </c>
    </row>
    <row r="35" spans="1:10" ht="13.2" customHeight="1" x14ac:dyDescent="0.15">
      <c r="I35" s="105" t="s">
        <v>149</v>
      </c>
      <c r="J35" s="105" t="s">
        <v>242</v>
      </c>
    </row>
    <row r="36" spans="1:10" ht="13.2" customHeight="1" x14ac:dyDescent="0.15">
      <c r="I36" s="105" t="s">
        <v>183</v>
      </c>
      <c r="J36" s="105" t="s">
        <v>243</v>
      </c>
    </row>
    <row r="37" spans="1:10" ht="13.2" customHeight="1" x14ac:dyDescent="0.15">
      <c r="I37" s="105" t="s">
        <v>158</v>
      </c>
      <c r="J37" s="105" t="s">
        <v>244</v>
      </c>
    </row>
    <row r="38" spans="1:10" ht="13.2" customHeight="1" x14ac:dyDescent="0.15">
      <c r="I38" s="105" t="s">
        <v>175</v>
      </c>
      <c r="J38" s="105" t="s">
        <v>246</v>
      </c>
    </row>
    <row r="39" spans="1:10" ht="13.2" customHeight="1" x14ac:dyDescent="0.15">
      <c r="I39" s="105" t="s">
        <v>179</v>
      </c>
      <c r="J39" s="105" t="s">
        <v>247</v>
      </c>
    </row>
    <row r="40" spans="1:10" ht="13.2" customHeight="1" x14ac:dyDescent="0.15">
      <c r="I40" s="105" t="s">
        <v>178</v>
      </c>
      <c r="J40" s="105" t="s">
        <v>249</v>
      </c>
    </row>
    <row r="41" spans="1:10" ht="13.2" customHeight="1" x14ac:dyDescent="0.15">
      <c r="I41" s="105" t="s">
        <v>170</v>
      </c>
      <c r="J41" s="105" t="s">
        <v>250</v>
      </c>
    </row>
    <row r="42" spans="1:10" ht="13.2" customHeight="1" x14ac:dyDescent="0.15">
      <c r="I42" s="105" t="s">
        <v>152</v>
      </c>
      <c r="J42" s="105" t="s">
        <v>251</v>
      </c>
    </row>
    <row r="43" spans="1:10" ht="13.2" customHeight="1" x14ac:dyDescent="0.15">
      <c r="I43" s="105" t="s">
        <v>182</v>
      </c>
      <c r="J43" s="105" t="s">
        <v>252</v>
      </c>
    </row>
    <row r="44" spans="1:10" ht="13.2" customHeight="1" x14ac:dyDescent="0.15">
      <c r="I44" s="105" t="s">
        <v>164</v>
      </c>
      <c r="J44" s="105" t="s">
        <v>255</v>
      </c>
    </row>
    <row r="45" spans="1:10" ht="13.2" customHeight="1" x14ac:dyDescent="0.15">
      <c r="I45" s="105" t="s">
        <v>171</v>
      </c>
      <c r="J45" s="105" t="s">
        <v>258</v>
      </c>
    </row>
    <row r="46" spans="1:10" ht="13.2" customHeight="1" x14ac:dyDescent="0.15">
      <c r="I46" s="105" t="s">
        <v>180</v>
      </c>
      <c r="J46" s="105" t="s">
        <v>259</v>
      </c>
    </row>
    <row r="47" spans="1:10" ht="13.2" customHeight="1" x14ac:dyDescent="0.15">
      <c r="I47" s="105" t="s">
        <v>181</v>
      </c>
      <c r="J47" s="105" t="s">
        <v>260</v>
      </c>
    </row>
    <row r="48" spans="1:10" ht="13.2" customHeight="1" x14ac:dyDescent="0.15">
      <c r="I48" s="105" t="s">
        <v>176</v>
      </c>
      <c r="J48" s="105" t="s">
        <v>261</v>
      </c>
    </row>
    <row r="49" spans="9:10" ht="13.2" customHeight="1" x14ac:dyDescent="0.15">
      <c r="I49" s="105" t="s">
        <v>161</v>
      </c>
      <c r="J49" s="105" t="s">
        <v>262</v>
      </c>
    </row>
    <row r="50" spans="9:10" ht="13.2" customHeight="1" x14ac:dyDescent="0.15">
      <c r="I50" s="105" t="s">
        <v>154</v>
      </c>
      <c r="J50" s="105" t="s">
        <v>263</v>
      </c>
    </row>
    <row r="51" spans="9:10" ht="13.2" customHeight="1" x14ac:dyDescent="0.15">
      <c r="I51" s="105" t="s">
        <v>174</v>
      </c>
      <c r="J51" s="105" t="s">
        <v>264</v>
      </c>
    </row>
    <row r="52" spans="9:10" ht="13.2" customHeight="1" x14ac:dyDescent="0.15">
      <c r="I52" s="105" t="s">
        <v>156</v>
      </c>
      <c r="J52" s="105" t="s">
        <v>265</v>
      </c>
    </row>
    <row r="53" spans="9:10" ht="13.2" customHeight="1" x14ac:dyDescent="0.15">
      <c r="I53" s="105" t="s">
        <v>163</v>
      </c>
      <c r="J53" s="105" t="s">
        <v>266</v>
      </c>
    </row>
    <row r="54" spans="9:10" ht="13.2" customHeight="1" x14ac:dyDescent="0.15">
      <c r="I54" s="105" t="s">
        <v>159</v>
      </c>
      <c r="J54" s="105" t="s">
        <v>268</v>
      </c>
    </row>
    <row r="55" spans="9:10" ht="13.2" customHeight="1" x14ac:dyDescent="0.15">
      <c r="I55" s="105" t="s">
        <v>148</v>
      </c>
      <c r="J55" s="105" t="s">
        <v>269</v>
      </c>
    </row>
    <row r="56" spans="9:10" ht="13.2" customHeight="1" x14ac:dyDescent="0.15">
      <c r="I56" s="105" t="s">
        <v>165</v>
      </c>
      <c r="J56" s="105" t="s">
        <v>270</v>
      </c>
    </row>
    <row r="57" spans="9:10" ht="13.2" customHeight="1" x14ac:dyDescent="0.15">
      <c r="I57" s="105" t="s">
        <v>111</v>
      </c>
      <c r="J57" s="105" t="s">
        <v>272</v>
      </c>
    </row>
    <row r="58" spans="9:10" ht="13.2" customHeight="1" x14ac:dyDescent="0.15">
      <c r="I58" s="105" t="s">
        <v>150</v>
      </c>
      <c r="J58" s="105" t="s">
        <v>274</v>
      </c>
    </row>
    <row r="59" spans="9:10" ht="13.2" customHeight="1" x14ac:dyDescent="0.15">
      <c r="I59" s="105" t="s">
        <v>162</v>
      </c>
      <c r="J59" s="105" t="s">
        <v>275</v>
      </c>
    </row>
    <row r="60" spans="9:10" ht="13.2" customHeight="1" x14ac:dyDescent="0.15">
      <c r="I60" s="105" t="s">
        <v>155</v>
      </c>
      <c r="J60" s="105" t="s">
        <v>277</v>
      </c>
    </row>
    <row r="61" spans="9:10" ht="13.2" customHeight="1" x14ac:dyDescent="0.15">
      <c r="I61" s="105" t="s">
        <v>160</v>
      </c>
      <c r="J61" s="105" t="s">
        <v>279</v>
      </c>
    </row>
    <row r="62" spans="9:10" ht="13.2" customHeight="1" x14ac:dyDescent="0.15">
      <c r="I62" s="105" t="s">
        <v>151</v>
      </c>
      <c r="J62" s="105" t="s">
        <v>282</v>
      </c>
    </row>
    <row r="63" spans="9:10" ht="13.2" customHeight="1" x14ac:dyDescent="0.15">
      <c r="I63" s="105" t="s">
        <v>39</v>
      </c>
      <c r="J63" s="105" t="s">
        <v>283</v>
      </c>
    </row>
    <row r="64" spans="9:10" ht="13.2" customHeight="1" x14ac:dyDescent="0.15">
      <c r="I64" s="105" t="s">
        <v>41</v>
      </c>
      <c r="J64" s="105" t="s">
        <v>284</v>
      </c>
    </row>
    <row r="65" spans="9:10" ht="13.2" customHeight="1" x14ac:dyDescent="0.15">
      <c r="I65" s="105" t="s">
        <v>72</v>
      </c>
      <c r="J65" s="105" t="s">
        <v>285</v>
      </c>
    </row>
    <row r="66" spans="9:10" ht="13.2" customHeight="1" x14ac:dyDescent="0.15">
      <c r="I66" s="105" t="s">
        <v>46</v>
      </c>
      <c r="J66" s="105" t="s">
        <v>286</v>
      </c>
    </row>
    <row r="67" spans="9:10" ht="13.2" customHeight="1" x14ac:dyDescent="0.15">
      <c r="I67" s="105" t="s">
        <v>12</v>
      </c>
      <c r="J67" s="105" t="s">
        <v>287</v>
      </c>
    </row>
    <row r="68" spans="9:10" ht="13.2" customHeight="1" x14ac:dyDescent="0.15">
      <c r="I68" s="105" t="s">
        <v>25</v>
      </c>
      <c r="J68" s="105" t="s">
        <v>288</v>
      </c>
    </row>
    <row r="69" spans="9:10" ht="13.2" customHeight="1" x14ac:dyDescent="0.15">
      <c r="I69" s="105" t="s">
        <v>21</v>
      </c>
      <c r="J69" s="105" t="s">
        <v>289</v>
      </c>
    </row>
    <row r="70" spans="9:10" ht="13.2" customHeight="1" x14ac:dyDescent="0.15">
      <c r="I70" s="105" t="s">
        <v>290</v>
      </c>
      <c r="J70" s="105" t="s">
        <v>291</v>
      </c>
    </row>
    <row r="71" spans="9:10" ht="13.2" customHeight="1" x14ac:dyDescent="0.15">
      <c r="I71" s="105" t="s">
        <v>292</v>
      </c>
      <c r="J71" s="105" t="s">
        <v>293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6</vt:i4>
      </vt:variant>
    </vt:vector>
  </HeadingPairs>
  <TitlesOfParts>
    <vt:vector size="11" baseType="lpstr">
      <vt:lpstr>전년대비 인원증감현황</vt:lpstr>
      <vt:lpstr>신규입사자명단</vt:lpstr>
      <vt:lpstr>퇴사자명단</vt:lpstr>
      <vt:lpstr>Sheet1</vt:lpstr>
      <vt:lpstr>구분LIST</vt:lpstr>
      <vt:lpstr>신규입사자명단!_FilterDatabase</vt:lpstr>
      <vt:lpstr>퇴사자명단!_FilterDatabase</vt:lpstr>
      <vt:lpstr>'전년대비 인원증감현황'!Print_Area</vt:lpstr>
      <vt:lpstr>퇴사자명단!Print_Area</vt:lpstr>
      <vt:lpstr>신규입사자명단!Print_Titles</vt:lpstr>
      <vt:lpstr>퇴사자명단!Print_Titles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azmang</dc:creator>
  <cp:lastModifiedBy>azmang</cp:lastModifiedBy>
  <cp:lastPrinted>2026-07-20T11:46:10Z</cp:lastPrinted>
  <dcterms:created xsi:type="dcterms:W3CDTF">2026-03-19T08:10:50Z</dcterms:created>
  <dcterms:modified xsi:type="dcterms:W3CDTF">2026-08-11T06:31:36Z</dcterms:modified>
</cp:coreProperties>
</file>